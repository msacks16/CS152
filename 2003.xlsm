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621" codeName="{51196F13-6AD0-C1B8-E2B4-A1F9AE17003E}"/>
  <workbookPr codeName="ThisWorkbook" autoCompressPictures="0"/>
  <bookViews>
    <workbookView xWindow="0" yWindow="0" windowWidth="24000" windowHeight="10240"/>
  </bookViews>
  <sheets>
    <sheet name="Sheet1" sheetId="1" r:id="rId1"/>
  </sheets>
  <definedNames>
    <definedName name="_xlnm._FilterDatabase" localSheetId="0" hidden="1">Sheet1!$J$1:$AI$1915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J1165" i="1"/>
  <c r="J1830" i="1"/>
  <c r="J1199" i="1"/>
  <c r="J893" i="1"/>
  <c r="J1058" i="1"/>
  <c r="J1570" i="1"/>
  <c r="J1721" i="1"/>
  <c r="J1666" i="1"/>
  <c r="J885" i="1"/>
  <c r="J1546" i="1"/>
  <c r="J1283" i="1"/>
  <c r="J1441" i="1"/>
  <c r="J926" i="1"/>
  <c r="J1854" i="1"/>
  <c r="J956" i="1"/>
  <c r="J1819" i="1"/>
  <c r="J971" i="1"/>
  <c r="J1871" i="1"/>
  <c r="J1652" i="1"/>
  <c r="J1282" i="1"/>
  <c r="J1053" i="1"/>
  <c r="J1814" i="1"/>
  <c r="J1734" i="1"/>
  <c r="J882" i="1"/>
  <c r="J1576" i="1"/>
  <c r="J1261" i="1"/>
  <c r="J1196" i="1"/>
  <c r="J1164" i="1"/>
  <c r="J1698" i="1"/>
  <c r="J942" i="1"/>
  <c r="J1662" i="1"/>
  <c r="J1459" i="1"/>
  <c r="J1845" i="1"/>
  <c r="J1440" i="1"/>
  <c r="J1602" i="1"/>
  <c r="J1669" i="1"/>
  <c r="J1502" i="1"/>
  <c r="J1736" i="1"/>
  <c r="J1324" i="1"/>
  <c r="J1566" i="1"/>
  <c r="J1869" i="1"/>
  <c r="J1216" i="1"/>
  <c r="J1616" i="1"/>
  <c r="J952" i="1"/>
  <c r="J1365" i="1"/>
  <c r="J1071" i="1"/>
  <c r="J1276" i="1"/>
  <c r="J1036" i="1"/>
  <c r="J1844" i="1"/>
  <c r="J1883" i="1"/>
  <c r="J1637" i="1"/>
  <c r="J1600" i="1"/>
  <c r="J1311" i="1"/>
  <c r="J1711" i="1"/>
  <c r="J1001" i="1"/>
  <c r="J1067" i="1"/>
  <c r="J1815" i="1"/>
  <c r="J954" i="1"/>
  <c r="J1264" i="1"/>
  <c r="J1364" i="1"/>
  <c r="J1237" i="1"/>
  <c r="J1088" i="1"/>
  <c r="J1030" i="1"/>
  <c r="J1015" i="1"/>
  <c r="J1086" i="1"/>
  <c r="J1384" i="1"/>
  <c r="J1129" i="1"/>
  <c r="J1816" i="1"/>
  <c r="J1305" i="1"/>
  <c r="J1754" i="1"/>
  <c r="J1069" i="1"/>
  <c r="J959" i="1"/>
  <c r="J1005" i="1"/>
  <c r="J1525" i="1"/>
  <c r="J1233" i="1"/>
  <c r="J1843" i="1"/>
  <c r="J1907" i="1"/>
  <c r="J1186" i="1"/>
  <c r="J1773" i="1"/>
  <c r="J951" i="1"/>
  <c r="J1856" i="1"/>
  <c r="J1133" i="1"/>
  <c r="J1328" i="1"/>
  <c r="J1696" i="1"/>
  <c r="J1095" i="1"/>
  <c r="J1523" i="1"/>
  <c r="J1405" i="1"/>
  <c r="J1118" i="1"/>
  <c r="J1581" i="1"/>
  <c r="J1207" i="1"/>
  <c r="J1319" i="1"/>
  <c r="J1798" i="1"/>
  <c r="J1759" i="1"/>
  <c r="J1123" i="1"/>
  <c r="J1329" i="1"/>
  <c r="J1720" i="1"/>
  <c r="J898" i="1"/>
  <c r="J945" i="1"/>
  <c r="J1149" i="1"/>
  <c r="J1112" i="1"/>
  <c r="J1562" i="1"/>
  <c r="J1191" i="1"/>
  <c r="J970" i="1"/>
  <c r="J1580" i="1"/>
  <c r="J964" i="1"/>
  <c r="J1675" i="1"/>
  <c r="J1184" i="1"/>
  <c r="J1154" i="1"/>
  <c r="J1070" i="1"/>
  <c r="J1699" i="1"/>
  <c r="J1743" i="1"/>
  <c r="J1047" i="1"/>
  <c r="J978" i="1"/>
  <c r="J1903" i="1"/>
  <c r="J1073" i="1"/>
  <c r="J1110" i="1"/>
  <c r="J1136" i="1"/>
  <c r="J1717" i="1"/>
  <c r="J1731" i="1"/>
  <c r="J1098" i="1"/>
  <c r="J1487" i="1"/>
  <c r="J1655" i="1"/>
  <c r="J1681" i="1"/>
  <c r="J842" i="1"/>
  <c r="J1477" i="1"/>
  <c r="J1545" i="1"/>
  <c r="J1235" i="1"/>
  <c r="J1270" i="1"/>
  <c r="J1713" i="1"/>
  <c r="J1228" i="1"/>
  <c r="J1889" i="1"/>
  <c r="J1037" i="1"/>
  <c r="J1521" i="1"/>
  <c r="J1767" i="1"/>
  <c r="J992" i="1"/>
  <c r="J1263" i="1"/>
  <c r="J1236" i="1"/>
  <c r="J1285" i="1"/>
  <c r="J950" i="1"/>
  <c r="J1673" i="1"/>
  <c r="J891" i="1"/>
  <c r="J965" i="1"/>
  <c r="J903" i="1"/>
  <c r="J1837" i="1"/>
  <c r="J1300" i="1"/>
  <c r="J905" i="1"/>
  <c r="J1009" i="1"/>
  <c r="J1797" i="1"/>
  <c r="J1177" i="1"/>
  <c r="J1744" i="1"/>
  <c r="J1475" i="1"/>
  <c r="J1214" i="1"/>
  <c r="J1813" i="1"/>
  <c r="J1599" i="1"/>
  <c r="J1353" i="1"/>
  <c r="J1369" i="1"/>
  <c r="J1306" i="1"/>
  <c r="J1909" i="1"/>
  <c r="J1010" i="1"/>
  <c r="J1582" i="1"/>
  <c r="J1394" i="1"/>
  <c r="J917" i="1"/>
  <c r="J1045" i="1"/>
  <c r="J1393" i="1"/>
  <c r="J1631" i="1"/>
  <c r="J1707" i="1"/>
  <c r="J1027" i="1"/>
  <c r="J1059" i="1"/>
  <c r="J929" i="1"/>
  <c r="J1403" i="1"/>
  <c r="J1161" i="1"/>
  <c r="J1482" i="1"/>
  <c r="J920" i="1"/>
  <c r="J1908" i="1"/>
  <c r="J1769" i="1"/>
  <c r="J1527" i="1"/>
  <c r="J1307" i="1"/>
  <c r="J1023" i="1"/>
  <c r="J1267" i="1"/>
  <c r="J1639" i="1"/>
  <c r="J1571" i="1"/>
  <c r="J1865" i="1"/>
  <c r="J1492" i="1"/>
  <c r="J851" i="1"/>
  <c r="J1817" i="1"/>
  <c r="J999" i="1"/>
  <c r="J1612" i="1"/>
  <c r="J1396" i="1"/>
  <c r="J904" i="1"/>
  <c r="J1644" i="1"/>
  <c r="J1619" i="1"/>
  <c r="J1627" i="1"/>
  <c r="J1651" i="1"/>
  <c r="J1271" i="1"/>
  <c r="J1688" i="1"/>
  <c r="J1423" i="1"/>
  <c r="J838" i="1"/>
  <c r="J1087" i="1"/>
  <c r="J967" i="1"/>
  <c r="J861" i="1"/>
  <c r="J1538" i="1"/>
  <c r="J1912" i="1"/>
  <c r="J1847" i="1"/>
  <c r="J1555" i="1"/>
  <c r="J1316" i="1"/>
  <c r="J1388" i="1"/>
  <c r="J1202" i="1"/>
  <c r="J1224" i="1"/>
  <c r="J953" i="1"/>
  <c r="J1486" i="1"/>
  <c r="J888" i="1"/>
  <c r="J1625" i="1"/>
  <c r="J1532" i="1"/>
  <c r="J1691" i="1"/>
  <c r="J1781" i="1"/>
  <c r="J933" i="1"/>
  <c r="J1792" i="1"/>
  <c r="J1808" i="1"/>
  <c r="J1890" i="1"/>
  <c r="J1412" i="1"/>
  <c r="J1531" i="1"/>
  <c r="J1302" i="1"/>
  <c r="J1763" i="1"/>
  <c r="J1719" i="1"/>
  <c r="J1471" i="1"/>
  <c r="J1140" i="1"/>
  <c r="J1428" i="1"/>
  <c r="J1591" i="1"/>
  <c r="J1258" i="1"/>
  <c r="J1220" i="1"/>
  <c r="J1253" i="1"/>
  <c r="J1498" i="1"/>
  <c r="J863" i="1"/>
  <c r="J1590" i="1"/>
  <c r="J1765" i="1"/>
  <c r="J1630" i="1"/>
  <c r="J1914" i="1"/>
  <c r="J1491" i="1"/>
  <c r="J1077" i="1"/>
  <c r="J1775" i="1"/>
  <c r="J923" i="1"/>
  <c r="J1629" i="1"/>
  <c r="J1167" i="1"/>
  <c r="J939" i="1"/>
  <c r="J1400" i="1"/>
  <c r="J990" i="1"/>
  <c r="J1755" i="1"/>
  <c r="J1776" i="1"/>
  <c r="J1347" i="1"/>
  <c r="J1450" i="1"/>
  <c r="J1335" i="1"/>
  <c r="J1357" i="1"/>
  <c r="J1885" i="1"/>
  <c r="J1415" i="1"/>
  <c r="J1737" i="1"/>
  <c r="J1362" i="1"/>
  <c r="J1748" i="1"/>
  <c r="J1695" i="1"/>
  <c r="J1379" i="1"/>
  <c r="J1222" i="1"/>
  <c r="J1494" i="1"/>
  <c r="J1733" i="1"/>
  <c r="J1113" i="1"/>
  <c r="J1356" i="1"/>
  <c r="J1249" i="1"/>
  <c r="J1339" i="1"/>
  <c r="J1683" i="1"/>
  <c r="J1096" i="1"/>
  <c r="J1380" i="1"/>
  <c r="J1162" i="1"/>
  <c r="J955" i="1"/>
  <c r="J1286" i="1"/>
  <c r="J977" i="1"/>
  <c r="J1044" i="1"/>
  <c r="J1476" i="1"/>
  <c r="J1752" i="1"/>
  <c r="J985" i="1"/>
  <c r="J1127" i="1"/>
  <c r="J1217" i="1"/>
  <c r="J896" i="1"/>
  <c r="J1850" i="1"/>
  <c r="J1654" i="1"/>
  <c r="J1536" i="1"/>
  <c r="J1840" i="1"/>
  <c r="J1516" i="1"/>
  <c r="J1770" i="1"/>
  <c r="J986" i="1"/>
  <c r="J1687" i="1"/>
  <c r="J1175" i="1"/>
  <c r="J1500" i="1"/>
  <c r="J1231" i="1"/>
  <c r="J1180" i="1"/>
  <c r="J1897" i="1"/>
  <c r="J1783" i="1"/>
  <c r="J1310" i="1"/>
  <c r="J1611" i="1"/>
  <c r="J1179" i="1"/>
  <c r="J1484" i="1"/>
  <c r="J1588" i="1"/>
  <c r="J1730" i="1"/>
  <c r="J1802" i="1"/>
  <c r="J1810" i="1"/>
  <c r="J870" i="1"/>
  <c r="J1016" i="1"/>
  <c r="J1723" i="1"/>
  <c r="J1550" i="1"/>
  <c r="J1585" i="1"/>
  <c r="J1411" i="1"/>
  <c r="J1483" i="1"/>
  <c r="J1298" i="1"/>
  <c r="J1135" i="1"/>
  <c r="J1670" i="1"/>
  <c r="J1852" i="1"/>
  <c r="J1735" i="1"/>
  <c r="J1799" i="1"/>
  <c r="J1686" i="1"/>
  <c r="J1208" i="1"/>
  <c r="J1143" i="1"/>
  <c r="J1137" i="1"/>
  <c r="J1315" i="1"/>
  <c r="J899" i="1"/>
  <c r="J1042" i="1"/>
  <c r="J1434" i="1"/>
  <c r="J1099" i="1"/>
  <c r="J1230" i="1"/>
  <c r="J897" i="1"/>
  <c r="J1881" i="1"/>
  <c r="J1614" i="1"/>
  <c r="J1512" i="1"/>
  <c r="J1132" i="1"/>
  <c r="J916" i="1"/>
  <c r="J1265" i="1"/>
  <c r="J1577" i="1"/>
  <c r="J840" i="1"/>
  <c r="J1295" i="1"/>
  <c r="J1390" i="1"/>
  <c r="J1212" i="1"/>
  <c r="J1583" i="1"/>
  <c r="J1853" i="1"/>
  <c r="J1682" i="1"/>
  <c r="J837" i="1"/>
  <c r="J1262" i="1"/>
  <c r="J1725" i="1"/>
  <c r="J1448" i="1"/>
  <c r="J1320" i="1"/>
  <c r="J1481" i="1"/>
  <c r="J1635" i="1"/>
  <c r="J1273" i="1"/>
  <c r="J1650" i="1"/>
  <c r="J1474" i="1"/>
  <c r="J1714" i="1"/>
  <c r="J1489" i="1"/>
  <c r="J1480" i="1"/>
  <c r="J1342" i="1"/>
  <c r="J1064" i="1"/>
  <c r="J1542" i="1"/>
  <c r="J1700" i="1"/>
  <c r="J1351" i="1"/>
  <c r="J1426" i="1"/>
  <c r="J1746" i="1"/>
  <c r="J1402" i="1"/>
  <c r="J1029" i="1"/>
  <c r="J1732" i="1"/>
  <c r="J1704" i="1"/>
  <c r="J1210" i="1"/>
  <c r="J1269" i="1"/>
  <c r="J1589" i="1"/>
  <c r="J1549" i="1"/>
  <c r="J1334" i="1"/>
  <c r="J1708" i="1"/>
  <c r="J1287" i="1"/>
  <c r="J1740" i="1"/>
  <c r="J1065" i="1"/>
  <c r="J1221" i="1"/>
  <c r="J886" i="1"/>
  <c r="J922" i="1"/>
  <c r="J1289" i="1"/>
  <c r="J961" i="1"/>
  <c r="J936" i="1"/>
  <c r="J1530" i="1"/>
  <c r="J988" i="1"/>
  <c r="J1668" i="1"/>
  <c r="J1561" i="1"/>
  <c r="J1078" i="1"/>
  <c r="J982" i="1"/>
  <c r="J1278" i="1"/>
  <c r="J845" i="1"/>
  <c r="J1337" i="1"/>
  <c r="J1445" i="1"/>
  <c r="J1006" i="1"/>
  <c r="J1456" i="1"/>
  <c r="J1114" i="1"/>
  <c r="J1789" i="1"/>
  <c r="J1866" i="1"/>
  <c r="J938" i="1"/>
  <c r="J979" i="1"/>
  <c r="J1314" i="1"/>
  <c r="J993" i="1"/>
  <c r="J1152" i="1"/>
  <c r="J1613" i="1"/>
  <c r="J1375" i="1"/>
  <c r="J1834" i="1"/>
  <c r="J919" i="1"/>
  <c r="J1560" i="1"/>
  <c r="J1603" i="1"/>
  <c r="J1556" i="1"/>
  <c r="J1325" i="1"/>
  <c r="J1509" i="1"/>
  <c r="J1533" i="1"/>
  <c r="J1535" i="1"/>
  <c r="J1898" i="1"/>
  <c r="J1109" i="1"/>
  <c r="J1089" i="1"/>
  <c r="J1331" i="1"/>
  <c r="J1111" i="1"/>
  <c r="J1785" i="1"/>
  <c r="J879" i="1"/>
  <c r="J1225" i="1"/>
  <c r="J1398" i="1"/>
  <c r="J1873" i="1"/>
  <c r="J1131" i="1"/>
  <c r="J1387" i="1"/>
  <c r="J1401" i="1"/>
  <c r="J1742" i="1"/>
  <c r="J1296" i="1"/>
  <c r="J948" i="1"/>
  <c r="J962" i="1"/>
  <c r="J1679" i="1"/>
  <c r="J1857" i="1"/>
  <c r="J1406" i="1"/>
  <c r="J1753" i="1"/>
  <c r="J1649" i="1"/>
  <c r="J858" i="1"/>
  <c r="J1274" i="1"/>
  <c r="J1501" i="1"/>
  <c r="J1443" i="1"/>
  <c r="J1615" i="1"/>
  <c r="J1829" i="1"/>
  <c r="J901" i="1"/>
  <c r="J1117" i="1"/>
  <c r="J1597" i="1"/>
  <c r="J1243" i="1"/>
  <c r="J1565" i="1"/>
  <c r="J1062" i="1"/>
  <c r="J1223" i="1"/>
  <c r="J853" i="1"/>
  <c r="J1438" i="1"/>
  <c r="J1663" i="1"/>
  <c r="J1358" i="1"/>
  <c r="J912" i="1"/>
  <c r="J866" i="1"/>
  <c r="J887" i="1"/>
  <c r="J1724" i="1"/>
  <c r="J1618" i="1"/>
  <c r="J981" i="1"/>
  <c r="J1083" i="1"/>
  <c r="J1299" i="1"/>
  <c r="J1256" i="1"/>
  <c r="J1159" i="1"/>
  <c r="J1466" i="1"/>
  <c r="J1226" i="1"/>
  <c r="J1913" i="1"/>
  <c r="J1408" i="1"/>
  <c r="J1418" i="1"/>
  <c r="J1778" i="1"/>
  <c r="J1168" i="1"/>
  <c r="J1219" i="1"/>
  <c r="J975" i="1"/>
  <c r="J1460" i="1"/>
  <c r="J1377" i="1"/>
  <c r="J1788" i="1"/>
  <c r="J1891" i="1"/>
  <c r="J1861" i="1"/>
  <c r="J1642" i="1"/>
  <c r="J1665" i="1"/>
  <c r="J1272" i="1"/>
  <c r="J994" i="1"/>
  <c r="J1421" i="1"/>
  <c r="J1760" i="1"/>
  <c r="J1693" i="1"/>
  <c r="J1839" i="1"/>
  <c r="J1284" i="1"/>
  <c r="J1206" i="1"/>
  <c r="J1607" i="1"/>
  <c r="J1126" i="1"/>
  <c r="J1899" i="1"/>
  <c r="J1606" i="1"/>
  <c r="J1902" i="1"/>
  <c r="J1604" i="1"/>
  <c r="J1849" i="1"/>
  <c r="J1213" i="1"/>
  <c r="J1106" i="1"/>
  <c r="J1807" i="1"/>
  <c r="J1275" i="1"/>
  <c r="J1674" i="1"/>
  <c r="J980" i="1"/>
  <c r="J1425" i="1"/>
  <c r="J1507" i="1"/>
  <c r="J1247" i="1"/>
  <c r="J947" i="1"/>
  <c r="J1204" i="1"/>
  <c r="J1346" i="1"/>
  <c r="J864" i="1"/>
  <c r="J1218" i="1"/>
  <c r="J1049" i="1"/>
  <c r="J1447" i="1"/>
  <c r="J1038" i="1"/>
  <c r="J1063" i="1"/>
  <c r="J1715" i="1"/>
  <c r="J1787" i="1"/>
  <c r="J1766" i="1"/>
  <c r="J1371" i="1"/>
  <c r="J1579" i="1"/>
  <c r="J1241" i="1"/>
  <c r="J1245" i="1"/>
  <c r="J1048" i="1"/>
  <c r="J991" i="1"/>
  <c r="J1661" i="1"/>
  <c r="J1427" i="1"/>
  <c r="J1887" i="1"/>
  <c r="J1537" i="1"/>
  <c r="J1768" i="1"/>
  <c r="J937" i="1"/>
  <c r="J1495" i="1"/>
  <c r="J1656" i="1"/>
  <c r="J1496" i="1"/>
  <c r="J944" i="1"/>
  <c r="J902" i="1"/>
  <c r="J1433" i="1"/>
  <c r="J1374" i="1"/>
  <c r="J1824" i="1"/>
  <c r="J1488" i="1"/>
  <c r="J1344" i="1"/>
  <c r="J1419" i="1"/>
  <c r="J1726" i="1"/>
  <c r="J1290" i="1"/>
  <c r="J1345" i="1"/>
  <c r="J1279" i="1"/>
  <c r="J1470" i="1"/>
  <c r="J847" i="1"/>
  <c r="J1435" i="1"/>
  <c r="J895" i="1"/>
  <c r="J1821" i="1"/>
  <c r="J1187" i="1"/>
  <c r="J1389" i="1"/>
  <c r="J976" i="1"/>
  <c r="J1729" i="1"/>
  <c r="J1385" i="1"/>
  <c r="J1072" i="1"/>
  <c r="J1858" i="1"/>
  <c r="J1352" i="1"/>
  <c r="J1437" i="1"/>
  <c r="J989" i="1"/>
  <c r="J1685" i="1"/>
  <c r="J1166" i="1"/>
  <c r="J1373" i="1"/>
  <c r="J1194" i="1"/>
  <c r="J1835" i="1"/>
  <c r="J1052" i="1"/>
  <c r="J1436" i="1"/>
  <c r="J925" i="1"/>
  <c r="J1605" i="1"/>
  <c r="J1749" i="1"/>
  <c r="J1851" i="1"/>
  <c r="J1541" i="1"/>
  <c r="J1076" i="1"/>
  <c r="J1092" i="1"/>
  <c r="J1035" i="1"/>
  <c r="J1259" i="1"/>
  <c r="J900" i="1"/>
  <c r="J1551" i="1"/>
  <c r="J1107" i="1"/>
  <c r="J1567" i="1"/>
  <c r="J1648" i="1"/>
  <c r="J1031" i="1"/>
  <c r="J1215" i="1"/>
  <c r="J1156" i="1"/>
  <c r="J1520" i="1"/>
  <c r="J1079" i="1"/>
  <c r="J1653" i="1"/>
  <c r="J1363" i="1"/>
  <c r="J1780" i="1"/>
  <c r="J1025" i="1"/>
  <c r="J1493" i="1"/>
  <c r="J1867" i="1"/>
  <c r="J1692" i="1"/>
  <c r="J996" i="1"/>
  <c r="J881" i="1"/>
  <c r="J1082" i="1"/>
  <c r="J1171" i="1"/>
  <c r="J1859" i="1"/>
  <c r="J998" i="1"/>
  <c r="J1340" i="1"/>
  <c r="J867" i="1"/>
  <c r="J1722" i="1"/>
  <c r="J1017" i="1"/>
  <c r="J1011" i="1"/>
  <c r="J909" i="1"/>
  <c r="J1051" i="1"/>
  <c r="J1139" i="1"/>
  <c r="J878" i="1"/>
  <c r="J960" i="1"/>
  <c r="J868" i="1"/>
  <c r="J1513" i="1"/>
  <c r="J1515" i="1"/>
  <c r="J1795" i="1"/>
  <c r="J852" i="1"/>
  <c r="J930" i="1"/>
  <c r="J1211" i="1"/>
  <c r="J1291" i="1"/>
  <c r="J1882" i="1"/>
  <c r="J1632" i="1"/>
  <c r="J1716" i="1"/>
  <c r="J1281" i="1"/>
  <c r="J1097" i="1"/>
  <c r="J1104" i="1"/>
  <c r="J1739" i="1"/>
  <c r="J883" i="1"/>
  <c r="J1617" i="1"/>
  <c r="J1326" i="1"/>
  <c r="J1018" i="1"/>
  <c r="J1297" i="1"/>
  <c r="J1540" i="1"/>
  <c r="J1771" i="1"/>
  <c r="J1188" i="1"/>
  <c r="J1911" i="1"/>
  <c r="J1227" i="1"/>
  <c r="J1391" i="1"/>
  <c r="J1170" i="1"/>
  <c r="J1209" i="1"/>
  <c r="J1878" i="1"/>
  <c r="J835" i="1"/>
  <c r="J1292" i="1"/>
  <c r="J836" i="1"/>
  <c r="J1805" i="1"/>
  <c r="J1557" i="1"/>
  <c r="J1601" i="1"/>
  <c r="J972" i="1"/>
  <c r="J1430" i="1"/>
  <c r="J1293" i="1"/>
  <c r="J1554" i="1"/>
  <c r="J1811" i="1"/>
  <c r="J1442" i="1"/>
  <c r="J1457" i="1"/>
  <c r="J1461" i="1"/>
  <c r="J1142" i="1"/>
  <c r="J1528" i="1"/>
  <c r="J1153" i="1"/>
  <c r="J1593" i="1"/>
  <c r="J1796" i="1"/>
  <c r="J1578" i="1"/>
  <c r="J1155" i="1"/>
  <c r="J966" i="1"/>
  <c r="J1134" i="1"/>
  <c r="J844" i="1"/>
  <c r="J1572" i="1"/>
  <c r="J1473" i="1"/>
  <c r="J1575" i="1"/>
  <c r="J1609" i="1"/>
  <c r="J1863" i="1"/>
  <c r="J1432" i="1"/>
  <c r="J1317" i="1"/>
  <c r="J1321" i="1"/>
  <c r="J1519" i="1"/>
  <c r="J1026" i="1"/>
  <c r="J963" i="1"/>
  <c r="J1646" i="1"/>
  <c r="J1522" i="1"/>
  <c r="J1672" i="1"/>
  <c r="J1610" i="1"/>
  <c r="J1479" i="1"/>
  <c r="J1147" i="1"/>
  <c r="J1163" i="1"/>
  <c r="J1671" i="1"/>
  <c r="J1417" i="1"/>
  <c r="J1510" i="1"/>
  <c r="J1232" i="1"/>
  <c r="J940" i="1"/>
  <c r="J1322" i="1"/>
  <c r="J1727" i="1"/>
  <c r="J1128" i="1"/>
  <c r="J1568" i="1"/>
  <c r="J1738" i="1"/>
  <c r="J1192" i="1"/>
  <c r="J1841" i="1"/>
  <c r="J1453" i="1"/>
  <c r="J1041" i="1"/>
  <c r="J1842" i="1"/>
  <c r="J1676" i="1"/>
  <c r="J1828" i="1"/>
  <c r="J1122" i="1"/>
  <c r="J865" i="1"/>
  <c r="J1312" i="1"/>
  <c r="J1848" i="1"/>
  <c r="J1424" i="1"/>
  <c r="J997" i="1"/>
  <c r="J1595" i="1"/>
  <c r="J1422" i="1"/>
  <c r="J1066" i="1"/>
  <c r="J1750" i="1"/>
  <c r="J1183" i="1"/>
  <c r="J1294" i="1"/>
  <c r="J1201" i="1"/>
  <c r="J1517" i="1"/>
  <c r="J1081" i="1"/>
  <c r="J1000" i="1"/>
  <c r="J856" i="1"/>
  <c r="J1893" i="1"/>
  <c r="J1822" i="1"/>
  <c r="J1197" i="1"/>
  <c r="J934" i="1"/>
  <c r="J872" i="1"/>
  <c r="J1354" i="1"/>
  <c r="J1046" i="1"/>
  <c r="J1383" i="1"/>
  <c r="J1906" i="1"/>
  <c r="J1341" i="1"/>
  <c r="J1150" i="1"/>
  <c r="J1151" i="1"/>
  <c r="J890" i="1"/>
  <c r="J1706" i="1"/>
  <c r="J1451" i="1"/>
  <c r="J1573" i="1"/>
  <c r="J1552" i="1"/>
  <c r="J1680" i="1"/>
  <c r="J1793" i="1"/>
  <c r="J1409" i="1"/>
  <c r="J876" i="1"/>
  <c r="J1119" i="1"/>
  <c r="J843" i="1"/>
  <c r="J1694" i="1"/>
  <c r="J1596" i="1"/>
  <c r="J1268" i="1"/>
  <c r="J1761" i="1"/>
  <c r="J1178" i="1"/>
  <c r="J846" i="1"/>
  <c r="J1559" i="1"/>
  <c r="J1444" i="1"/>
  <c r="J924" i="1"/>
  <c r="J839" i="1"/>
  <c r="J889" i="1"/>
  <c r="J958" i="1"/>
  <c r="J1446" i="1"/>
  <c r="J1189" i="1"/>
  <c r="J1831" i="1"/>
  <c r="J931" i="1"/>
  <c r="J1244" i="1"/>
  <c r="J850" i="1"/>
  <c r="J984" i="1"/>
  <c r="J1892" i="1"/>
  <c r="J1786" i="1"/>
  <c r="J1547" i="1"/>
  <c r="J892" i="1"/>
  <c r="J1414" i="1"/>
  <c r="J910" i="1"/>
  <c r="J1467" i="1"/>
  <c r="J1145" i="1"/>
  <c r="J1628" i="1"/>
  <c r="J1548" i="1"/>
  <c r="J1060" i="1"/>
  <c r="J1643" i="1"/>
  <c r="J1741" i="1"/>
  <c r="J1870" i="1"/>
  <c r="J1160" i="1"/>
  <c r="J1125" i="1"/>
  <c r="J1506" i="1"/>
  <c r="J969" i="1"/>
  <c r="J1381" i="1"/>
  <c r="J1449" i="1"/>
  <c r="J1195" i="1"/>
  <c r="J1234" i="1"/>
  <c r="J1120" i="1"/>
  <c r="J1190" i="1"/>
  <c r="J1543" i="1"/>
  <c r="J1240" i="1"/>
  <c r="J1634" i="1"/>
  <c r="J1019" i="1"/>
  <c r="J1007" i="1"/>
  <c r="J1250" i="1"/>
  <c r="J1085" i="1"/>
  <c r="J1248" i="1"/>
  <c r="J1633" i="1"/>
  <c r="J1091" i="1"/>
  <c r="J1462" i="1"/>
  <c r="J1061" i="1"/>
  <c r="J877" i="1"/>
  <c r="J949" i="1"/>
  <c r="J1193" i="1"/>
  <c r="J1868" i="1"/>
  <c r="J1697" i="1"/>
  <c r="J1689" i="1"/>
  <c r="J1779" i="1"/>
  <c r="J1574" i="1"/>
  <c r="J1367" i="1"/>
  <c r="J1003" i="1"/>
  <c r="J1370" i="1"/>
  <c r="J1895" i="1"/>
  <c r="J1838" i="1"/>
  <c r="J1105" i="1"/>
  <c r="J1074" i="1"/>
  <c r="J911" i="1"/>
  <c r="J983" i="1"/>
  <c r="J1880" i="1"/>
  <c r="J1368" i="1"/>
  <c r="J1464" i="1"/>
  <c r="J1504" i="1"/>
  <c r="J1181" i="1"/>
  <c r="J1361" i="1"/>
  <c r="J1313" i="1"/>
  <c r="J1308" i="1"/>
  <c r="J915" i="1"/>
  <c r="J1877" i="1"/>
  <c r="J1846" i="1"/>
  <c r="J1032" i="1"/>
  <c r="J869" i="1"/>
  <c r="J1266" i="1"/>
  <c r="J1888" i="1"/>
  <c r="J1372" i="1"/>
  <c r="J1684" i="1"/>
  <c r="J1904" i="1"/>
  <c r="J1833" i="1"/>
  <c r="J928" i="1"/>
  <c r="J1702" i="1"/>
  <c r="J1057" i="1"/>
  <c r="J1173" i="1"/>
  <c r="J1647" i="1"/>
  <c r="J1801" i="1"/>
  <c r="J1598" i="1"/>
  <c r="J1172" i="1"/>
  <c r="J1900" i="1"/>
  <c r="J1569" i="1"/>
  <c r="J1454" i="1"/>
  <c r="J1623" i="1"/>
  <c r="J1490" i="1"/>
  <c r="J1039" i="1"/>
  <c r="J1592" i="1"/>
  <c r="J1823" i="1"/>
  <c r="J1012" i="1"/>
  <c r="J1386" i="1"/>
  <c r="J1800" i="1"/>
  <c r="J1277" i="1"/>
  <c r="J1260" i="1"/>
  <c r="J1764" i="1"/>
  <c r="J1874" i="1"/>
  <c r="J1894" i="1"/>
  <c r="J873" i="1"/>
  <c r="J1728" i="1"/>
  <c r="J1718" i="1"/>
  <c r="J1660" i="1"/>
  <c r="J1033" i="1"/>
  <c r="J1416" i="1"/>
  <c r="J1343" i="1"/>
  <c r="J1404" i="1"/>
  <c r="J1080" i="1"/>
  <c r="J1626" i="1"/>
  <c r="J1640" i="1"/>
  <c r="J871" i="1"/>
  <c r="J1756" i="1"/>
  <c r="J907" i="1"/>
  <c r="J1782" i="1"/>
  <c r="J1323" i="1"/>
  <c r="J995" i="1"/>
  <c r="J1013" i="1"/>
  <c r="J1747" i="1"/>
  <c r="J1463" i="1"/>
  <c r="J1395" i="1"/>
  <c r="J1366" i="1"/>
  <c r="J1511" i="1"/>
  <c r="J1876" i="1"/>
  <c r="J1176" i="1"/>
  <c r="J1667" i="1"/>
  <c r="J1645" i="1"/>
  <c r="J848" i="1"/>
  <c r="J921" i="1"/>
  <c r="J1539" i="1"/>
  <c r="J1257" i="1"/>
  <c r="J1138" i="1"/>
  <c r="J1399" i="1"/>
  <c r="J935" i="1"/>
  <c r="J1758" i="1"/>
  <c r="J1376" i="1"/>
  <c r="J1090" i="1"/>
  <c r="J1864" i="1"/>
  <c r="J1622" i="1"/>
  <c r="J1121" i="1"/>
  <c r="J1784" i="1"/>
  <c r="J1169" i="1"/>
  <c r="J1093" i="1"/>
  <c r="J1158" i="1"/>
  <c r="J874" i="1"/>
  <c r="J1100" i="1"/>
  <c r="J1636" i="1"/>
  <c r="J1431" i="1"/>
  <c r="J1102" i="1"/>
  <c r="J1818" i="1"/>
  <c r="J1205" i="1"/>
  <c r="J1034" i="1"/>
  <c r="J1327" i="1"/>
  <c r="J1762" i="1"/>
  <c r="J1413" i="1"/>
  <c r="J1355" i="1"/>
  <c r="J1407" i="1"/>
  <c r="J1529" i="1"/>
  <c r="J908" i="1"/>
  <c r="J1304" i="1"/>
  <c r="J1002" i="1"/>
  <c r="J1021" i="1"/>
  <c r="J1185" i="1"/>
  <c r="J1803" i="1"/>
  <c r="J914" i="1"/>
  <c r="J941" i="1"/>
  <c r="J1348" i="1"/>
  <c r="J1458" i="1"/>
  <c r="J946" i="1"/>
  <c r="J1068" i="1"/>
  <c r="J1330" i="1"/>
  <c r="J1825" i="1"/>
  <c r="J1777" i="1"/>
  <c r="J1420" i="1"/>
  <c r="J1910" i="1"/>
  <c r="J1703" i="1"/>
  <c r="J987" i="1"/>
  <c r="J1621" i="1"/>
  <c r="J1055" i="1"/>
  <c r="J1832" i="1"/>
  <c r="J1174" i="1"/>
  <c r="J1678" i="1"/>
  <c r="J1701" i="1"/>
  <c r="J1827" i="1"/>
  <c r="J1901" i="1"/>
  <c r="J1896" i="1"/>
  <c r="J927" i="1"/>
  <c r="J1826" i="1"/>
  <c r="J1812" i="1"/>
  <c r="J1238" i="1"/>
  <c r="J1790" i="1"/>
  <c r="J1251" i="1"/>
  <c r="J1485" i="1"/>
  <c r="J1886" i="1"/>
  <c r="J1336" i="1"/>
  <c r="J1252" i="1"/>
  <c r="J1242" i="1"/>
  <c r="J1349" i="1"/>
  <c r="J906" i="1"/>
  <c r="J1534" i="1"/>
  <c r="J1182" i="1"/>
  <c r="J1884" i="1"/>
  <c r="J1028" i="1"/>
  <c r="J1239" i="1"/>
  <c r="J1505" i="1"/>
  <c r="J1254" i="1"/>
  <c r="J1008" i="1"/>
  <c r="J1710" i="1"/>
  <c r="J968" i="1"/>
  <c r="J1452" i="1"/>
  <c r="J957" i="1"/>
  <c r="J1054" i="1"/>
  <c r="J1103" i="1"/>
  <c r="J854" i="1"/>
  <c r="J849" i="1"/>
  <c r="J1280" i="1"/>
  <c r="J1056" i="1"/>
  <c r="J1677" i="1"/>
  <c r="J1664" i="1"/>
  <c r="J1872" i="1"/>
  <c r="J1620" i="1"/>
  <c r="J1478" i="1"/>
  <c r="J1439" i="1"/>
  <c r="J1392" i="1"/>
  <c r="J1050" i="1"/>
  <c r="J1148" i="1"/>
  <c r="J1004" i="1"/>
  <c r="J1144" i="1"/>
  <c r="J1751" i="1"/>
  <c r="J1333" i="1"/>
  <c r="J1508" i="1"/>
  <c r="J1246" i="1"/>
  <c r="J857" i="1"/>
  <c r="J1101" i="1"/>
  <c r="J973" i="1"/>
  <c r="J884" i="1"/>
  <c r="J1587" i="1"/>
  <c r="J1594" i="1"/>
  <c r="J1469" i="1"/>
  <c r="J1804" i="1"/>
  <c r="J1318" i="1"/>
  <c r="J1641" i="1"/>
  <c r="J1075" i="1"/>
  <c r="J1514" i="1"/>
  <c r="J1301" i="1"/>
  <c r="J859" i="1"/>
  <c r="J1584" i="1"/>
  <c r="J1544" i="1"/>
  <c r="J1791" i="1"/>
  <c r="J855" i="1"/>
  <c r="J1124" i="1"/>
  <c r="J1608" i="1"/>
  <c r="J1518" i="1"/>
  <c r="J1659" i="1"/>
  <c r="J1024" i="1"/>
  <c r="J1624" i="1"/>
  <c r="J974" i="1"/>
  <c r="J1043" i="1"/>
  <c r="J1198" i="1"/>
  <c r="J1084" i="1"/>
  <c r="J1397" i="1"/>
  <c r="J1116" i="1"/>
  <c r="J1360" i="1"/>
  <c r="J1115" i="1"/>
  <c r="J1141" i="1"/>
  <c r="J1526" i="1"/>
  <c r="J880" i="1"/>
  <c r="J1905" i="1"/>
  <c r="J1558" i="1"/>
  <c r="J1455" i="1"/>
  <c r="J1862" i="1"/>
  <c r="J860" i="1"/>
  <c r="J1794" i="1"/>
  <c r="J1229" i="1"/>
  <c r="J1809" i="1"/>
  <c r="J1309" i="1"/>
  <c r="J1157" i="1"/>
  <c r="J1020" i="1"/>
  <c r="J1757" i="1"/>
  <c r="J1350" i="1"/>
  <c r="J1709" i="1"/>
  <c r="J1820" i="1"/>
  <c r="J1855" i="1"/>
  <c r="J875" i="1"/>
  <c r="J1255" i="1"/>
  <c r="J1040" i="1"/>
  <c r="J1836" i="1"/>
  <c r="J1875" i="1"/>
  <c r="J1586" i="1"/>
  <c r="J932" i="1"/>
  <c r="J1524" i="1"/>
  <c r="J1332" i="1"/>
  <c r="J1359" i="1"/>
  <c r="J1774" i="1"/>
  <c r="J1712" i="1"/>
  <c r="J1503" i="1"/>
  <c r="J1203" i="1"/>
  <c r="J1879" i="1"/>
  <c r="J918" i="1"/>
  <c r="J1657" i="1"/>
  <c r="J1658" i="1"/>
  <c r="J1690" i="1"/>
  <c r="J1429" i="1"/>
  <c r="J1338" i="1"/>
  <c r="J1472" i="1"/>
  <c r="J1465" i="1"/>
  <c r="J1705" i="1"/>
  <c r="J1382" i="1"/>
  <c r="J1094" i="1"/>
  <c r="J1146" i="1"/>
  <c r="J1200" i="1"/>
  <c r="J1499" i="1"/>
  <c r="J1745" i="1"/>
  <c r="J862" i="1"/>
  <c r="J913" i="1"/>
  <c r="J1564" i="1"/>
  <c r="J1410" i="1"/>
  <c r="J1014" i="1"/>
  <c r="J1378" i="1"/>
  <c r="J1563" i="1"/>
  <c r="J1022" i="1"/>
  <c r="J894" i="1"/>
  <c r="J1303" i="1"/>
  <c r="J1772" i="1"/>
  <c r="J1553" i="1"/>
  <c r="J1288" i="1"/>
  <c r="J1860" i="1"/>
  <c r="J1915" i="1"/>
  <c r="J943" i="1"/>
  <c r="J1497" i="1"/>
  <c r="J1108" i="1"/>
  <c r="J1468" i="1"/>
  <c r="J1638" i="1"/>
  <c r="J1806" i="1"/>
  <c r="J1130" i="1"/>
  <c r="J841" i="1"/>
  <c r="G2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<sst xmlns="http://schemas.openxmlformats.org/spreadsheetml/2006/main" count="16697" uniqueCount="3941">
  <si>
    <t>Ticker</t>
  </si>
  <si>
    <t>Name</t>
  </si>
  <si>
    <t>Weight</t>
  </si>
  <si>
    <t>Shares</t>
  </si>
  <si>
    <t>Price</t>
  </si>
  <si>
    <t xml:space="preserve">ROIC:Q-8
</t>
  </si>
  <si>
    <t xml:space="preserve">ROIC:Q-4
</t>
  </si>
  <si>
    <t xml:space="preserve">Price:Y-1
</t>
  </si>
  <si>
    <t xml:space="preserve">Price:Y-2
</t>
  </si>
  <si>
    <t xml:space="preserve">Debt/Assets:Q-8
</t>
  </si>
  <si>
    <t xml:space="preserve">GM:Q-8
</t>
  </si>
  <si>
    <t xml:space="preserve">FCF:Q-4
</t>
  </si>
  <si>
    <t xml:space="preserve">ROA:Y-2
</t>
  </si>
  <si>
    <t xml:space="preserve">EPS:Q-8
</t>
  </si>
  <si>
    <t xml:space="preserve">Earnings Yield:Q-8
</t>
  </si>
  <si>
    <t xml:space="preserve">Earnings Yield:Q-4
</t>
  </si>
  <si>
    <t xml:space="preserve">Shares Out:Q-8
</t>
  </si>
  <si>
    <t xml:space="preserve">GICS Sector
</t>
  </si>
  <si>
    <t xml:space="preserve">GICS Ind Name
</t>
  </si>
  <si>
    <t xml:space="preserve">EPS:Q-4
</t>
  </si>
  <si>
    <t xml:space="preserve">GM:Q-4
</t>
  </si>
  <si>
    <t xml:space="preserve">EV/EBITDA T12M
</t>
  </si>
  <si>
    <t xml:space="preserve">Shares Out:Q-4
</t>
  </si>
  <si>
    <t xml:space="preserve">Debt/Assets:Q-4
</t>
  </si>
  <si>
    <t xml:space="preserve">ROA:Y-1
</t>
  </si>
  <si>
    <t>CTAC UQ Equity</t>
  </si>
  <si>
    <t>1-800 Contacts Inc</t>
  </si>
  <si>
    <t>--</t>
  </si>
  <si>
    <t>FLWS UQ Equity</t>
  </si>
  <si>
    <t>1-800-Flowers.com Inc</t>
  </si>
  <si>
    <t>Consumer Discretionary</t>
  </si>
  <si>
    <t>Internet &amp; Direct Marketing Retail</t>
  </si>
  <si>
    <t>SRCE UQ Equity</t>
  </si>
  <si>
    <t>1st Source Corp</t>
  </si>
  <si>
    <t>Financials</t>
  </si>
  <si>
    <t>Banks</t>
  </si>
  <si>
    <t>DDD UQ Equity</t>
  </si>
  <si>
    <t>3D Systems Corp</t>
  </si>
  <si>
    <t>Information Technology</t>
  </si>
  <si>
    <t>Technology Hardware, Storage &amp; Peripherals</t>
  </si>
  <si>
    <t>CUNO UQ Equity</t>
  </si>
  <si>
    <t>3M Purification Inc</t>
  </si>
  <si>
    <t>797725Q UQ Equity</t>
  </si>
  <si>
    <t>3TEC Energy Corp</t>
  </si>
  <si>
    <t>KIDEQ UN Equity</t>
  </si>
  <si>
    <t>4Kids Entertainment Inc/Old</t>
  </si>
  <si>
    <t>857724Q UN Equity</t>
  </si>
  <si>
    <t>7-Eleven Inc</t>
  </si>
  <si>
    <t>ARDI UQ Equity</t>
  </si>
  <si>
    <t>@Road Inc/United States</t>
  </si>
  <si>
    <t>SHLM UQ Equity</t>
  </si>
  <si>
    <t>A Schulman Inc</t>
  </si>
  <si>
    <t>Materials</t>
  </si>
  <si>
    <t>Chemicals</t>
  </si>
  <si>
    <t>CASL UA Equity</t>
  </si>
  <si>
    <t>A. M. Castle &amp; Co</t>
  </si>
  <si>
    <t>Metals &amp; Mining</t>
  </si>
  <si>
    <t>8176896Q UQ Equity</t>
  </si>
  <si>
    <t>aaiPharma Inc</t>
  </si>
  <si>
    <t>AAON UQ Equity</t>
  </si>
  <si>
    <t>AAON Inc</t>
  </si>
  <si>
    <t>Industrials</t>
  </si>
  <si>
    <t>Building Products</t>
  </si>
  <si>
    <t>AIR UN Equity</t>
  </si>
  <si>
    <t>AAR Corp</t>
  </si>
  <si>
    <t>Aerospace &amp; Defense</t>
  </si>
  <si>
    <t>AAN UN Equity</t>
  </si>
  <si>
    <t>Aaron's Inc</t>
  </si>
  <si>
    <t>Specialty Retail</t>
  </si>
  <si>
    <t>ABGX UQ Equity</t>
  </si>
  <si>
    <t>Abgenix Inc</t>
  </si>
  <si>
    <t>ABMD UQ Equity</t>
  </si>
  <si>
    <t>ABIOMED Inc</t>
  </si>
  <si>
    <t>Health Care</t>
  </si>
  <si>
    <t>Health Care Equipment &amp; Supplies</t>
  </si>
  <si>
    <t>ABM UN Equity</t>
  </si>
  <si>
    <t>ABM Industries Inc</t>
  </si>
  <si>
    <t>Commercial Services &amp; Supplies</t>
  </si>
  <si>
    <t>ACMR UQ Equity</t>
  </si>
  <si>
    <t>AC Moore Arts &amp; Crafts Inc</t>
  </si>
  <si>
    <t>Professional Services</t>
  </si>
  <si>
    <t>AKR UN Equity</t>
  </si>
  <si>
    <t>Acadia Realty Trust</t>
  </si>
  <si>
    <t>Real Estate</t>
  </si>
  <si>
    <t>Equity Real Estate Investment Trusts (REITs)</t>
  </si>
  <si>
    <t>AKLMQ UR Equity</t>
  </si>
  <si>
    <t>Acclaim Entertainment Inc</t>
  </si>
  <si>
    <t>ACIW UQ Equity</t>
  </si>
  <si>
    <t>ACI Worldwide Inc</t>
  </si>
  <si>
    <t>Software</t>
  </si>
  <si>
    <t>ACME UQ Equity</t>
  </si>
  <si>
    <t>ACME Communications Inc</t>
  </si>
  <si>
    <t>Media</t>
  </si>
  <si>
    <t>0852980D UQ Equity</t>
  </si>
  <si>
    <t>Actel Corp</t>
  </si>
  <si>
    <t>ACTRQ UR Equity</t>
  </si>
  <si>
    <t>Acterna Corp</t>
  </si>
  <si>
    <t>812020Q UN Equity</t>
  </si>
  <si>
    <t>Action Performance Cos Inc</t>
  </si>
  <si>
    <t>ATU UN Equity</t>
  </si>
  <si>
    <t>Actuant Corp</t>
  </si>
  <si>
    <t>Machinery</t>
  </si>
  <si>
    <t>BIRT UQ Equity</t>
  </si>
  <si>
    <t>Actuate Corp</t>
  </si>
  <si>
    <t>AYI UN Equity</t>
  </si>
  <si>
    <t>Acuity Brands Inc</t>
  </si>
  <si>
    <t>Electrical Equipment</t>
  </si>
  <si>
    <t>ADEX UQ Equity</t>
  </si>
  <si>
    <t>ADE Corp</t>
  </si>
  <si>
    <t>ADLR UQ Equity</t>
  </si>
  <si>
    <t>Adolor Corp</t>
  </si>
  <si>
    <t>ADTN UQ Equity</t>
  </si>
  <si>
    <t>ADTRAN Inc</t>
  </si>
  <si>
    <t>Communications Equipment</t>
  </si>
  <si>
    <t>ADIC UQ Equity</t>
  </si>
  <si>
    <t>Advanced Digital Information Corp</t>
  </si>
  <si>
    <t>AEIS UQ Equity</t>
  </si>
  <si>
    <t>Advanced Energy Industries Inc</t>
  </si>
  <si>
    <t>Semiconductors &amp; Semiconductor Equipment</t>
  </si>
  <si>
    <t>0696844D UN Equity</t>
  </si>
  <si>
    <t>Advanced Marketing Services Inc</t>
  </si>
  <si>
    <t>ANSI UQ Equity</t>
  </si>
  <si>
    <t>Advanced Neuromodulation Systems Inc</t>
  </si>
  <si>
    <t>2245546Q UQ Equity</t>
  </si>
  <si>
    <t>Advanced Power Technology Inc</t>
  </si>
  <si>
    <t>ADVBQ UQ Equity</t>
  </si>
  <si>
    <t>Advanta Corp</t>
  </si>
  <si>
    <t>ABCO UQ Equity</t>
  </si>
  <si>
    <t>Advisory Board Co/The</t>
  </si>
  <si>
    <t>AEGN UQ Equity</t>
  </si>
  <si>
    <t>Aegion Corp</t>
  </si>
  <si>
    <t>Construction &amp; Engineering</t>
  </si>
  <si>
    <t>AEPI UQ Equity</t>
  </si>
  <si>
    <t>AEP Industries Inc</t>
  </si>
  <si>
    <t>Containers &amp; Packaging</t>
  </si>
  <si>
    <t>ARXX UQ Equity</t>
  </si>
  <si>
    <t>Aeroflex Inc</t>
  </si>
  <si>
    <t>AJRD UN Equity</t>
  </si>
  <si>
    <t>Aerojet Rocketdyne Holdings Inc</t>
  </si>
  <si>
    <t>AGEN UQ Equity</t>
  </si>
  <si>
    <t>Agenus Inc</t>
  </si>
  <si>
    <t>Biotechnology</t>
  </si>
  <si>
    <t>AGIL UQ Equity</t>
  </si>
  <si>
    <t>Agile Software Corp</t>
  </si>
  <si>
    <t>AGYS UQ Equity</t>
  </si>
  <si>
    <t>Agilysys Inc</t>
  </si>
  <si>
    <t>Electronic Equipment, Instruments &amp; Components</t>
  </si>
  <si>
    <t>ABF UN Equity</t>
  </si>
  <si>
    <t>Airborne Inc</t>
  </si>
  <si>
    <t>ARG UN Equity</t>
  </si>
  <si>
    <t>Airgas Inc</t>
  </si>
  <si>
    <t>PCSA UQ Equity</t>
  </si>
  <si>
    <t>AirGate PCS Inc</t>
  </si>
  <si>
    <t>AAI UN Equity</t>
  </si>
  <si>
    <t>AirTran Holdings Inc</t>
  </si>
  <si>
    <t>AKAM UR Equity</t>
  </si>
  <si>
    <t>Akamai Technologies Inc</t>
  </si>
  <si>
    <t>Internet Software &amp; Services</t>
  </si>
  <si>
    <t>AKSY UQ Equity</t>
  </si>
  <si>
    <t>Aksys Ltd</t>
  </si>
  <si>
    <t>ALAB UQ Equity</t>
  </si>
  <si>
    <t>Alabama National Bancorporation</t>
  </si>
  <si>
    <t>ALG UN Equity</t>
  </si>
  <si>
    <t>Alamo Group Inc</t>
  </si>
  <si>
    <t>3539245Q US Equity</t>
  </si>
  <si>
    <t>Alamosa Holdings Inc</t>
  </si>
  <si>
    <t>ALK UN Equity</t>
  </si>
  <si>
    <t>Alaska Air Group Inc</t>
  </si>
  <si>
    <t>Airlines</t>
  </si>
  <si>
    <t>ALSK UQ Equity</t>
  </si>
  <si>
    <t>Alaska Communications Systems Group Inc</t>
  </si>
  <si>
    <t>Telecommunication Services</t>
  </si>
  <si>
    <t>Diversified Telecommunication Services</t>
  </si>
  <si>
    <t>AIN UN Equity</t>
  </si>
  <si>
    <t>Albany International Corp</t>
  </si>
  <si>
    <t>AMRI UQ Equity</t>
  </si>
  <si>
    <t>Albany Molecular Research Inc</t>
  </si>
  <si>
    <t>Life Sciences Tools &amp; Services</t>
  </si>
  <si>
    <t>0544369D UQ Equity</t>
  </si>
  <si>
    <t>Alderwoods Group Inc</t>
  </si>
  <si>
    <t>8383310Q UQ Equity</t>
  </si>
  <si>
    <t>Alere Health LLC</t>
  </si>
  <si>
    <t>ALR UA Equity</t>
  </si>
  <si>
    <t>Alere Inc</t>
  </si>
  <si>
    <t>ALX UN Equity</t>
  </si>
  <si>
    <t>Alexander's Inc</t>
  </si>
  <si>
    <t>ARE UN Equity</t>
  </si>
  <si>
    <t>Alexandria Real Estate Equities Inc</t>
  </si>
  <si>
    <t>ALXN UQ Equity</t>
  </si>
  <si>
    <t>Alexion Pharmaceuticals Inc</t>
  </si>
  <si>
    <t>0480013D UQ Equity</t>
  </si>
  <si>
    <t>Alfa Corp</t>
  </si>
  <si>
    <t>ALCO UQ Equity</t>
  </si>
  <si>
    <t>Alico Inc</t>
  </si>
  <si>
    <t>Consumer Staples</t>
  </si>
  <si>
    <t>Food Products</t>
  </si>
  <si>
    <t>ALGN UQ Equity</t>
  </si>
  <si>
    <t>Align Technology Inc</t>
  </si>
  <si>
    <t>ALMC UQ Equity</t>
  </si>
  <si>
    <t>Alimco Financial Corp</t>
  </si>
  <si>
    <t>ALKS UQ Equity</t>
  </si>
  <si>
    <t>Alkermes PLC</t>
  </si>
  <si>
    <t>COHM UN Equity</t>
  </si>
  <si>
    <t>All American Group Inc</t>
  </si>
  <si>
    <t>ALGXQ UQ Equity</t>
  </si>
  <si>
    <t>Allegiance Telecom Inc</t>
  </si>
  <si>
    <t>0897262D UQ Equity</t>
  </si>
  <si>
    <t>Allegiant Bancorp Inc</t>
  </si>
  <si>
    <t>3386070Q UN Equity</t>
  </si>
  <si>
    <t>Allen Telecom LLC</t>
  </si>
  <si>
    <t>Health Care Providers &amp; Services</t>
  </si>
  <si>
    <t>AOI UN Equity</t>
  </si>
  <si>
    <t>Alliance One International Inc</t>
  </si>
  <si>
    <t>Tobacco</t>
  </si>
  <si>
    <t>ALTH UQ Equity</t>
  </si>
  <si>
    <t>Allos Therapeutics Inc</t>
  </si>
  <si>
    <t>ALOY UQ Equity</t>
  </si>
  <si>
    <t>Alloy Inc</t>
  </si>
  <si>
    <t>MDRX UQ Equity</t>
  </si>
  <si>
    <t>Allscripts Healthcare Solutions Inc</t>
  </si>
  <si>
    <t>Health Care Technology</t>
  </si>
  <si>
    <t>MEE UN Equity</t>
  </si>
  <si>
    <t>Alpha Appalachia Holdings Inc</t>
  </si>
  <si>
    <t>Hotels, Restaurants &amp; Leisure</t>
  </si>
  <si>
    <t>558319Q UA Equity</t>
  </si>
  <si>
    <t>AMC Entertainment Inc</t>
  </si>
  <si>
    <t>ACO UN Equity</t>
  </si>
  <si>
    <t>AMCOL International Corp</t>
  </si>
  <si>
    <t>AMFIQ UQ Equity</t>
  </si>
  <si>
    <t>Amcore Financial Inc</t>
  </si>
  <si>
    <t>3372216Q UQ Equity</t>
  </si>
  <si>
    <t>Amegy Bancorp Inc</t>
  </si>
  <si>
    <t>UHAL UQ Equity</t>
  </si>
  <si>
    <t>AMERCO</t>
  </si>
  <si>
    <t>Road &amp; Rail</t>
  </si>
  <si>
    <t>ACAS UQ Equity</t>
  </si>
  <si>
    <t>American Capital Ltd</t>
  </si>
  <si>
    <t>Capital Markets</t>
  </si>
  <si>
    <t>AMFH UQ Equity</t>
  </si>
  <si>
    <t>American Financial Holdings Inc/CT</t>
  </si>
  <si>
    <t>AHMH UQ Equity</t>
  </si>
  <si>
    <t>American Home Mortgage Holdings Inc</t>
  </si>
  <si>
    <t>AIPC UN Equity</t>
  </si>
  <si>
    <t>American Italian Pasta Co</t>
  </si>
  <si>
    <t>AMZ UN Equity</t>
  </si>
  <si>
    <t>American Medical Security Group Inc</t>
  </si>
  <si>
    <t>AMMD UQ Equity</t>
  </si>
  <si>
    <t>American Medical Systems Holdings Inc</t>
  </si>
  <si>
    <t>AMNB UQ Equity</t>
  </si>
  <si>
    <t>American National Bankshares Inc</t>
  </si>
  <si>
    <t>ACAP UQ Equity</t>
  </si>
  <si>
    <t>American Physicians Capital Inc</t>
  </si>
  <si>
    <t>AWR UN Equity</t>
  </si>
  <si>
    <t>American States Water Co</t>
  </si>
  <si>
    <t>Utilities</t>
  </si>
  <si>
    <t>Water Utilities</t>
  </si>
  <si>
    <t>AMSC UQ Equity</t>
  </si>
  <si>
    <t>American Superconductor Corp</t>
  </si>
  <si>
    <t>AMT UN Equity</t>
  </si>
  <si>
    <t>American Tower Corp</t>
  </si>
  <si>
    <t>AMWD UQ Equity</t>
  </si>
  <si>
    <t>American Woodmark Corp</t>
  </si>
  <si>
    <t>AGP UN Equity</t>
  </si>
  <si>
    <t>AMERIGROUP Corp</t>
  </si>
  <si>
    <t>3610812Q UQ Equity</t>
  </si>
  <si>
    <t>AmeriPath Inc</t>
  </si>
  <si>
    <t>ABCB UQ Equity</t>
  </si>
  <si>
    <t>Ameris Bancorp</t>
  </si>
  <si>
    <t>ASCA UQ Equity</t>
  </si>
  <si>
    <t>Ameristar Casinos Inc</t>
  </si>
  <si>
    <t>1449779D UN Equity</t>
  </si>
  <si>
    <t>Ameron International Corp</t>
  </si>
  <si>
    <t>AME UN Equity</t>
  </si>
  <si>
    <t>AMETEK Inc</t>
  </si>
  <si>
    <t>737929Q UN Equity</t>
  </si>
  <si>
    <t>AMLI Residential Properties Trust</t>
  </si>
  <si>
    <t>AMSG UQ Equity</t>
  </si>
  <si>
    <t>Amsurg Corp</t>
  </si>
  <si>
    <t>AMLN UQ Equity</t>
  </si>
  <si>
    <t>Amylin Pharmaceuticals LLC</t>
  </si>
  <si>
    <t>ALOG UQ Equity</t>
  </si>
  <si>
    <t>Analogic Corp</t>
  </si>
  <si>
    <t>ANEN UQ Equity</t>
  </si>
  <si>
    <t>Anaren Inc</t>
  </si>
  <si>
    <t>ABCWQ UQ Equity</t>
  </si>
  <si>
    <t>Anchor BanCorp Wisconsin Inc/Old</t>
  </si>
  <si>
    <t>3190818Q UN Equity</t>
  </si>
  <si>
    <t>Angelica Corp</t>
  </si>
  <si>
    <t>AXE UN Equity</t>
  </si>
  <si>
    <t>Anixter International Inc</t>
  </si>
  <si>
    <t>ANN UN Equity</t>
  </si>
  <si>
    <t>ANN Inc</t>
  </si>
  <si>
    <t>ANSS UQ Equity</t>
  </si>
  <si>
    <t>ANSYS Inc</t>
  </si>
  <si>
    <t>ACPIQ UN Equity</t>
  </si>
  <si>
    <t>Anthracite Capital Inc</t>
  </si>
  <si>
    <t>ANH UA Equity</t>
  </si>
  <si>
    <t>Anworth Mortgage Asset Corp</t>
  </si>
  <si>
    <t>Mortgage Real Estate Investment Trusts (REITs)</t>
  </si>
  <si>
    <t>AOS UN Equity</t>
  </si>
  <si>
    <t>AO Smith Corp</t>
  </si>
  <si>
    <t>APAC UQ Equity</t>
  </si>
  <si>
    <t>APAC Customer Services Inc</t>
  </si>
  <si>
    <t>AXM UA Equity</t>
  </si>
  <si>
    <t>Apex Mortgage Capital Inc</t>
  </si>
  <si>
    <t>APHTQ UQ Equity</t>
  </si>
  <si>
    <t>Aphton Corp</t>
  </si>
  <si>
    <t>APOG UQ Equity</t>
  </si>
  <si>
    <t>Apogee Enterprises Inc</t>
  </si>
  <si>
    <t>APN UN Equity</t>
  </si>
  <si>
    <t>Applica Inc</t>
  </si>
  <si>
    <t>1292446D UQ Equity</t>
  </si>
  <si>
    <t>Applied Films Corp</t>
  </si>
  <si>
    <t>AIT UN Equity</t>
  </si>
  <si>
    <t>Applied Industrial Technologies Inc</t>
  </si>
  <si>
    <t>Trading Companies &amp; Distributors</t>
  </si>
  <si>
    <t>AMEV UQ Equity</t>
  </si>
  <si>
    <t>Applied Molecular Evolution Inc</t>
  </si>
  <si>
    <t>AHG UN Equity</t>
  </si>
  <si>
    <t>Apria Healthcare Group Inc</t>
  </si>
  <si>
    <t>AQNT UQ Equity</t>
  </si>
  <si>
    <t>aQuantive Inc</t>
  </si>
  <si>
    <t>ARCB UQ Equity</t>
  </si>
  <si>
    <t>ArcBest Corp</t>
  </si>
  <si>
    <t>ARJ UN Equity</t>
  </si>
  <si>
    <t>Arch Chemicals Inc</t>
  </si>
  <si>
    <t>ACIIQ UN Equity</t>
  </si>
  <si>
    <t>Arch Coal Inc</t>
  </si>
  <si>
    <t>Energy</t>
  </si>
  <si>
    <t>Oil, Gas &amp; Consumable Fuels</t>
  </si>
  <si>
    <t>ACAT UQ Equity</t>
  </si>
  <si>
    <t>Arctic Cat Inc</t>
  </si>
  <si>
    <t>Leisure Products</t>
  </si>
  <si>
    <t>ARDNA UQ Equity</t>
  </si>
  <si>
    <t>Arden Group Inc</t>
  </si>
  <si>
    <t>ARNA UQ Equity</t>
  </si>
  <si>
    <t>Arena Pharmaceuticals Inc</t>
  </si>
  <si>
    <t>2230451Q UQ Equity</t>
  </si>
  <si>
    <t>Argonaut Group Inc/Old</t>
  </si>
  <si>
    <t>AGY UN Equity</t>
  </si>
  <si>
    <t>Argosy Gaming Co</t>
  </si>
  <si>
    <t>ARIA UQ Equity</t>
  </si>
  <si>
    <t>ARIAD Pharmaceuticals Inc</t>
  </si>
  <si>
    <t>ARBA UQ Equity</t>
  </si>
  <si>
    <t>Ariba Inc</t>
  </si>
  <si>
    <t>AI UN Equity</t>
  </si>
  <si>
    <t>Arlington Asset Investment Corp</t>
  </si>
  <si>
    <t>ARQL UQ Equity</t>
  </si>
  <si>
    <t>ArQule Inc</t>
  </si>
  <si>
    <t>ARRY UQ Equity</t>
  </si>
  <si>
    <t>Array BioPharma Inc</t>
  </si>
  <si>
    <t>ARRS UQ Equity</t>
  </si>
  <si>
    <t>ARRIS International PLC</t>
  </si>
  <si>
    <t>AROW UQ Equity</t>
  </si>
  <si>
    <t>Arrow Financial Corp</t>
  </si>
  <si>
    <t>ARRO UQ Equity</t>
  </si>
  <si>
    <t>Arrow International Inc</t>
  </si>
  <si>
    <t>ATSN UQ Equity</t>
  </si>
  <si>
    <t>Artesyn Embedded Technologies Inc</t>
  </si>
  <si>
    <t>ARTC UQ Equity</t>
  </si>
  <si>
    <t>ArthroCare Corp</t>
  </si>
  <si>
    <t>2231756Q UQ Equity</t>
  </si>
  <si>
    <t>Artisan Components Inc</t>
  </si>
  <si>
    <t>ASNA UQ Equity</t>
  </si>
  <si>
    <t>Ascena Retail Group Inc</t>
  </si>
  <si>
    <t>AMGIA UQ Equity</t>
  </si>
  <si>
    <t>Ascent Media Group LLC</t>
  </si>
  <si>
    <t>1436225D UQ Equity</t>
  </si>
  <si>
    <t>Ascential Software Corp</t>
  </si>
  <si>
    <t>ASIA UQ Equity</t>
  </si>
  <si>
    <t>AsiaInfo-Linkage Inc</t>
  </si>
  <si>
    <t>3075370Q UQ Equity</t>
  </si>
  <si>
    <t>Aspect Communications Corp</t>
  </si>
  <si>
    <t>AZPN UQ Equity</t>
  </si>
  <si>
    <t>Aspen Technology Inc</t>
  </si>
  <si>
    <t>ASTE UQ Equity</t>
  </si>
  <si>
    <t>Astec Industries Inc</t>
  </si>
  <si>
    <t>ASTX UQ Equity</t>
  </si>
  <si>
    <t>Astex Pharmaceuticals Inc</t>
  </si>
  <si>
    <t>APWRQ UQ Equity</t>
  </si>
  <si>
    <t>AstroPower Inc</t>
  </si>
  <si>
    <t>ASYTQ UQ Equity</t>
  </si>
  <si>
    <t>Asyst Technologies Inc</t>
  </si>
  <si>
    <t>ATAHQ UQ Equity</t>
  </si>
  <si>
    <t>ATA Holdings Corp</t>
  </si>
  <si>
    <t>0615890D UQ Equity</t>
  </si>
  <si>
    <t>Atari Inc</t>
  </si>
  <si>
    <t>ATAC UQ Equity</t>
  </si>
  <si>
    <t>ATC Technology Corp/IL</t>
  </si>
  <si>
    <t>AGIXQ UQ Equity</t>
  </si>
  <si>
    <t>Atherogenics Inc</t>
  </si>
  <si>
    <t>LDSH UQ Equity</t>
  </si>
  <si>
    <t>ATI Ladish LLC</t>
  </si>
  <si>
    <t>ATLC UQ Equity</t>
  </si>
  <si>
    <t>Atlanticus Holdings Corp</t>
  </si>
  <si>
    <t>Consumer Finance</t>
  </si>
  <si>
    <t>AAWHQ UN Equity</t>
  </si>
  <si>
    <t>Atlas Air Worldwide Holdings Inc/Old</t>
  </si>
  <si>
    <t>ATO UN Equity</t>
  </si>
  <si>
    <t>Atmos Energy Corp</t>
  </si>
  <si>
    <t>Gas Utilities</t>
  </si>
  <si>
    <t>ATW UN Equity</t>
  </si>
  <si>
    <t>Atwood Oceanics Inc</t>
  </si>
  <si>
    <t>Energy Equipment &amp; Services</t>
  </si>
  <si>
    <t>AURFQ UN Equity</t>
  </si>
  <si>
    <t>Aurora Foods Inc</t>
  </si>
  <si>
    <t>0966147D UQ Equity</t>
  </si>
  <si>
    <t>Authorize.Net Holdings Inc</t>
  </si>
  <si>
    <t>AVHI UQ Equity</t>
  </si>
  <si>
    <t>AV Homes Inc</t>
  </si>
  <si>
    <t>Household Durables</t>
  </si>
  <si>
    <t>AVNR UA Equity</t>
  </si>
  <si>
    <t>Avanir Pharmaceuticals Inc</t>
  </si>
  <si>
    <t>Pharmaceuticals</t>
  </si>
  <si>
    <t>7585377Q UN Equity</t>
  </si>
  <si>
    <t>Aviall Inc</t>
  </si>
  <si>
    <t>STXN UQ Equity</t>
  </si>
  <si>
    <t>Aviat US Inc</t>
  </si>
  <si>
    <t>AVID UQ Equity</t>
  </si>
  <si>
    <t>Avid Technology Inc</t>
  </si>
  <si>
    <t>AVGN UQ Equity</t>
  </si>
  <si>
    <t>Avigen Inc</t>
  </si>
  <si>
    <t>AVIR UQ Equity</t>
  </si>
  <si>
    <t>Aviragen Therapeutics Inc</t>
  </si>
  <si>
    <t>AVA UN Equity</t>
  </si>
  <si>
    <t>Avista Corp</t>
  </si>
  <si>
    <t>Multi-Utilities</t>
  </si>
  <si>
    <t>AVCT UQ Equity</t>
  </si>
  <si>
    <t>Avocent Corp</t>
  </si>
  <si>
    <t>ACLS UQ Equity</t>
  </si>
  <si>
    <t>Axcelis Technologies Inc</t>
  </si>
  <si>
    <t>AXLL UN Equity</t>
  </si>
  <si>
    <t>Axiall Corp</t>
  </si>
  <si>
    <t>AXTI UQ Equity</t>
  </si>
  <si>
    <t>AXT Inc</t>
  </si>
  <si>
    <t>AZR UN Equity</t>
  </si>
  <si>
    <t>Aztar Corp</t>
  </si>
  <si>
    <t>BEAV UQ Equity</t>
  </si>
  <si>
    <t>B/E Aerospace Inc</t>
  </si>
  <si>
    <t>3406956Q UN Equity</t>
  </si>
  <si>
    <t>BAE Systems AH Inc</t>
  </si>
  <si>
    <t>UDI UN Equity</t>
  </si>
  <si>
    <t>BAE Systems Land &amp; Armaments Inc</t>
  </si>
  <si>
    <t>BEZ UN Equity</t>
  </si>
  <si>
    <t>Baldor Electric Co</t>
  </si>
  <si>
    <t>BWINB UQ Equity</t>
  </si>
  <si>
    <t>Baldwin &amp; Lyons Inc</t>
  </si>
  <si>
    <t>Insurance</t>
  </si>
  <si>
    <t>BYI UN Equity</t>
  </si>
  <si>
    <t>Bally Technologies Inc</t>
  </si>
  <si>
    <t>BFTH UN Equity</t>
  </si>
  <si>
    <t>Bally Total Fitness Holding Corp</t>
  </si>
  <si>
    <t>BANF UQ Equity</t>
  </si>
  <si>
    <t>BancFirst Corp</t>
  </si>
  <si>
    <t>2857666Q UN Equity</t>
  </si>
  <si>
    <t>Bandag Inc</t>
  </si>
  <si>
    <t>BKMU UQ Equity</t>
  </si>
  <si>
    <t>Bank Mutual Corp</t>
  </si>
  <si>
    <t>Thrifts &amp; Mortgage Finance</t>
  </si>
  <si>
    <t>GRAN UQ Equity</t>
  </si>
  <si>
    <t>Bank of Granite Corp</t>
  </si>
  <si>
    <t>OZRK UQ Equity</t>
  </si>
  <si>
    <t>Bank of the Ozarks Inc</t>
  </si>
  <si>
    <t>BKUNQ UQ Equity</t>
  </si>
  <si>
    <t>BankUnited Financial Corp</t>
  </si>
  <si>
    <t>BANR UQ Equity</t>
  </si>
  <si>
    <t>Banner Corp</t>
  </si>
  <si>
    <t>BN UN Equity</t>
  </si>
  <si>
    <t>Banta Corp</t>
  </si>
  <si>
    <t>B UN Equity</t>
  </si>
  <si>
    <t>Barnes Group Inc</t>
  </si>
  <si>
    <t>7772872Q UQ Equity</t>
  </si>
  <si>
    <t>Barra Inc</t>
  </si>
  <si>
    <t>VRNM UQ Equity</t>
  </si>
  <si>
    <t>BASF Enzymes LLC</t>
  </si>
  <si>
    <t>BSET UQ Equity</t>
  </si>
  <si>
    <t>Bassett Furniture Industries Inc</t>
  </si>
  <si>
    <t>BBX UN Equity</t>
  </si>
  <si>
    <t>BBX Capital Corp /Old</t>
  </si>
  <si>
    <t>Diversified Financial Services</t>
  </si>
  <si>
    <t>BBGI UQ Equity</t>
  </si>
  <si>
    <t>Beasley Broadcast Group Inc</t>
  </si>
  <si>
    <t>BZH UN Equity</t>
  </si>
  <si>
    <t>Beazer Homes USA Inc</t>
  </si>
  <si>
    <t>BEBE UQ Equity</t>
  </si>
  <si>
    <t>bebe stores inc</t>
  </si>
  <si>
    <t>BED UN Equity</t>
  </si>
  <si>
    <t>Bedford Property Investors Inc</t>
  </si>
  <si>
    <t>BEIQ UQ Equity</t>
  </si>
  <si>
    <t>BEI Technologies Inc</t>
  </si>
  <si>
    <t>BELFB UQ Equity</t>
  </si>
  <si>
    <t>Bel Fuse Inc</t>
  </si>
  <si>
    <t>634196Q UN Equity</t>
  </si>
  <si>
    <t>Belden Inc/Old</t>
  </si>
  <si>
    <t>BELM UQ Equity</t>
  </si>
  <si>
    <t>Bell Microproducts Inc</t>
  </si>
  <si>
    <t>BHE UN Equity</t>
  </si>
  <si>
    <t>Benchmark Electronics Inc</t>
  </si>
  <si>
    <t>BNHNA UQ Equity</t>
  </si>
  <si>
    <t>Benihana Inc</t>
  </si>
  <si>
    <t>BNT UA Equity</t>
  </si>
  <si>
    <t>Bentley Pharmaceuticals Inc</t>
  </si>
  <si>
    <t>BHLB UA Equity</t>
  </si>
  <si>
    <t>Berkshire Hills Bancorp Inc</t>
  </si>
  <si>
    <t>BRY UN Equity</t>
  </si>
  <si>
    <t>Berry Petroleum Co LLC</t>
  </si>
  <si>
    <t>BGCP UQ Equity</t>
  </si>
  <si>
    <t>BGC Partners Inc</t>
  </si>
  <si>
    <t>BOY UN Equity</t>
  </si>
  <si>
    <t>BH Lodging Corp</t>
  </si>
  <si>
    <t>BH UN Equity</t>
  </si>
  <si>
    <t>Biglari Holdings Inc</t>
  </si>
  <si>
    <t>BIO UA Equity</t>
  </si>
  <si>
    <t>Bio-Rad Laboratories Inc</t>
  </si>
  <si>
    <t>BRLI UQ Equity</t>
  </si>
  <si>
    <t>Bio-Reference Laboratories Inc</t>
  </si>
  <si>
    <t>TECH UQ Equity</t>
  </si>
  <si>
    <t>Bio-Techne Corp</t>
  </si>
  <si>
    <t>BMRN UQ Equity</t>
  </si>
  <si>
    <t>BioMarin Pharmaceutical Inc</t>
  </si>
  <si>
    <t>BREL UQ Equity</t>
  </si>
  <si>
    <t>BioReliance Corp</t>
  </si>
  <si>
    <t>BIOS UQ Equity</t>
  </si>
  <si>
    <t>BioScrip Inc</t>
  </si>
  <si>
    <t>BSTE UQ Equity</t>
  </si>
  <si>
    <t>Biosite Inc</t>
  </si>
  <si>
    <t>ACCL UQ Equity</t>
  </si>
  <si>
    <t>Biovia Corp</t>
  </si>
  <si>
    <t>BJRI UQ Equity</t>
  </si>
  <si>
    <t>BJ's Restaurants Inc</t>
  </si>
  <si>
    <t>BKFG UN Equity</t>
  </si>
  <si>
    <t>BKF Capital Group Inc</t>
  </si>
  <si>
    <t>BBOX UQ Equity</t>
  </si>
  <si>
    <t>Black Box Corp</t>
  </si>
  <si>
    <t>BKH UN Equity</t>
  </si>
  <si>
    <t>Black Hills Corp</t>
  </si>
  <si>
    <t>1447201D UA Equity</t>
  </si>
  <si>
    <t>Blair Corp</t>
  </si>
  <si>
    <t>BTH UN Equity</t>
  </si>
  <si>
    <t>Blyth Inc</t>
  </si>
  <si>
    <t>ZQKSQ UN Equity</t>
  </si>
  <si>
    <t>Boardriders Inc</t>
  </si>
  <si>
    <t>Textiles, Apparel &amp; Luxury Goods</t>
  </si>
  <si>
    <t>BOBE UQ Equity</t>
  </si>
  <si>
    <t>Bob Evans Farms Inc/DE</t>
  </si>
  <si>
    <t>3010596Q UN Equity</t>
  </si>
  <si>
    <t>Boca Resorts Inc</t>
  </si>
  <si>
    <t>BBAO UN Equity</t>
  </si>
  <si>
    <t>Bombay Co Inc/The</t>
  </si>
  <si>
    <t>BCII UQ Equity</t>
  </si>
  <si>
    <t>Bone Care International Inc</t>
  </si>
  <si>
    <t>BORL UQ Equity</t>
  </si>
  <si>
    <t>Borland Software Corp Inc</t>
  </si>
  <si>
    <t>SAM UN Equity</t>
  </si>
  <si>
    <t>Boston Beer Co Inc/The</t>
  </si>
  <si>
    <t>Beverages</t>
  </si>
  <si>
    <t>BCGI UQ Equity</t>
  </si>
  <si>
    <t>Boston Communications Group Inc</t>
  </si>
  <si>
    <t>BPFH UQ Equity</t>
  </si>
  <si>
    <t>Boston Private Financial Holdings Inc</t>
  </si>
  <si>
    <t>913636Q UA Equity</t>
  </si>
  <si>
    <t>BostonFed Bancorp Inc</t>
  </si>
  <si>
    <t>BYD UN Equity</t>
  </si>
  <si>
    <t>Boyd Gaming Corp</t>
  </si>
  <si>
    <t>BOYD UN Equity</t>
  </si>
  <si>
    <t>Boyds Collection Ltd/Old</t>
  </si>
  <si>
    <t>BDY UQ Equity</t>
  </si>
  <si>
    <t>Bradley Pharmaceuticals Inc</t>
  </si>
  <si>
    <t>BRC UN Equity</t>
  </si>
  <si>
    <t>Brady Corp</t>
  </si>
  <si>
    <t>BDN UN Equity</t>
  </si>
  <si>
    <t>Brandywine Realty Trust</t>
  </si>
  <si>
    <t>BRID UQ Equity</t>
  </si>
  <si>
    <t>Bridgford Foods Corp</t>
  </si>
  <si>
    <t>BGG UN Equity</t>
  </si>
  <si>
    <t>Briggs &amp; Stratton Corp</t>
  </si>
  <si>
    <t>0618828D UQ Equity</t>
  </si>
  <si>
    <t>Bright Horizons Family Solutions Inc/Old</t>
  </si>
  <si>
    <t>BRS UQ Equity</t>
  </si>
  <si>
    <t>Bristow Group Inc</t>
  </si>
  <si>
    <t>BRKL UQ Equity</t>
  </si>
  <si>
    <t>Brookline Bancorp Inc</t>
  </si>
  <si>
    <t>BRKS UQ Equity</t>
  </si>
  <si>
    <t>Brooks Automation Inc</t>
  </si>
  <si>
    <t>BKST UQ Equity</t>
  </si>
  <si>
    <t>Brookstone Inc</t>
  </si>
  <si>
    <t>0814801D UQ Equity</t>
  </si>
  <si>
    <t>Bruker AXS Inc</t>
  </si>
  <si>
    <t>BRKR UQ Equity</t>
  </si>
  <si>
    <t>Bruker Corp</t>
  </si>
  <si>
    <t>BMTC UQ Equity</t>
  </si>
  <si>
    <t>Bryn Mawr Bank Corp</t>
  </si>
  <si>
    <t>BSBN UQ Equity</t>
  </si>
  <si>
    <t>BSB Bancorp Inc/NY</t>
  </si>
  <si>
    <t>BSMLQ UR Equity</t>
  </si>
  <si>
    <t>BSML Inc</t>
  </si>
  <si>
    <t>BUCA UQ Equity</t>
  </si>
  <si>
    <t>BUCA Inc</t>
  </si>
  <si>
    <t>BKI UN Equity</t>
  </si>
  <si>
    <t>Buckeye Technologies Inc</t>
  </si>
  <si>
    <t>BKE UN Equity</t>
  </si>
  <si>
    <t>Buckle Inc/The</t>
  </si>
  <si>
    <t>BLGM UQ Equity</t>
  </si>
  <si>
    <t>Building Materials Holding Corp</t>
  </si>
  <si>
    <t>800805Q UN Equity</t>
  </si>
  <si>
    <t>Burlington Coat Factory Warehouse Corp</t>
  </si>
  <si>
    <t>1429742D UN Equity</t>
  </si>
  <si>
    <t>Bush Industries Inc</t>
  </si>
  <si>
    <t>BBR UN Equity</t>
  </si>
  <si>
    <t>Butler Manufacturing Co</t>
  </si>
  <si>
    <t>BY UN Equity</t>
  </si>
  <si>
    <t>BWAY Corp</t>
  </si>
  <si>
    <t>CHHP UN Equity</t>
  </si>
  <si>
    <t>C&amp;D Technologies Inc</t>
  </si>
  <si>
    <t>CCBL UQ Equity</t>
  </si>
  <si>
    <t>C-COR Inc/Old</t>
  </si>
  <si>
    <t>CDT UN Equity</t>
  </si>
  <si>
    <t>Cable Design Technologies Corp</t>
  </si>
  <si>
    <t>CCMP UQ Equity</t>
  </si>
  <si>
    <t>Cabot Microelectronics Corp</t>
  </si>
  <si>
    <t>COG UN Equity</t>
  </si>
  <si>
    <t>Cabot Oil &amp; Gas Corp</t>
  </si>
  <si>
    <t>LENXQ UN Equity</t>
  </si>
  <si>
    <t>CAC Group Inc</t>
  </si>
  <si>
    <t>CACH UQ Equity</t>
  </si>
  <si>
    <t>Cache Inc</t>
  </si>
  <si>
    <t>CACI UN Equity</t>
  </si>
  <si>
    <t>CACI International Inc</t>
  </si>
  <si>
    <t>IT Services</t>
  </si>
  <si>
    <t>CDZI UQ Equity</t>
  </si>
  <si>
    <t>Cadiz Inc</t>
  </si>
  <si>
    <t>CAA UN Equity</t>
  </si>
  <si>
    <t>CalAtlantic Group Inc</t>
  </si>
  <si>
    <t>CAL UN Equity</t>
  </si>
  <si>
    <t>Caleres Inc</t>
  </si>
  <si>
    <t>CCC UN Equity</t>
  </si>
  <si>
    <t>Calgon Carbon Corp</t>
  </si>
  <si>
    <t>CFNB UQ Equity</t>
  </si>
  <si>
    <t>California First National Bancorp</t>
  </si>
  <si>
    <t>CPKI UQ Equity</t>
  </si>
  <si>
    <t>California Pizza Kitchen Inc</t>
  </si>
  <si>
    <t>CWT UN Equity</t>
  </si>
  <si>
    <t>California Water Service Group</t>
  </si>
  <si>
    <t>CALP UQ Equity</t>
  </si>
  <si>
    <t>Caliper Life Sciences Inc</t>
  </si>
  <si>
    <t>CBM UN Equity</t>
  </si>
  <si>
    <t>Cambrex Corp</t>
  </si>
  <si>
    <t>CAC UA Equity</t>
  </si>
  <si>
    <t>Camden National Corp</t>
  </si>
  <si>
    <t>CSKEQ UN Equity</t>
  </si>
  <si>
    <t>Canal Corp</t>
  </si>
  <si>
    <t>CMD UN Equity</t>
  </si>
  <si>
    <t>Cantel Medical Corp</t>
  </si>
  <si>
    <t>1438055D UQ Equity</t>
  </si>
  <si>
    <t>Capital Automotive REIT</t>
  </si>
  <si>
    <t>CCBG UQ Equity</t>
  </si>
  <si>
    <t>Capital City Bank Group Inc</t>
  </si>
  <si>
    <t>CBCRQ UQ Equity</t>
  </si>
  <si>
    <t>Capitol Bancorp Ltd</t>
  </si>
  <si>
    <t>CMO UN Equity</t>
  </si>
  <si>
    <t>Capstead Mortgage Corp</t>
  </si>
  <si>
    <t>CAPS UQ Equity</t>
  </si>
  <si>
    <t>Capstone Therapeutics Corp</t>
  </si>
  <si>
    <t>CPST UQ Equity</t>
  </si>
  <si>
    <t>Capstone Turbine Corp</t>
  </si>
  <si>
    <t>CSARQ UQ Equity</t>
  </si>
  <si>
    <t>Caraustar Industries Inc</t>
  </si>
  <si>
    <t>CRR UN Equity</t>
  </si>
  <si>
    <t>CARBO Ceramics Inc</t>
  </si>
  <si>
    <t>DTPI UQ Equity</t>
  </si>
  <si>
    <t>Carbon Merger Subsidiary Inc</t>
  </si>
  <si>
    <t>DFIB UQ Equity</t>
  </si>
  <si>
    <t>Cardiac Science Inc</t>
  </si>
  <si>
    <t>CDIC UQ Equity</t>
  </si>
  <si>
    <t>Cardiodynamics International Corp</t>
  </si>
  <si>
    <t>VAS UN Equity</t>
  </si>
  <si>
    <t>CareFusion 202 Inc</t>
  </si>
  <si>
    <t>1292299D UA Equity</t>
  </si>
  <si>
    <t>CareFusion 303 Inc</t>
  </si>
  <si>
    <t>CSL UN Equity</t>
  </si>
  <si>
    <t>Carlisle Cos Inc</t>
  </si>
  <si>
    <t>Industrial Conglomerates</t>
  </si>
  <si>
    <t>CRS UN Equity</t>
  </si>
  <si>
    <t>Carpenter Technology Corp</t>
  </si>
  <si>
    <t>CANI UQ Equity</t>
  </si>
  <si>
    <t>Carreker Corp</t>
  </si>
  <si>
    <t>CACB UR Equity</t>
  </si>
  <si>
    <t>Cascade Bancorp</t>
  </si>
  <si>
    <t>1411788D UN Equity</t>
  </si>
  <si>
    <t>Cascade Corp</t>
  </si>
  <si>
    <t>3526894Q UN Equity</t>
  </si>
  <si>
    <t>Cascade Natural Gas Corp</t>
  </si>
  <si>
    <t>CWST UQ Equity</t>
  </si>
  <si>
    <t>Casella Waste Systems Inc</t>
  </si>
  <si>
    <t>CASY UQ Equity</t>
  </si>
  <si>
    <t>Casey's General Stores Inc</t>
  </si>
  <si>
    <t>Food &amp; Staples Retailing</t>
  </si>
  <si>
    <t>CSH UN Equity</t>
  </si>
  <si>
    <t>Cash America International Inc</t>
  </si>
  <si>
    <t>CHSI UQ Equity</t>
  </si>
  <si>
    <t>Catalyst Health Solutions Inc</t>
  </si>
  <si>
    <t>CATT UQ Equity</t>
  </si>
  <si>
    <t>Catapult Communications Corp</t>
  </si>
  <si>
    <t>CATY UQ Equity</t>
  </si>
  <si>
    <t>Cathay General Bancorp</t>
  </si>
  <si>
    <t>CATO UN Equity</t>
  </si>
  <si>
    <t>Cato Corp/The</t>
  </si>
  <si>
    <t>548335Q UQ Equity</t>
  </si>
  <si>
    <t>CB Bancshares Inc</t>
  </si>
  <si>
    <t>CBZ UQ Equity</t>
  </si>
  <si>
    <t>CBIZ Inc</t>
  </si>
  <si>
    <t>CBL UN Equity</t>
  </si>
  <si>
    <t>CBL &amp; Associates Properties Inc</t>
  </si>
  <si>
    <t>CCBT UQ Equity</t>
  </si>
  <si>
    <t>CCBT Financial Cos Inc</t>
  </si>
  <si>
    <t>CCCG UQ Equity</t>
  </si>
  <si>
    <t>CCC Information Services Group Inc</t>
  </si>
  <si>
    <t>CDI UN Equity</t>
  </si>
  <si>
    <t>CDI Corp</t>
  </si>
  <si>
    <t>CEB UQ Equity</t>
  </si>
  <si>
    <t>CEB Inc</t>
  </si>
  <si>
    <t>CRA UN Equity</t>
  </si>
  <si>
    <t>Celera Corp</t>
  </si>
  <si>
    <t>CEGE UQ Equity</t>
  </si>
  <si>
    <t>Cell Genesys Inc</t>
  </si>
  <si>
    <t>CNC UQ Equity</t>
  </si>
  <si>
    <t>Centene Corp</t>
  </si>
  <si>
    <t>CYCL UQ Equity</t>
  </si>
  <si>
    <t>Centennial Communications Corp</t>
  </si>
  <si>
    <t>920479Q UQ Equity</t>
  </si>
  <si>
    <t>Center Cut Hospitality Inc</t>
  </si>
  <si>
    <t>CLNH UA Equity</t>
  </si>
  <si>
    <t>Centerline Holding Co</t>
  </si>
  <si>
    <t>CTLM UQ Equity</t>
  </si>
  <si>
    <t>Centillium Communications Inc</t>
  </si>
  <si>
    <t>950478Q UN Equity</t>
  </si>
  <si>
    <t>CentraCore Properties Trust</t>
  </si>
  <si>
    <t>CCBN UQ Equity</t>
  </si>
  <si>
    <t>Central Coast Bancorp</t>
  </si>
  <si>
    <t>CENT UQ Equity</t>
  </si>
  <si>
    <t>Central Garden &amp; Pet Co</t>
  </si>
  <si>
    <t>Household Products</t>
  </si>
  <si>
    <t>CPF UN Equity</t>
  </si>
  <si>
    <t>Central Pacific Financial Corp</t>
  </si>
  <si>
    <t>3306180Q UN Equity</t>
  </si>
  <si>
    <t>Central Parking Corp</t>
  </si>
  <si>
    <t>CV UN Equity</t>
  </si>
  <si>
    <t>Central Vermont Public Service Corp</t>
  </si>
  <si>
    <t>LEU UN Equity</t>
  </si>
  <si>
    <t>Centrus Energy Corp</t>
  </si>
  <si>
    <t>CENX UQ Equity</t>
  </si>
  <si>
    <t>Century Aluminum Co</t>
  </si>
  <si>
    <t>CNBKA UQ Equity</t>
  </si>
  <si>
    <t>Century Bancorp Inc/MA</t>
  </si>
  <si>
    <t>CVO UN Equity</t>
  </si>
  <si>
    <t>Cenveo Inc</t>
  </si>
  <si>
    <t>CPHD UQ Equity</t>
  </si>
  <si>
    <t>Cepheid</t>
  </si>
  <si>
    <t>CERG UQ Equity</t>
  </si>
  <si>
    <t>Ceres Group Inc</t>
  </si>
  <si>
    <t>CERS UQ Equity</t>
  </si>
  <si>
    <t>Cerus Corp</t>
  </si>
  <si>
    <t>CITZ UQ Equity</t>
  </si>
  <si>
    <t>CFS Bancorp Inc</t>
  </si>
  <si>
    <t>657123Q UQ Equity</t>
  </si>
  <si>
    <t>CGI Technologies &amp; Solutions Inc</t>
  </si>
  <si>
    <t>CHG UN Equity</t>
  </si>
  <si>
    <t>CH Energy Group Inc</t>
  </si>
  <si>
    <t>CJHBQ UN Equity</t>
  </si>
  <si>
    <t>Champion Enterprises Inc</t>
  </si>
  <si>
    <t>CPNT UN Equity</t>
  </si>
  <si>
    <t>Championship Auto Racing Teams Inc</t>
  </si>
  <si>
    <t>CMPP UQ Equity</t>
  </si>
  <si>
    <t>Champps Entertainment Inc</t>
  </si>
  <si>
    <t>CHIC UQ Equity</t>
  </si>
  <si>
    <t>Charlotte Russe Holding Inc</t>
  </si>
  <si>
    <t>1073675D UQ Equity</t>
  </si>
  <si>
    <t>Charming Shoppes Inc</t>
  </si>
  <si>
    <t>CHFN UQ Equity</t>
  </si>
  <si>
    <t>Charter Financial Corp/MD</t>
  </si>
  <si>
    <t>CPJ UN Equity</t>
  </si>
  <si>
    <t>Chateau Communities Inc</t>
  </si>
  <si>
    <t>CHTT UQ Equity</t>
  </si>
  <si>
    <t>Chattem Inc</t>
  </si>
  <si>
    <t>9474176Q UQ Equity</t>
  </si>
  <si>
    <t>Checkers Drive-In Restaurants Inc</t>
  </si>
  <si>
    <t>CKP UN Equity</t>
  </si>
  <si>
    <t>Checkpoint Systems Inc</t>
  </si>
  <si>
    <t>0942238D UN Equity</t>
  </si>
  <si>
    <t>Chelsea Property Group Inc</t>
  </si>
  <si>
    <t>CHE UN Equity</t>
  </si>
  <si>
    <t>Chemed Corp</t>
  </si>
  <si>
    <t>CHFC UQ Equity</t>
  </si>
  <si>
    <t>Chemical Financial Corp</t>
  </si>
  <si>
    <t>CEMJQ UN Equity</t>
  </si>
  <si>
    <t>Chemtura Corp/Old</t>
  </si>
  <si>
    <t>CHKE UQ Equity</t>
  </si>
  <si>
    <t>Cherokee Inc</t>
  </si>
  <si>
    <t>CHK UN Equity</t>
  </si>
  <si>
    <t>Chesapeake Energy Corp</t>
  </si>
  <si>
    <t>FAOOQ UQ Equity</t>
  </si>
  <si>
    <t>Children's Books &amp; Toys Inc</t>
  </si>
  <si>
    <t>PLCE UQ Equity</t>
  </si>
  <si>
    <t>Children's Place Inc/The</t>
  </si>
  <si>
    <t>3042466Q UQ Equity</t>
  </si>
  <si>
    <t>ChipPAC Inc</t>
  </si>
  <si>
    <t>CHZ UN Equity</t>
  </si>
  <si>
    <t>Chittenden Corp</t>
  </si>
  <si>
    <t>CHH UN Equity</t>
  </si>
  <si>
    <t>Choice Hotels International Inc</t>
  </si>
  <si>
    <t>3387288Q UQ Equity</t>
  </si>
  <si>
    <t>Cholestech Corp</t>
  </si>
  <si>
    <t>CHRD UQ Equity</t>
  </si>
  <si>
    <t>Chordiant Software Inc</t>
  </si>
  <si>
    <t>CBK UN Equity</t>
  </si>
  <si>
    <t>Christopher &amp; Banks Corp</t>
  </si>
  <si>
    <t>CHDN UQ Equity</t>
  </si>
  <si>
    <t>Churchill Downs Inc</t>
  </si>
  <si>
    <t>CBR UN Equity</t>
  </si>
  <si>
    <t>Ciber Inc</t>
  </si>
  <si>
    <t>CIMA UQ Equity</t>
  </si>
  <si>
    <t>Cima Labs Inc</t>
  </si>
  <si>
    <t>CBB UN Equity</t>
  </si>
  <si>
    <t>Cincinnati Bell Inc</t>
  </si>
  <si>
    <t>CIR UN Equity</t>
  </si>
  <si>
    <t>CIRCOR International Inc</t>
  </si>
  <si>
    <t>CRUS UQ Equity</t>
  </si>
  <si>
    <t>Cirrus Logic Inc</t>
  </si>
  <si>
    <t>CTZN UQ Equity</t>
  </si>
  <si>
    <t>Citizens First Bancorp Inc/MI</t>
  </si>
  <si>
    <t>CIA UN Equity</t>
  </si>
  <si>
    <t>Citizens Inc/TX</t>
  </si>
  <si>
    <t>CTBK UR Equity</t>
  </si>
  <si>
    <t>City Bank/Lynnwood WA</t>
  </si>
  <si>
    <t>CHCO UQ Equity</t>
  </si>
  <si>
    <t>City Holding Co</t>
  </si>
  <si>
    <t>CKR UN Equity</t>
  </si>
  <si>
    <t>CKE Restaurants Inc</t>
  </si>
  <si>
    <t>CLE UN Equity</t>
  </si>
  <si>
    <t>Claire's Stores Inc</t>
  </si>
  <si>
    <t>CLC UN Equity</t>
  </si>
  <si>
    <t>CLARCOR Inc</t>
  </si>
  <si>
    <t>CLK UN Equity</t>
  </si>
  <si>
    <t>Clark Inc</t>
  </si>
  <si>
    <t>CLRO US Equity</t>
  </si>
  <si>
    <t>ClearOne Inc</t>
  </si>
  <si>
    <t>CNL UN Equity</t>
  </si>
  <si>
    <t>Cleco Corporate Holdings LLC</t>
  </si>
  <si>
    <t>Electric Utilities</t>
  </si>
  <si>
    <t>CLF UN Equity</t>
  </si>
  <si>
    <t>Cliffs Natural Resources Inc</t>
  </si>
  <si>
    <t>0379754Q UQ Equity</t>
  </si>
  <si>
    <t>Closure Medical Corp</t>
  </si>
  <si>
    <t>SUR UN Equity</t>
  </si>
  <si>
    <t>CNA Surety Corp</t>
  </si>
  <si>
    <t>3549162Q UQ Equity</t>
  </si>
  <si>
    <t>CNET Networks Inc</t>
  </si>
  <si>
    <t>CBSA UQ Equity</t>
  </si>
  <si>
    <t>Coastal Bancorp Inc</t>
  </si>
  <si>
    <t>CFCP UR Equity</t>
  </si>
  <si>
    <t>Coastal Financial Corp/SC</t>
  </si>
  <si>
    <t>721090Q UN Equity</t>
  </si>
  <si>
    <t>Cobalt Corp</t>
  </si>
  <si>
    <t>COBZ UQ Equity</t>
  </si>
  <si>
    <t>CoBiz Financial Inc</t>
  </si>
  <si>
    <t>COKE UQ Equity</t>
  </si>
  <si>
    <t>Coca-Cola Bottling Co Consolidated</t>
  </si>
  <si>
    <t>CGNX UQ Equity</t>
  </si>
  <si>
    <t>Cognex Corp</t>
  </si>
  <si>
    <t>CTSH UQ Equity</t>
  </si>
  <si>
    <t>Cognizant Technology Solutions Corp</t>
  </si>
  <si>
    <t>COHR UQ Equity</t>
  </si>
  <si>
    <t>Coherent Inc</t>
  </si>
  <si>
    <t>COHU UQ Equity</t>
  </si>
  <si>
    <t>Cohu Inc</t>
  </si>
  <si>
    <t>CWTRQ UQ Equity</t>
  </si>
  <si>
    <t>Coldwater Creek Inc</t>
  </si>
  <si>
    <t>CNJ UN Equity</t>
  </si>
  <si>
    <t>Cole National Corp</t>
  </si>
  <si>
    <t>CKCRQ UN Equity</t>
  </si>
  <si>
    <t>Collins &amp; Aikman Corp</t>
  </si>
  <si>
    <t>CLP UN Equity</t>
  </si>
  <si>
    <t>Colonial Properties Trust</t>
  </si>
  <si>
    <t>CBMD UQ Equity</t>
  </si>
  <si>
    <t>Columbia Bancorp/MD</t>
  </si>
  <si>
    <t>COLB UQ Equity</t>
  </si>
  <si>
    <t>Columbia Banking System Inc</t>
  </si>
  <si>
    <t>CMCO UQ Equity</t>
  </si>
  <si>
    <t>Columbus McKinnon Corp/NY</t>
  </si>
  <si>
    <t>FIX UN Equity</t>
  </si>
  <si>
    <t>Comfort Systems USA Inc</t>
  </si>
  <si>
    <t>769050Q UN Equity</t>
  </si>
  <si>
    <t>Commercial Federal Corp</t>
  </si>
  <si>
    <t>CMC UN Equity</t>
  </si>
  <si>
    <t>Commercial Metals Co</t>
  </si>
  <si>
    <t>0964766D UQ Equity</t>
  </si>
  <si>
    <t>Commonwealth Telephone Enterprises Inc</t>
  </si>
  <si>
    <t>1074528D UN Equity</t>
  </si>
  <si>
    <t>CommScope Inc</t>
  </si>
  <si>
    <t>CBU UN Equity</t>
  </si>
  <si>
    <t>Community Bank System Inc</t>
  </si>
  <si>
    <t>CMTY UQ Equity</t>
  </si>
  <si>
    <t>Community Banks Inc/PA</t>
  </si>
  <si>
    <t>CFBX UQ Equity</t>
  </si>
  <si>
    <t>Community First Bankshares Inc</t>
  </si>
  <si>
    <t>CTBI UQ Equity</t>
  </si>
  <si>
    <t>Community Trust Bancorp Inc</t>
  </si>
  <si>
    <t>623366Q UQ Equity</t>
  </si>
  <si>
    <t>CompuCom Systems Inc</t>
  </si>
  <si>
    <t>CHZS UQ Equity</t>
  </si>
  <si>
    <t>Computer Horizons Corp</t>
  </si>
  <si>
    <t>894800Q UQ Equity</t>
  </si>
  <si>
    <t>Computer Network Technology Corp</t>
  </si>
  <si>
    <t>CIX UN Equity</t>
  </si>
  <si>
    <t>CompX International Inc</t>
  </si>
  <si>
    <t>CRK UN Equity</t>
  </si>
  <si>
    <t>Comstock Resources Inc</t>
  </si>
  <si>
    <t>CPTS UQ Equity</t>
  </si>
  <si>
    <t>Conceptus Inc</t>
  </si>
  <si>
    <t>0964668D UQ Equity</t>
  </si>
  <si>
    <t>Concord Camera Corp</t>
  </si>
  <si>
    <t>2268398Q UQ Equity</t>
  </si>
  <si>
    <t>Concord Communications LLC</t>
  </si>
  <si>
    <t>CCUR UQ Equity</t>
  </si>
  <si>
    <t>Concurrent Computer Corp</t>
  </si>
  <si>
    <t>CNMD UQ Equity</t>
  </si>
  <si>
    <t>CONMED Corp</t>
  </si>
  <si>
    <t>SBMC UQ Equity</t>
  </si>
  <si>
    <t>Connecticut Bancshares Inc/de</t>
  </si>
  <si>
    <t>CTWS UQ Equity</t>
  </si>
  <si>
    <t>Connecticut Water Service Inc</t>
  </si>
  <si>
    <t>1270572Q UQ Equity</t>
  </si>
  <si>
    <t>Connetics Corp</t>
  </si>
  <si>
    <t>CGX UN Equity</t>
  </si>
  <si>
    <t>Consolidated Graphics Inc</t>
  </si>
  <si>
    <t>CNVR UQ Equity</t>
  </si>
  <si>
    <t>Conversant Inc</t>
  </si>
  <si>
    <t>COO UN Equity</t>
  </si>
  <si>
    <t>Cooper Cos Inc/The</t>
  </si>
  <si>
    <t>CRTK UQ Equity</t>
  </si>
  <si>
    <t>CoorsTek Inc</t>
  </si>
  <si>
    <t>CXW UN Equity</t>
  </si>
  <si>
    <t>CoreCivic Inc</t>
  </si>
  <si>
    <t>COCOQ UQ Equity</t>
  </si>
  <si>
    <t>Corinthian Colleges Inc</t>
  </si>
  <si>
    <t>Diversified Consumer Services</t>
  </si>
  <si>
    <t>CRXA UQ Equity</t>
  </si>
  <si>
    <t>Corixa Corp</t>
  </si>
  <si>
    <t>TCR UN Equity</t>
  </si>
  <si>
    <t>Cornerstone Realty Income Trust Inc</t>
  </si>
  <si>
    <t>OFC UN Equity</t>
  </si>
  <si>
    <t>Corporate Office Properties Trust</t>
  </si>
  <si>
    <t>CORSQ UQ Equity</t>
  </si>
  <si>
    <t>Corus Bankshares Inc</t>
  </si>
  <si>
    <t>CRVL UQ Equity</t>
  </si>
  <si>
    <t>CorVel Corp</t>
  </si>
  <si>
    <t>CPWM UQ Equity</t>
  </si>
  <si>
    <t>Cost Plus Inc</t>
  </si>
  <si>
    <t>CSGP UQ Equity</t>
  </si>
  <si>
    <t>CoStar Group Inc</t>
  </si>
  <si>
    <t>CRRC UQ Equity</t>
  </si>
  <si>
    <t>Courier Corp</t>
  </si>
  <si>
    <t>CVD UN Equity</t>
  </si>
  <si>
    <t>Covance Inc</t>
  </si>
  <si>
    <t>2983744Q UQ Equity</t>
  </si>
  <si>
    <t>Covansys Corp</t>
  </si>
  <si>
    <t>CVTI UQ Equity</t>
  </si>
  <si>
    <t>Covenant Transportation Group Inc</t>
  </si>
  <si>
    <t>CPICQ UN Equity</t>
  </si>
  <si>
    <t>CPI Corp</t>
  </si>
  <si>
    <t>CRAI UQ Equity</t>
  </si>
  <si>
    <t>CRA International Inc</t>
  </si>
  <si>
    <t>CRD/B UN Equity</t>
  </si>
  <si>
    <t>Crawford &amp; Co</t>
  </si>
  <si>
    <t>CRAY UQ Equity</t>
  </si>
  <si>
    <t>Cray Inc</t>
  </si>
  <si>
    <t>CMOS UQ Equity</t>
  </si>
  <si>
    <t>Credence Systems Corp</t>
  </si>
  <si>
    <t>CACC US Equity</t>
  </si>
  <si>
    <t>Credit Acceptance Corp</t>
  </si>
  <si>
    <t>CREE UQ Equity</t>
  </si>
  <si>
    <t>Cree Inc</t>
  </si>
  <si>
    <t>CCRN UQ Equity</t>
  </si>
  <si>
    <t>Cross Country Healthcare Inc</t>
  </si>
  <si>
    <t>CMKC UA Equity</t>
  </si>
  <si>
    <t>Cross Media Marketing Corp</t>
  </si>
  <si>
    <t>CWN UN Equity</t>
  </si>
  <si>
    <t>Crown American Realty Trust</t>
  </si>
  <si>
    <t>CCI UN Equity</t>
  </si>
  <si>
    <t>Crown Castle International Corp</t>
  </si>
  <si>
    <t>CCK UN Equity</t>
  </si>
  <si>
    <t>Crown Holdings Inc</t>
  </si>
  <si>
    <t>CRWN UQ Equity</t>
  </si>
  <si>
    <t>Crown Media Holdings Inc</t>
  </si>
  <si>
    <t>1013516Q UN Equity</t>
  </si>
  <si>
    <t>CRT Properties Inc</t>
  </si>
  <si>
    <t>CRY UN Equity</t>
  </si>
  <si>
    <t>CryoLife Inc</t>
  </si>
  <si>
    <t>CAO UN Equity</t>
  </si>
  <si>
    <t>CSK Auto Corp</t>
  </si>
  <si>
    <t>CSS UN Equity</t>
  </si>
  <si>
    <t>CSS Industries Inc</t>
  </si>
  <si>
    <t>CTCI UQ Equity</t>
  </si>
  <si>
    <t>CT Communications Inc</t>
  </si>
  <si>
    <t>CTIC UQ Equity</t>
  </si>
  <si>
    <t>CTI BioPharma Corp</t>
  </si>
  <si>
    <t>CTS UN Equity</t>
  </si>
  <si>
    <t>CTS Corp</t>
  </si>
  <si>
    <t>CUB UA Equity</t>
  </si>
  <si>
    <t>Cubic Corp</t>
  </si>
  <si>
    <t>CBST UQ Equity</t>
  </si>
  <si>
    <t>Cubist Pharmaceuticals LLC</t>
  </si>
  <si>
    <t>CFI UN Equity</t>
  </si>
  <si>
    <t>Culp Inc</t>
  </si>
  <si>
    <t>CRGN UQ Equity</t>
  </si>
  <si>
    <t>CuraGen Corp</t>
  </si>
  <si>
    <t>CUREQ UQ Equity</t>
  </si>
  <si>
    <t>Curative Health Services Inc</t>
  </si>
  <si>
    <t>CW UN Equity</t>
  </si>
  <si>
    <t>Curtiss-Wright Corp</t>
  </si>
  <si>
    <t>CVTX UQ Equity</t>
  </si>
  <si>
    <t>CV Therapeutics Inc</t>
  </si>
  <si>
    <t>CVBF UQ Equity</t>
  </si>
  <si>
    <t>CVB Financial Corp</t>
  </si>
  <si>
    <t>FLYR UQ Equity</t>
  </si>
  <si>
    <t>CWT Nav Inc</t>
  </si>
  <si>
    <t>CYBX UQ Equity</t>
  </si>
  <si>
    <t>Cyberonics Inc</t>
  </si>
  <si>
    <t>CYT UN Equity</t>
  </si>
  <si>
    <t>Cytec Industries Inc</t>
  </si>
  <si>
    <t>DKHR UQ Equity</t>
  </si>
  <si>
    <t>D&amp;K Healthcare Resources Inc</t>
  </si>
  <si>
    <t>DZTKQ UQ Equity</t>
  </si>
  <si>
    <t>Daisytek International Corp</t>
  </si>
  <si>
    <t>DAKT UQ Equity</t>
  </si>
  <si>
    <t>Daktronics Inc</t>
  </si>
  <si>
    <t>SHS UN Equity</t>
  </si>
  <si>
    <t>Danfoss Power Solutions Inc</t>
  </si>
  <si>
    <t>DZSI UQ Equity</t>
  </si>
  <si>
    <t>DASAN Zhone Solutions Inc</t>
  </si>
  <si>
    <t>DSCP UQ Equity</t>
  </si>
  <si>
    <t>Datascope Corp</t>
  </si>
  <si>
    <t>DSTM UQ Equity</t>
  </si>
  <si>
    <t>Datastream Systems Inc</t>
  </si>
  <si>
    <t>DAB UN Equity</t>
  </si>
  <si>
    <t>Dave &amp; Buster's Inc</t>
  </si>
  <si>
    <t>DDICQ UR Equity</t>
  </si>
  <si>
    <t>DDI Corp/Old</t>
  </si>
  <si>
    <t>DEBS UQ Equity</t>
  </si>
  <si>
    <t>DEB Shops Inc</t>
  </si>
  <si>
    <t>DLI UA Equity</t>
  </si>
  <si>
    <t>DEL Laboratories LLC</t>
  </si>
  <si>
    <t>DLM UN Equity</t>
  </si>
  <si>
    <t>Del Monte Foods Co</t>
  </si>
  <si>
    <t>662053Q UQ Equity</t>
  </si>
  <si>
    <t>dELiA*s Corp</t>
  </si>
  <si>
    <t>DFG UN Equity</t>
  </si>
  <si>
    <t>Delphi Financial Group Inc</t>
  </si>
  <si>
    <t>DLP UN Equity</t>
  </si>
  <si>
    <t>Delta &amp; Pine Land Co</t>
  </si>
  <si>
    <t>DGEN UQ Equity</t>
  </si>
  <si>
    <t>Deltagen Inc</t>
  </si>
  <si>
    <t>DEL UN Equity</t>
  </si>
  <si>
    <t>Deltic Timber Corp</t>
  </si>
  <si>
    <t>Paper &amp; Forest Products</t>
  </si>
  <si>
    <t>NEB UN Equity</t>
  </si>
  <si>
    <t>Deluxe Business Operations Inc</t>
  </si>
  <si>
    <t>DNR UN Equity</t>
  </si>
  <si>
    <t>Denbury Resources Inc</t>
  </si>
  <si>
    <t>DRTE UQ Equity</t>
  </si>
  <si>
    <t>Dendrite International Inc</t>
  </si>
  <si>
    <t>DEST UQ Equity</t>
  </si>
  <si>
    <t>Destination Maternity Corp</t>
  </si>
  <si>
    <t>DCGNQ UQ Equity</t>
  </si>
  <si>
    <t>DGI Resolution Inc</t>
  </si>
  <si>
    <t>DIGE UQ Equity</t>
  </si>
  <si>
    <t>Digene Corp</t>
  </si>
  <si>
    <t>3047962Q UQ Equity</t>
  </si>
  <si>
    <t>Digimarc Corp/Old</t>
  </si>
  <si>
    <t>3131657Q UQ Equity</t>
  </si>
  <si>
    <t>Digital Insight Corp</t>
  </si>
  <si>
    <t>DRIV UQ Equity</t>
  </si>
  <si>
    <t>Digital River Inc</t>
  </si>
  <si>
    <t>3023927Q UQ Equity</t>
  </si>
  <si>
    <t>Digitas Inc</t>
  </si>
  <si>
    <t>DCOM UQ Equity</t>
  </si>
  <si>
    <t>Dime Community Bancshares Inc</t>
  </si>
  <si>
    <t>DIN UN Equity</t>
  </si>
  <si>
    <t>DineEquity Inc</t>
  </si>
  <si>
    <t>DNEX UQ Equity</t>
  </si>
  <si>
    <t>Dionex Corp</t>
  </si>
  <si>
    <t>DESCQ UQ Equity</t>
  </si>
  <si>
    <t>Distributed Energy Systems Corp</t>
  </si>
  <si>
    <t>DJO UN Equity</t>
  </si>
  <si>
    <t>DJO Opco Holdings Inc</t>
  </si>
  <si>
    <t>DOCC UQ Equity</t>
  </si>
  <si>
    <t>DocuCorp International Inc</t>
  </si>
  <si>
    <t>DCTM UQ Equity</t>
  </si>
  <si>
    <t>Documentum Inc</t>
  </si>
  <si>
    <t>DTGF UN Equity</t>
  </si>
  <si>
    <t>Dollar Thrifty Automotive Group Inc</t>
  </si>
  <si>
    <t>DHOM UQ Equity</t>
  </si>
  <si>
    <t>Dominion Homes Inc</t>
  </si>
  <si>
    <t>BNE UN Equity</t>
  </si>
  <si>
    <t>Donnelley Financial LLC</t>
  </si>
  <si>
    <t>DCLK UQ Equity</t>
  </si>
  <si>
    <t>DoubleClick Inc</t>
  </si>
  <si>
    <t>DVD UN Equity</t>
  </si>
  <si>
    <t>Dover Motorsports Inc</t>
  </si>
  <si>
    <t>DRQ UN Equity</t>
  </si>
  <si>
    <t>Dril-Quip Inc</t>
  </si>
  <si>
    <t>DRS UN Equity</t>
  </si>
  <si>
    <t>DRS Technologies Inc</t>
  </si>
  <si>
    <t>DSCM UQ Equity</t>
  </si>
  <si>
    <t>drugstore.com Inc</t>
  </si>
  <si>
    <t>DSPG UQ Equity</t>
  </si>
  <si>
    <t>DSP Group Inc</t>
  </si>
  <si>
    <t>0114055D UN Equity</t>
  </si>
  <si>
    <t>Duane Reade Inc</t>
  </si>
  <si>
    <t>DCO UN Equity</t>
  </si>
  <si>
    <t>Ducommun Inc</t>
  </si>
  <si>
    <t>DQE UN Equity</t>
  </si>
  <si>
    <t>Duquesne Light Holdings Inc</t>
  </si>
  <si>
    <t>DRRAQ UQ Equity</t>
  </si>
  <si>
    <t>Dura Automotive Systems Inc/Old</t>
  </si>
  <si>
    <t>DRRX UQ Equity</t>
  </si>
  <si>
    <t>Durect Corp</t>
  </si>
  <si>
    <t>DVIXQ UN Equity</t>
  </si>
  <si>
    <t>DVI Inc</t>
  </si>
  <si>
    <t>DY UN Equity</t>
  </si>
  <si>
    <t>Dycom Industries Inc</t>
  </si>
  <si>
    <t>DYII UQ Equity</t>
  </si>
  <si>
    <t>Dynacq Healthcare Inc</t>
  </si>
  <si>
    <t>DRCO UQ Equity</t>
  </si>
  <si>
    <t>Dynamics Research Corp</t>
  </si>
  <si>
    <t>EPNY UQ Equity</t>
  </si>
  <si>
    <t>E.piphany Inc</t>
  </si>
  <si>
    <t>EXP UN Equity</t>
  </si>
  <si>
    <t>Eagle Materials Inc</t>
  </si>
  <si>
    <t>Construction Materials</t>
  </si>
  <si>
    <t>ELNK UQ Equity</t>
  </si>
  <si>
    <t>EarthLink Holdings Corp</t>
  </si>
  <si>
    <t>ESHEQ UQ Equity</t>
  </si>
  <si>
    <t>Earthshell Corp</t>
  </si>
  <si>
    <t>EWBC UQ Equity</t>
  </si>
  <si>
    <t>East West Bancorp Inc</t>
  </si>
  <si>
    <t>EGP UN Equity</t>
  </si>
  <si>
    <t>EastGroup Properties Inc</t>
  </si>
  <si>
    <t>ELON UQ Equity</t>
  </si>
  <si>
    <t>Echelon Corp</t>
  </si>
  <si>
    <t>ECLP UQ Equity</t>
  </si>
  <si>
    <t>Eclipsys Corp</t>
  </si>
  <si>
    <t>TUTR UQ Equity</t>
  </si>
  <si>
    <t>Edmentum Holdings Inc</t>
  </si>
  <si>
    <t>EDO UN Equity</t>
  </si>
  <si>
    <t>EDO Corp</t>
  </si>
  <si>
    <t>REVUQ UQ Equity</t>
  </si>
  <si>
    <t>Education Holdings 1 Inc</t>
  </si>
  <si>
    <t>2987544Q UQ Equity</t>
  </si>
  <si>
    <t>eFunds Corp</t>
  </si>
  <si>
    <t>EGLSQ UQ Equity</t>
  </si>
  <si>
    <t>EG Systems LLC</t>
  </si>
  <si>
    <t>8285461Q UQ Equity</t>
  </si>
  <si>
    <t>EGL Inc</t>
  </si>
  <si>
    <t>EE UN Equity</t>
  </si>
  <si>
    <t>El Paso Electric Co</t>
  </si>
  <si>
    <t>ELRC UQ Equity</t>
  </si>
  <si>
    <t>Electro Rent Corp</t>
  </si>
  <si>
    <t>ESIO UQ Equity</t>
  </si>
  <si>
    <t>Electro Scientific Industries Inc</t>
  </si>
  <si>
    <t>ELBO UQ Equity</t>
  </si>
  <si>
    <t>Electronics Boutique Holdings Corp</t>
  </si>
  <si>
    <t>EFII UQ Equity</t>
  </si>
  <si>
    <t>Electronics For Imaging Inc</t>
  </si>
  <si>
    <t>RDEN UQ Equity</t>
  </si>
  <si>
    <t>Elizabeth Arden Inc</t>
  </si>
  <si>
    <t>Personal Products</t>
  </si>
  <si>
    <t>ELK UN Equity</t>
  </si>
  <si>
    <t>ElkCorp</t>
  </si>
  <si>
    <t>1379842D UQ Equity</t>
  </si>
  <si>
    <t>Embarcadero Technologies Inc</t>
  </si>
  <si>
    <t>EMBX UQ Equity</t>
  </si>
  <si>
    <t>Embrex LLC</t>
  </si>
  <si>
    <t>EMCI UQ Equity</t>
  </si>
  <si>
    <t>EMC Insurance Group Inc</t>
  </si>
  <si>
    <t>EME UN Equity</t>
  </si>
  <si>
    <t>EMCOR Group Inc</t>
  </si>
  <si>
    <t>EMKR UQ Equity</t>
  </si>
  <si>
    <t>EMCORE Corp</t>
  </si>
  <si>
    <t>EDE UN Equity</t>
  </si>
  <si>
    <t>Empire District Electric Co/The</t>
  </si>
  <si>
    <t>ELMG UQ Equity</t>
  </si>
  <si>
    <t>EMS Technologies Inc</t>
  </si>
  <si>
    <t>3610748Q UN Equity</t>
  </si>
  <si>
    <t>Encore Acquisition Co</t>
  </si>
  <si>
    <t>WIRE UQ Equity</t>
  </si>
  <si>
    <t>Encore Wire Corp</t>
  </si>
  <si>
    <t>ENCY UQ Equity</t>
  </si>
  <si>
    <t>Encysive Pharmaceuticals Inc</t>
  </si>
  <si>
    <t>ENDP UQ Equity</t>
  </si>
  <si>
    <t>Endo International PLC</t>
  </si>
  <si>
    <t>1495787D UQ Equity</t>
  </si>
  <si>
    <t>Endo Pharmaceuticals Solutions Inc</t>
  </si>
  <si>
    <t>740860Q UQ Equity</t>
  </si>
  <si>
    <t>Endocardial Solutions Inc</t>
  </si>
  <si>
    <t>EGN UN Equity</t>
  </si>
  <si>
    <t>Energen Corp</t>
  </si>
  <si>
    <t>ENERQ UQ Equity</t>
  </si>
  <si>
    <t>Energy Conversion Devices Inc</t>
  </si>
  <si>
    <t>ERPLQ UN Equity</t>
  </si>
  <si>
    <t>Energy Partners Ltd/Old</t>
  </si>
  <si>
    <t>ENSI UQ Equity</t>
  </si>
  <si>
    <t>EnergySouth Inc</t>
  </si>
  <si>
    <t>1246801D UQ Equity</t>
  </si>
  <si>
    <t>Engineered Support Systems Inc</t>
  </si>
  <si>
    <t>ENLV UQ Equity</t>
  </si>
  <si>
    <t>Enliven Marketing Technologies Corp</t>
  </si>
  <si>
    <t>EBF UN Equity</t>
  </si>
  <si>
    <t>Ennis Inc</t>
  </si>
  <si>
    <t>ENTG UQ Equity</t>
  </si>
  <si>
    <t>Entegris Inc</t>
  </si>
  <si>
    <t>ATMI UQ Equity</t>
  </si>
  <si>
    <t>Entegris Professional Solutions Inc</t>
  </si>
  <si>
    <t>ETS UN Equity</t>
  </si>
  <si>
    <t>Enterasys Networks Inc</t>
  </si>
  <si>
    <t>ENTU UQ Equity</t>
  </si>
  <si>
    <t>Entrust Inc/US</t>
  </si>
  <si>
    <t>ENVE UQ Equity</t>
  </si>
  <si>
    <t>Enventis Corp</t>
  </si>
  <si>
    <t>ENZ UN Equity</t>
  </si>
  <si>
    <t>Enzo Biochem Inc</t>
  </si>
  <si>
    <t>ENZN UQ Equity</t>
  </si>
  <si>
    <t>Enzon Pharmaceuticals Inc</t>
  </si>
  <si>
    <t>EPIQ UQ Equity</t>
  </si>
  <si>
    <t>Epiq Systems Inc</t>
  </si>
  <si>
    <t>1294860D UQ Equity</t>
  </si>
  <si>
    <t>EPIX Pharmaceuticals Inc</t>
  </si>
  <si>
    <t>EPR UN Equity</t>
  </si>
  <si>
    <t>EPR Properties</t>
  </si>
  <si>
    <t>EQC UN Equity</t>
  </si>
  <si>
    <t>Equity Commonwealth</t>
  </si>
  <si>
    <t>ENN UN Equity</t>
  </si>
  <si>
    <t>Equity Inns Inc</t>
  </si>
  <si>
    <t>ELS UN Equity</t>
  </si>
  <si>
    <t>Equity LifeStyle Properties Inc</t>
  </si>
  <si>
    <t>EQY UN Equity</t>
  </si>
  <si>
    <t>Equity One Inc</t>
  </si>
  <si>
    <t>ERT UQ Equity</t>
  </si>
  <si>
    <t>ERT Operating Co</t>
  </si>
  <si>
    <t>ESCA UQ Equity</t>
  </si>
  <si>
    <t>Escalade Inc</t>
  </si>
  <si>
    <t>ESE UN Equity</t>
  </si>
  <si>
    <t>ESCO Technologies Inc</t>
  </si>
  <si>
    <t>0778324D UQ Equity</t>
  </si>
  <si>
    <t>Esperion Therapeutics Inc/Old</t>
  </si>
  <si>
    <t>ESST UQ Equity</t>
  </si>
  <si>
    <t>ESS Technology Inc</t>
  </si>
  <si>
    <t>ESND UQ Equity</t>
  </si>
  <si>
    <t>Essendant Inc</t>
  </si>
  <si>
    <t>ESS UN Equity</t>
  </si>
  <si>
    <t>Essex Property Trust Inc</t>
  </si>
  <si>
    <t>ESL UN Equity</t>
  </si>
  <si>
    <t>Esterline Technologies Corp</t>
  </si>
  <si>
    <t>EEFT UQ Equity</t>
  </si>
  <si>
    <t>Euronet Worldwide Inc</t>
  </si>
  <si>
    <t>538087Q UN Equity</t>
  </si>
  <si>
    <t>Evergreen Resources Inc</t>
  </si>
  <si>
    <t>MGAM UQ Equity</t>
  </si>
  <si>
    <t>Everi Games Holding Inc</t>
  </si>
  <si>
    <t>EVLV UQ Equity</t>
  </si>
  <si>
    <t>EVINE Live Inc</t>
  </si>
  <si>
    <t>OS UN Equity</t>
  </si>
  <si>
    <t>Evraz Inc NA</t>
  </si>
  <si>
    <t>EXAS UQ Equity</t>
  </si>
  <si>
    <t>Exact Sciences Corp</t>
  </si>
  <si>
    <t>EXAR UQ Equity</t>
  </si>
  <si>
    <t>Exar Corp</t>
  </si>
  <si>
    <t>XLTC UQ Equity</t>
  </si>
  <si>
    <t>Excel Technology Inc</t>
  </si>
  <si>
    <t>EXEL UQ Equity</t>
  </si>
  <si>
    <t>Exelixis Inc</t>
  </si>
  <si>
    <t>NCOG UQ Equity</t>
  </si>
  <si>
    <t>Expert Global Solutions Inc/Georgia</t>
  </si>
  <si>
    <t>HC UN Equity</t>
  </si>
  <si>
    <t>Exterran Energy LLC</t>
  </si>
  <si>
    <t>EXTR UQ Equity</t>
  </si>
  <si>
    <t>Extreme Networks Inc</t>
  </si>
  <si>
    <t>EXLT UQ Equity</t>
  </si>
  <si>
    <t>Exult Inc</t>
  </si>
  <si>
    <t>679882Q UQ Equity</t>
  </si>
  <si>
    <t>F&amp;M Bancorp/MD</t>
  </si>
  <si>
    <t>FFIV UQ Equity</t>
  </si>
  <si>
    <t>F5 Networks Inc</t>
  </si>
  <si>
    <t>FTUSQ UQ Equity</t>
  </si>
  <si>
    <t>Factory 2-U Stores Inc</t>
  </si>
  <si>
    <t>Multiline Retail</t>
  </si>
  <si>
    <t>FDS UN Equity</t>
  </si>
  <si>
    <t>FactSet Research Systems Inc</t>
  </si>
  <si>
    <t>FALC UQ Equity</t>
  </si>
  <si>
    <t>FalconStor Software Inc</t>
  </si>
  <si>
    <t>FARM UQ Equity</t>
  </si>
  <si>
    <t>Farmer Brothers Co</t>
  </si>
  <si>
    <t>FFKT UR Equity</t>
  </si>
  <si>
    <t>Farmers Capital Bank Corp</t>
  </si>
  <si>
    <t>FFG UN Equity</t>
  </si>
  <si>
    <t>FBL Financial Group Inc</t>
  </si>
  <si>
    <t>0154604D UN Equity</t>
  </si>
  <si>
    <t>FBR Asset Investment Corp</t>
  </si>
  <si>
    <t>AGM UN Equity</t>
  </si>
  <si>
    <t>Federal Agricultural Mortgage Corp</t>
  </si>
  <si>
    <t>FRT UN Equity</t>
  </si>
  <si>
    <t>Federal Realty Investment Trust</t>
  </si>
  <si>
    <t>FSS UN Equity</t>
  </si>
  <si>
    <t>Federal Signal Corp</t>
  </si>
  <si>
    <t>FEIC UQ Equity</t>
  </si>
  <si>
    <t>FEI Co</t>
  </si>
  <si>
    <t>FCH UN Equity</t>
  </si>
  <si>
    <t>FelCor Lodging Trust Inc</t>
  </si>
  <si>
    <t>FOE UN Equity</t>
  </si>
  <si>
    <t>Ferro Corp</t>
  </si>
  <si>
    <t>FFFL UQ Equity</t>
  </si>
  <si>
    <t>Fidelity Bankshares Inc</t>
  </si>
  <si>
    <t>FNIS UQ Equity</t>
  </si>
  <si>
    <t>Fidelity National Information Solutions</t>
  </si>
  <si>
    <t>FILE UQ Equity</t>
  </si>
  <si>
    <t>Filenet Corp</t>
  </si>
  <si>
    <t>52257Q UN Equity</t>
  </si>
  <si>
    <t>Financial Federal Corp</t>
  </si>
  <si>
    <t>FNIN UQ Equity</t>
  </si>
  <si>
    <t>Financial Industries Corp</t>
  </si>
  <si>
    <t>FISI UQ Equity</t>
  </si>
  <si>
    <t>Financial Institutions Inc</t>
  </si>
  <si>
    <t>FNSR UQ Equity</t>
  </si>
  <si>
    <t>Finisar Corp</t>
  </si>
  <si>
    <t>FINL UQ Equity</t>
  </si>
  <si>
    <t>Finish Line Inc/The</t>
  </si>
  <si>
    <t>FNLYQ UQ Equity</t>
  </si>
  <si>
    <t>Finlay Enterprises Inc</t>
  </si>
  <si>
    <t>FBP UN Equity</t>
  </si>
  <si>
    <t>First BanCorp/Puerto Rico</t>
  </si>
  <si>
    <t>FBNC UQ Equity</t>
  </si>
  <si>
    <t>First Bancorp/Southern Pines NC</t>
  </si>
  <si>
    <t>BUSE UQ Equity</t>
  </si>
  <si>
    <t>First Busey Corp</t>
  </si>
  <si>
    <t>FCTR UQ Equity</t>
  </si>
  <si>
    <t>First Charter Corp</t>
  </si>
  <si>
    <t>FCNCA UQ Equity</t>
  </si>
  <si>
    <t>First Citizens BancShares Inc/NC</t>
  </si>
  <si>
    <t>FCF UN Equity</t>
  </si>
  <si>
    <t>First Commonwealth Financial Corp</t>
  </si>
  <si>
    <t>FCBC UR Equity</t>
  </si>
  <si>
    <t>First Community Bancshares Inc/VA</t>
  </si>
  <si>
    <t>FCGI UQ Equity</t>
  </si>
  <si>
    <t>First Consulting Group Inc</t>
  </si>
  <si>
    <t>FDEF UQ Equity</t>
  </si>
  <si>
    <t>First Defiance Financial Corp</t>
  </si>
  <si>
    <t>FESX UQ Equity</t>
  </si>
  <si>
    <t>First Essex Bancorp Inc</t>
  </si>
  <si>
    <t>FTFC UQ Equity</t>
  </si>
  <si>
    <t>First Federal Capital Corp</t>
  </si>
  <si>
    <t>FFBC UQ Equity</t>
  </si>
  <si>
    <t>First Financial Bancorp</t>
  </si>
  <si>
    <t>FFIN UQ Equity</t>
  </si>
  <si>
    <t>First Financial Bankshares Inc</t>
  </si>
  <si>
    <t>THFF UQ Equity</t>
  </si>
  <si>
    <t>First Financial Corp/IN</t>
  </si>
  <si>
    <t>FFCH UQ Equity</t>
  </si>
  <si>
    <t>First Financial Holdings Inc/Old</t>
  </si>
  <si>
    <t>FINB UQ Equity</t>
  </si>
  <si>
    <t>First Indiana Corp</t>
  </si>
  <si>
    <t>FRME UQ Equity</t>
  </si>
  <si>
    <t>First Merchants Corp</t>
  </si>
  <si>
    <t>FNFG UQ Equity</t>
  </si>
  <si>
    <t>First Niagara Financial Group Inc</t>
  </si>
  <si>
    <t>FOBB UQ Equity</t>
  </si>
  <si>
    <t>First Oak Brook Bancshares Inc</t>
  </si>
  <si>
    <t>FLIC UR Equity</t>
  </si>
  <si>
    <t>First of Long Island Corp/The</t>
  </si>
  <si>
    <t>FPFCQ UQ Equity</t>
  </si>
  <si>
    <t>First Place Financial Corp/OH</t>
  </si>
  <si>
    <t>2761917Q UN Equity</t>
  </si>
  <si>
    <t>First Republic Bank/Old</t>
  </si>
  <si>
    <t>FSLA UQ Equity</t>
  </si>
  <si>
    <t>First Sentinel Bancorp Inc</t>
  </si>
  <si>
    <t>FSBK UQ Equity</t>
  </si>
  <si>
    <t>First South Bancorp Inc/Washington NC</t>
  </si>
  <si>
    <t>FSNMQ UQ Equity</t>
  </si>
  <si>
    <t>First State Bancorporation/NM</t>
  </si>
  <si>
    <t>953386Q UA Equity</t>
  </si>
  <si>
    <t>Firstfed America Bancorp Inc</t>
  </si>
  <si>
    <t>FFEDQ UN Equity</t>
  </si>
  <si>
    <t>FirstFed Financial Corp</t>
  </si>
  <si>
    <t>CAMZ UQ Equity</t>
  </si>
  <si>
    <t>FIS Energy Systems Inc</t>
  </si>
  <si>
    <t>FBC UN Equity</t>
  </si>
  <si>
    <t>Flagstar Bancorp Inc</t>
  </si>
  <si>
    <t>FLTWQ UN Equity</t>
  </si>
  <si>
    <t>Fleetwood Enterprises Inc</t>
  </si>
  <si>
    <t>FLMIQ UN Equity</t>
  </si>
  <si>
    <t>Fleming Cos Inc</t>
  </si>
  <si>
    <t>FLIR UQ Equity</t>
  </si>
  <si>
    <t>FLIR Systems Inc</t>
  </si>
  <si>
    <t>FLA UN Equity</t>
  </si>
  <si>
    <t>Florida East Coast Industries Inc</t>
  </si>
  <si>
    <t>FRK UN Equity</t>
  </si>
  <si>
    <t>Florida Rock Industries Inc</t>
  </si>
  <si>
    <t>1310350D UQ Equity</t>
  </si>
  <si>
    <t>Flow International Corp</t>
  </si>
  <si>
    <t>FLO UN Equity</t>
  </si>
  <si>
    <t>Flowers Foods Inc</t>
  </si>
  <si>
    <t>FFIC UQ Equity</t>
  </si>
  <si>
    <t>Flushing Financial Corp</t>
  </si>
  <si>
    <t>FLYIQ UQ Equity</t>
  </si>
  <si>
    <t>FLYi Inc</t>
  </si>
  <si>
    <t>FMC UN Equity</t>
  </si>
  <si>
    <t>FMC Corp</t>
  </si>
  <si>
    <t>3470770Q UQ Equity</t>
  </si>
  <si>
    <t>FNB Corp/VA</t>
  </si>
  <si>
    <t>FMXLQ UQ Equity</t>
  </si>
  <si>
    <t>Foamex International Inc</t>
  </si>
  <si>
    <t>FTSTQ UN Equity</t>
  </si>
  <si>
    <t>Footstar Inc/Old</t>
  </si>
  <si>
    <t>FORR UQ Equity</t>
  </si>
  <si>
    <t>Forrester Research Inc</t>
  </si>
  <si>
    <t>FWRD UQ Equity</t>
  </si>
  <si>
    <t>Forward Air Corp</t>
  </si>
  <si>
    <t>Air Freight &amp; Logistics</t>
  </si>
  <si>
    <t>FOSL UQ Equity</t>
  </si>
  <si>
    <t>Fossil Group Inc</t>
  </si>
  <si>
    <t>FDRY UQ Equity</t>
  </si>
  <si>
    <t>Foundry Networks LLC</t>
  </si>
  <si>
    <t>FPIC UQ Equity</t>
  </si>
  <si>
    <t>FPIC Insurance Group Inc</t>
  </si>
  <si>
    <t>FELE UQ Equity</t>
  </si>
  <si>
    <t>Franklin Electric Co Inc</t>
  </si>
  <si>
    <t>FNFN UQ Equity</t>
  </si>
  <si>
    <t>Franklin Financial Corp/TN</t>
  </si>
  <si>
    <t>FRED UQ Equity</t>
  </si>
  <si>
    <t>Fred's Inc</t>
  </si>
  <si>
    <t>FMKT UQ Equity</t>
  </si>
  <si>
    <t>FreeMarkets Inc</t>
  </si>
  <si>
    <t>APPX UQ Equity</t>
  </si>
  <si>
    <t>Fresenius Kabi USA Inc</t>
  </si>
  <si>
    <t>FRDMQ UQ Equity</t>
  </si>
  <si>
    <t>Friedman's Inc</t>
  </si>
  <si>
    <t>FRNTQ UQ Equity</t>
  </si>
  <si>
    <t>Frontier Airlines Holdings Inc</t>
  </si>
  <si>
    <t>FTBK UQ Equity</t>
  </si>
  <si>
    <t>Frontier Financial Corp</t>
  </si>
  <si>
    <t>FTO UN Equity</t>
  </si>
  <si>
    <t>Frontier Oil Corp</t>
  </si>
  <si>
    <t>FSII UQ Equity</t>
  </si>
  <si>
    <t>FSI International Inc</t>
  </si>
  <si>
    <t>FCN UN Equity</t>
  </si>
  <si>
    <t>FTI Consulting Inc</t>
  </si>
  <si>
    <t>FSYS UQ Equity</t>
  </si>
  <si>
    <t>Fuel Systems Solutions Inc</t>
  </si>
  <si>
    <t>Auto Components</t>
  </si>
  <si>
    <t>FCEL UQ Equity</t>
  </si>
  <si>
    <t>FuelCell Energy Inc</t>
  </si>
  <si>
    <t>SONO UQ Equity</t>
  </si>
  <si>
    <t>FUJIFILM SonoSite Inc</t>
  </si>
  <si>
    <t>GK UQ Equity</t>
  </si>
  <si>
    <t>G&amp;K Services Inc</t>
  </si>
  <si>
    <t>GAIA UQ Equity</t>
  </si>
  <si>
    <t>Gaia Inc</t>
  </si>
  <si>
    <t>GLYN UQ Equity</t>
  </si>
  <si>
    <t>Galyan's Trading Co LLC</t>
  </si>
  <si>
    <t>GBL UN Equity</t>
  </si>
  <si>
    <t>GAMCO Investors Inc</t>
  </si>
  <si>
    <t>GDI UN Equity</t>
  </si>
  <si>
    <t>Gardner Denver Inc</t>
  </si>
  <si>
    <t>IT UN Equity</t>
  </si>
  <si>
    <t>Gartner Inc</t>
  </si>
  <si>
    <t>GBCB UQ Equity</t>
  </si>
  <si>
    <t>GBC Bancorp</t>
  </si>
  <si>
    <t>696139Q UN Equity</t>
  </si>
  <si>
    <t>GE Ionics Inc</t>
  </si>
  <si>
    <t>562424Q UN Equity</t>
  </si>
  <si>
    <t>GE Osmonics Inc</t>
  </si>
  <si>
    <t>GCOR UQ Equity</t>
  </si>
  <si>
    <t>Genencor International Inc</t>
  </si>
  <si>
    <t>GBND UQ Equity</t>
  </si>
  <si>
    <t>General Binding LLC</t>
  </si>
  <si>
    <t>BGC UN Equity</t>
  </si>
  <si>
    <t>General Cable Corp</t>
  </si>
  <si>
    <t>GNCMA UQ Equity</t>
  </si>
  <si>
    <t>General Communication Inc</t>
  </si>
  <si>
    <t>GCO UN Equity</t>
  </si>
  <si>
    <t>Genesco Inc</t>
  </si>
  <si>
    <t>GWR UN Equity</t>
  </si>
  <si>
    <t>Genesee &amp; Wyoming Inc</t>
  </si>
  <si>
    <t>GNSS UQ Equity</t>
  </si>
  <si>
    <t>Genesis Microchip Inc</t>
  </si>
  <si>
    <t>GLYT UQ Equity</t>
  </si>
  <si>
    <t>Genlyte Group Inc</t>
  </si>
  <si>
    <t>GNTAQ UQ Equity</t>
  </si>
  <si>
    <t>Genta Inc</t>
  </si>
  <si>
    <t>GTIV UQ Equity</t>
  </si>
  <si>
    <t>Gentiva Health Services Inc</t>
  </si>
  <si>
    <t>GZBX UQ Equity</t>
  </si>
  <si>
    <t>Genzyme Corp-Genzyme Biosurgery Division</t>
  </si>
  <si>
    <t>GEO UN Equity</t>
  </si>
  <si>
    <t>GEO Group Inc/The</t>
  </si>
  <si>
    <t>CRN UN Equity</t>
  </si>
  <si>
    <t>GEO Reentry Inc</t>
  </si>
  <si>
    <t>2773205Q UN Equity</t>
  </si>
  <si>
    <t>Gerdau MacSteel Inc</t>
  </si>
  <si>
    <t>GABC UQ Equity</t>
  </si>
  <si>
    <t>German American Bancorp Inc</t>
  </si>
  <si>
    <t>GERN UQ Equity</t>
  </si>
  <si>
    <t>Geron Corp</t>
  </si>
  <si>
    <t>GTY UN Equity</t>
  </si>
  <si>
    <t>Getty Realty Corp</t>
  </si>
  <si>
    <t>ROCK UQ Equity</t>
  </si>
  <si>
    <t>Gibraltar Industries Inc</t>
  </si>
  <si>
    <t>GBCI UQ Equity</t>
  </si>
  <si>
    <t>Glacier Bancorp Inc</t>
  </si>
  <si>
    <t>GLAD UQ Equity</t>
  </si>
  <si>
    <t>Gladstone Capital Corp</t>
  </si>
  <si>
    <t>GLA UN Equity</t>
  </si>
  <si>
    <t>GlassBridge Enterprises Inc</t>
  </si>
  <si>
    <t>GLB UN Equity</t>
  </si>
  <si>
    <t>Glenborough Realty Trust Inc</t>
  </si>
  <si>
    <t>GRT UN Equity</t>
  </si>
  <si>
    <t>Glimcher Realty Trust</t>
  </si>
  <si>
    <t>GISX UQ Equity</t>
  </si>
  <si>
    <t>Global Imaging Systems Inc</t>
  </si>
  <si>
    <t>GEGQQ UN Equity</t>
  </si>
  <si>
    <t>Global Power Equipment Group Inc/Old</t>
  </si>
  <si>
    <t>2725934Q UQ Equity</t>
  </si>
  <si>
    <t>GlobespanVirata Inc</t>
  </si>
  <si>
    <t>GLDB UQ Equity</t>
  </si>
  <si>
    <t>Gold Banc Corp Inc</t>
  </si>
  <si>
    <t>BEV US Equity</t>
  </si>
  <si>
    <t>Golden Living LLC</t>
  </si>
  <si>
    <t>3550976Q UQ Equity</t>
  </si>
  <si>
    <t>Golden Telecom Inc</t>
  </si>
  <si>
    <t>GDYS UQ Equity</t>
  </si>
  <si>
    <t>Goody's LLC</t>
  </si>
  <si>
    <t>GRC UA Equity</t>
  </si>
  <si>
    <t>Gorman-Rupp Co/The</t>
  </si>
  <si>
    <t>GTI UN Equity</t>
  </si>
  <si>
    <t>GrafTech International Ltd</t>
  </si>
  <si>
    <t>GVA UN Equity</t>
  </si>
  <si>
    <t>Granite Construction Inc</t>
  </si>
  <si>
    <t>GSBI UQ Equity</t>
  </si>
  <si>
    <t>Granite State Bankshares Inc</t>
  </si>
  <si>
    <t>232663Q UN Equity</t>
  </si>
  <si>
    <t>Graphic Packaging International Corp</t>
  </si>
  <si>
    <t>GTN/A UN Equity</t>
  </si>
  <si>
    <t>Gray Television Inc</t>
  </si>
  <si>
    <t>GFR UN Equity</t>
  </si>
  <si>
    <t>Great American Financial Resources Inc</t>
  </si>
  <si>
    <t>GAPTQ UN Equity</t>
  </si>
  <si>
    <t>Great Atlantic &amp; Pacific Tea Co Inc/The</t>
  </si>
  <si>
    <t>GEC UQ Equity</t>
  </si>
  <si>
    <t>Great Elm Capital Group Inc</t>
  </si>
  <si>
    <t>GLK UN Equity</t>
  </si>
  <si>
    <t>Great Lakes Bancorp Inc</t>
  </si>
  <si>
    <t>723588Q UN Equity</t>
  </si>
  <si>
    <t>Great Lakes Chemical Corp</t>
  </si>
  <si>
    <t>GL UN Equity</t>
  </si>
  <si>
    <t>Great Lakes REIT</t>
  </si>
  <si>
    <t>GSBC UQ Equity</t>
  </si>
  <si>
    <t>Great Southern Bancorp Inc</t>
  </si>
  <si>
    <t>GEF UN Equity</t>
  </si>
  <si>
    <t>Greif Inc</t>
  </si>
  <si>
    <t>GREY UQ Equity</t>
  </si>
  <si>
    <t>Grey Global Group Inc</t>
  </si>
  <si>
    <t>GW UA Equity</t>
  </si>
  <si>
    <t>Grey Wolf Inc</t>
  </si>
  <si>
    <t>GFF UN Equity</t>
  </si>
  <si>
    <t>Griffon Corp</t>
  </si>
  <si>
    <t>GPI UN Equity</t>
  </si>
  <si>
    <t>Group 1 Automotive Inc</t>
  </si>
  <si>
    <t>GES UN Equity</t>
  </si>
  <si>
    <t>Guess? Inc</t>
  </si>
  <si>
    <t>GTRC UQ Equity</t>
  </si>
  <si>
    <t>Guitar Center Inc</t>
  </si>
  <si>
    <t>GIFI UQ Equity</t>
  </si>
  <si>
    <t>Gulf Island Fabrication Inc</t>
  </si>
  <si>
    <t>GLF UQ Equity</t>
  </si>
  <si>
    <t>Gulfmark Offshore Inc</t>
  </si>
  <si>
    <t>GYMB UQ Equity</t>
  </si>
  <si>
    <t>Gymboree Corp/The</t>
  </si>
  <si>
    <t>HCKT UQ Equity</t>
  </si>
  <si>
    <t>Hackett Group Inc/The</t>
  </si>
  <si>
    <t>HAE UN Equity</t>
  </si>
  <si>
    <t>Haemonetics Corp</t>
  </si>
  <si>
    <t>HAIN UQ Equity</t>
  </si>
  <si>
    <t>Hain Celestial Group Inc/The</t>
  </si>
  <si>
    <t>HAKI UQ Equity</t>
  </si>
  <si>
    <t>Hall Kinion &amp; Associates Inc</t>
  </si>
  <si>
    <t>HKFIQ UN Equity</t>
  </si>
  <si>
    <t>Hancock Fabrics Inc</t>
  </si>
  <si>
    <t>HBHC UQ Equity</t>
  </si>
  <si>
    <t>Hancock Holding Co</t>
  </si>
  <si>
    <t>HDLM UN Equity</t>
  </si>
  <si>
    <t>Handleman Co</t>
  </si>
  <si>
    <t>HAND UQ Equity</t>
  </si>
  <si>
    <t>Handspring Inc</t>
  </si>
  <si>
    <t>HNGR UN Equity</t>
  </si>
  <si>
    <t>Hanger Inc</t>
  </si>
  <si>
    <t>HAFC UQ Equity</t>
  </si>
  <si>
    <t>Hanmi Financial Corp</t>
  </si>
  <si>
    <t>HARB UQ Equity</t>
  </si>
  <si>
    <t>Harbor Florida Bancshares Inc</t>
  </si>
  <si>
    <t>HGIC UQ Equity</t>
  </si>
  <si>
    <t>Harleysville Group Inc</t>
  </si>
  <si>
    <t>HNBC UQ Equity</t>
  </si>
  <si>
    <t>Harleysville National Corp</t>
  </si>
  <si>
    <t>HLIT UQ Equity</t>
  </si>
  <si>
    <t>Harmonic Inc</t>
  </si>
  <si>
    <t>TNM UN Equity</t>
  </si>
  <si>
    <t>HarperCollins Christian Publishing Inc</t>
  </si>
  <si>
    <t>HPOL UQ Equity</t>
  </si>
  <si>
    <t>Harris Interactive Inc</t>
  </si>
  <si>
    <t>HTSI UN Equity</t>
  </si>
  <si>
    <t>Harris Teeter Supermarkets Inc</t>
  </si>
  <si>
    <t>HBIO UQ Equity</t>
  </si>
  <si>
    <t>Harvard Bioscience Inc</t>
  </si>
  <si>
    <t>HNR UN Equity</t>
  </si>
  <si>
    <t>Harvest Natural Resources Inc</t>
  </si>
  <si>
    <t>HVT UN Equity</t>
  </si>
  <si>
    <t>Haverty Furniture Cos Inc</t>
  </si>
  <si>
    <t>HTHR UQ Equity</t>
  </si>
  <si>
    <t>Hawthorne Financial Corp</t>
  </si>
  <si>
    <t>FUL UN Equity</t>
  </si>
  <si>
    <t>HB Fuller Co</t>
  </si>
  <si>
    <t>HW UQ Equity</t>
  </si>
  <si>
    <t>Headwaters Inc</t>
  </si>
  <si>
    <t>HR UN Equity</t>
  </si>
  <si>
    <t>Healthcare Realty Trust Inc</t>
  </si>
  <si>
    <t>HCSG UQ Equity</t>
  </si>
  <si>
    <t>Healthcare Services Group Inc</t>
  </si>
  <si>
    <t>2749833Q UN Equity</t>
  </si>
  <si>
    <t>HealthMarkets Inc</t>
  </si>
  <si>
    <t>HTRN UQ Equity</t>
  </si>
  <si>
    <t>HealthTronics Inc</t>
  </si>
  <si>
    <t>QVDX UQ Equity</t>
  </si>
  <si>
    <t>Healthvision</t>
  </si>
  <si>
    <t>HTLD UQ Equity</t>
  </si>
  <si>
    <t>Heartland Express Inc</t>
  </si>
  <si>
    <t>HL UN Equity</t>
  </si>
  <si>
    <t>Hecla Mining Co</t>
  </si>
  <si>
    <t>HEI UN Equity</t>
  </si>
  <si>
    <t>HEICO Corp</t>
  </si>
  <si>
    <t>HSII UQ Equity</t>
  </si>
  <si>
    <t>Heidrick &amp; Struggles International Inc</t>
  </si>
  <si>
    <t>HLX UQ Equity</t>
  </si>
  <si>
    <t>Helix Energy Solutions Group Inc</t>
  </si>
  <si>
    <t>698214Q UQ Equity</t>
  </si>
  <si>
    <t>Helix Technology Corp</t>
  </si>
  <si>
    <t>HRLY UQ Equity</t>
  </si>
  <si>
    <t>Herley Industries Inc</t>
  </si>
  <si>
    <t>HXL UN Equity</t>
  </si>
  <si>
    <t>Hexcel Corp</t>
  </si>
  <si>
    <t>HIBB UQ Equity</t>
  </si>
  <si>
    <t>Hibbett Sports Inc</t>
  </si>
  <si>
    <t>HRH UN Equity</t>
  </si>
  <si>
    <t>Hilb Rogal &amp; Hobbs Co</t>
  </si>
  <si>
    <t>HFC UA Equity</t>
  </si>
  <si>
    <t>HollyFrontier Corp</t>
  </si>
  <si>
    <t>2291233Q UA Equity</t>
  </si>
  <si>
    <t>Hollywood Casino Corp</t>
  </si>
  <si>
    <t>HLYW UQ Equity</t>
  </si>
  <si>
    <t>Hollywood Entertainment Corp</t>
  </si>
  <si>
    <t>HOLX UQ Equity</t>
  </si>
  <si>
    <t>Hologic Inc</t>
  </si>
  <si>
    <t>HME UN Equity</t>
  </si>
  <si>
    <t>Home Properties Inc</t>
  </si>
  <si>
    <t>HH UA Equity</t>
  </si>
  <si>
    <t>Hooper Holmes Inc</t>
  </si>
  <si>
    <t>HOPE UQ Equity</t>
  </si>
  <si>
    <t>Hope Bancorp Inc</t>
  </si>
  <si>
    <t>HMN UN Equity</t>
  </si>
  <si>
    <t>Horace Mann Educators Corp</t>
  </si>
  <si>
    <t>HOFF UQ Equity</t>
  </si>
  <si>
    <t>Horizon Offshore Inc</t>
  </si>
  <si>
    <t>HCOW UQ Equity</t>
  </si>
  <si>
    <t>Horizon Organic Holding Corp</t>
  </si>
  <si>
    <t>HOTT UQ Equity</t>
  </si>
  <si>
    <t>Hot Topic Inc</t>
  </si>
  <si>
    <t>THX UN Equity</t>
  </si>
  <si>
    <t>Houston Exploration Co</t>
  </si>
  <si>
    <t>HOV UN Equity</t>
  </si>
  <si>
    <t>Hovnanian Enterprises Inc</t>
  </si>
  <si>
    <t>HRBT UQ Equity</t>
  </si>
  <si>
    <t>Hudson River Bancorp Inc</t>
  </si>
  <si>
    <t>HUG UN Equity</t>
  </si>
  <si>
    <t>Hughes Supply Inc</t>
  </si>
  <si>
    <t>HBEK UQ Equity</t>
  </si>
  <si>
    <t>Humboldt Bancorp</t>
  </si>
  <si>
    <t>HTCH UQ Equity</t>
  </si>
  <si>
    <t>Hutchinson Technology Inc</t>
  </si>
  <si>
    <t>HYDL UQ Equity</t>
  </si>
  <si>
    <t>Hydril Co</t>
  </si>
  <si>
    <t>HYC UN Equity</t>
  </si>
  <si>
    <t>Hypercom Corp</t>
  </si>
  <si>
    <t>HYSL UQ Equity</t>
  </si>
  <si>
    <t>Hyperion Solutions Corp</t>
  </si>
  <si>
    <t>IMNY UQ Equity</t>
  </si>
  <si>
    <t>I-many Inc</t>
  </si>
  <si>
    <t>IBKC UQ Equity</t>
  </si>
  <si>
    <t>IBERIABANK Corp</t>
  </si>
  <si>
    <t>0356428Q UQ Equity</t>
  </si>
  <si>
    <t>ICT Group Inc</t>
  </si>
  <si>
    <t>ICUI UQ Equity</t>
  </si>
  <si>
    <t>ICU Medical Inc</t>
  </si>
  <si>
    <t>INVE UQ Equity</t>
  </si>
  <si>
    <t>Identiv Inc</t>
  </si>
  <si>
    <t>IDNX UQ Equity</t>
  </si>
  <si>
    <t>Identix Inc</t>
  </si>
  <si>
    <t>IEX UN Equity</t>
  </si>
  <si>
    <t>IDEX Corp</t>
  </si>
  <si>
    <t>IDXX UQ Equity</t>
  </si>
  <si>
    <t>IDEXX Laboratories Inc</t>
  </si>
  <si>
    <t>IDXC UQ Equity</t>
  </si>
  <si>
    <t>IDX Systems Corp</t>
  </si>
  <si>
    <t>IGTE UQ Equity</t>
  </si>
  <si>
    <t>IGATE Corp</t>
  </si>
  <si>
    <t>3332369Z UQ Equity</t>
  </si>
  <si>
    <t>IGEN International Inc</t>
  </si>
  <si>
    <t>IIVI UQ Equity</t>
  </si>
  <si>
    <t>II-VI Inc</t>
  </si>
  <si>
    <t>ANAD UQ Equity</t>
  </si>
  <si>
    <t>II-VI OptoElectronic Devices Inc</t>
  </si>
  <si>
    <t>ILXO UQ Equity</t>
  </si>
  <si>
    <t>Ilex Oncology Inc</t>
  </si>
  <si>
    <t>ILMN UQ Equity</t>
  </si>
  <si>
    <t>Illumina Inc</t>
  </si>
  <si>
    <t>MIPS UQ Equity</t>
  </si>
  <si>
    <t>Imagination Technologies LLC</t>
  </si>
  <si>
    <t>0945329D UQ Equity</t>
  </si>
  <si>
    <t>ImClone Systems LLC</t>
  </si>
  <si>
    <t>BLUD UQ Equity</t>
  </si>
  <si>
    <t>Immucor Inc</t>
  </si>
  <si>
    <t>IMGN UQ Equity</t>
  </si>
  <si>
    <t>ImmunoGen Inc</t>
  </si>
  <si>
    <t>IMMU UQ Equity</t>
  </si>
  <si>
    <t>Immunomedics Inc</t>
  </si>
  <si>
    <t>IMH UA Equity</t>
  </si>
  <si>
    <t>Impac Mortgage Holdings Inc</t>
  </si>
  <si>
    <t>IMPHQ UQ Equity</t>
  </si>
  <si>
    <t>Impath Inc</t>
  </si>
  <si>
    <t>IPXL UQ Equity</t>
  </si>
  <si>
    <t>Impax Laboratories Inc</t>
  </si>
  <si>
    <t>IMPCQ UQ Equity</t>
  </si>
  <si>
    <t>Imperial Capital Bancorp Inc</t>
  </si>
  <si>
    <t>3592185Q UQ Equity</t>
  </si>
  <si>
    <t>Inamed Corp</t>
  </si>
  <si>
    <t>INCY UQ Equity</t>
  </si>
  <si>
    <t>Incyte Corp</t>
  </si>
  <si>
    <t>IHC UQ Equity</t>
  </si>
  <si>
    <t>Independence Holding Co</t>
  </si>
  <si>
    <t>IBCP UQ Equity</t>
  </si>
  <si>
    <t>Independent Bank Corp/MI</t>
  </si>
  <si>
    <t>INDB UQ Equity</t>
  </si>
  <si>
    <t>Independent Bank Corp/Rockland MA</t>
  </si>
  <si>
    <t>2273970Q UQ Equity</t>
  </si>
  <si>
    <t>Inet Technologies Inc</t>
  </si>
  <si>
    <t>INFI UQ Equity</t>
  </si>
  <si>
    <t>Infinity Pharmaceuticals Inc</t>
  </si>
  <si>
    <t>INFS UQ Equity</t>
  </si>
  <si>
    <t>InFocus Corp</t>
  </si>
  <si>
    <t>IUSA UQ Equity</t>
  </si>
  <si>
    <t>infoGroup Inc</t>
  </si>
  <si>
    <t>667893Q UN Equity</t>
  </si>
  <si>
    <t>Infonet Services Corp</t>
  </si>
  <si>
    <t>LWSN UQ Equity</t>
  </si>
  <si>
    <t>Infor US Inc</t>
  </si>
  <si>
    <t>INFA UQ Equity</t>
  </si>
  <si>
    <t>Informatica LLC</t>
  </si>
  <si>
    <t>724309Q UN Equity</t>
  </si>
  <si>
    <t>Information Holdings Inc</t>
  </si>
  <si>
    <t>IRIC UQ Equity</t>
  </si>
  <si>
    <t>Information Resources Inc</t>
  </si>
  <si>
    <t>INFT UQ Equity</t>
  </si>
  <si>
    <t>Inforte Corp</t>
  </si>
  <si>
    <t>IMKTA UQ Equity</t>
  </si>
  <si>
    <t>Ingles Markets Inc</t>
  </si>
  <si>
    <t>INGR UN Equity</t>
  </si>
  <si>
    <t>Ingredion Inc</t>
  </si>
  <si>
    <t>INKT UQ Equity</t>
  </si>
  <si>
    <t>Inktomi Corp</t>
  </si>
  <si>
    <t>KPA UN Equity</t>
  </si>
  <si>
    <t>Innkeepers USA Trust</t>
  </si>
  <si>
    <t>IOSP UN Equity</t>
  </si>
  <si>
    <t>Innospec Inc</t>
  </si>
  <si>
    <t>INRG UQ Equity</t>
  </si>
  <si>
    <t>Inrange Technologies Corp</t>
  </si>
  <si>
    <t>ICCI UQ Equity</t>
  </si>
  <si>
    <t>Insight Communications Co Inc</t>
  </si>
  <si>
    <t>NSIT UQ Equity</t>
  </si>
  <si>
    <t>Insight Enterprises Inc</t>
  </si>
  <si>
    <t>297807Q UN Equity</t>
  </si>
  <si>
    <t>Insignia Financial Group Inc</t>
  </si>
  <si>
    <t>NSP UN Equity</t>
  </si>
  <si>
    <t>Insperity Inc</t>
  </si>
  <si>
    <t>IAAI UQ Equity</t>
  </si>
  <si>
    <t>Insurance Auto Auctions Inc</t>
  </si>
  <si>
    <t>NEOL UQ Equity</t>
  </si>
  <si>
    <t>Insys Therapeutics Inc</t>
  </si>
  <si>
    <t>ITGR UN Equity</t>
  </si>
  <si>
    <t>Integer Holdings Corp</t>
  </si>
  <si>
    <t>IBNKQ UQ Equity</t>
  </si>
  <si>
    <t>Integra Bank Corp</t>
  </si>
  <si>
    <t>IART UQ Equity</t>
  </si>
  <si>
    <t>Integra LifeSciences Holdings Corp</t>
  </si>
  <si>
    <t>ISYS UQ Equity</t>
  </si>
  <si>
    <t>Integral Systems Inc/MD</t>
  </si>
  <si>
    <t>IESRQ UN Equity</t>
  </si>
  <si>
    <t>Integrated Electrical Services Inc/Old</t>
  </si>
  <si>
    <t>ISSI UQ Equity</t>
  </si>
  <si>
    <t>Integrated Silicon Solution Inc</t>
  </si>
  <si>
    <t>TEG UN Equity</t>
  </si>
  <si>
    <t>Integrys Energy Group Inc</t>
  </si>
  <si>
    <t>IPAR UQ Equity</t>
  </si>
  <si>
    <t>Inter Parfums Inc</t>
  </si>
  <si>
    <t>2523241Q UQ Equity</t>
  </si>
  <si>
    <t>Inter-Tel Inc</t>
  </si>
  <si>
    <t>0612541D UQ Equity</t>
  </si>
  <si>
    <t>InterCept Inc</t>
  </si>
  <si>
    <t>IFCJ UQ Equity</t>
  </si>
  <si>
    <t>Interchange Financial Services Corp</t>
  </si>
  <si>
    <t>IDCC UQ Equity</t>
  </si>
  <si>
    <t>InterDigital Inc/PA</t>
  </si>
  <si>
    <t>TILE UQ Equity</t>
  </si>
  <si>
    <t>Interface Inc</t>
  </si>
  <si>
    <t>0376152D US Equity</t>
  </si>
  <si>
    <t>Intergraph Corp</t>
  </si>
  <si>
    <t>IMGC UQ Equity</t>
  </si>
  <si>
    <t>Intermagnetics General Corp</t>
  </si>
  <si>
    <t>IN UN Equity</t>
  </si>
  <si>
    <t>Intermec Inc</t>
  </si>
  <si>
    <t>INMTQ UQ Equity</t>
  </si>
  <si>
    <t>Intermet Corp</t>
  </si>
  <si>
    <t>2300319Q UR Equity</t>
  </si>
  <si>
    <t>Intermix Media Inc</t>
  </si>
  <si>
    <t>ITMN UQ Equity</t>
  </si>
  <si>
    <t>InterMune Inc</t>
  </si>
  <si>
    <t>IBOC UQ Equity</t>
  </si>
  <si>
    <t>International Bancshares Corp</t>
  </si>
  <si>
    <t>373705Q UN Equity</t>
  </si>
  <si>
    <t>International Multifoods Corp</t>
  </si>
  <si>
    <t>264526Q UN Equity</t>
  </si>
  <si>
    <t>International Specialty Products Inc/Old</t>
  </si>
  <si>
    <t>ISSX UQ Equity</t>
  </si>
  <si>
    <t>Internet Security Systems Inc</t>
  </si>
  <si>
    <t>IDXG UQ Equity</t>
  </si>
  <si>
    <t>Interpace Diagnostics Group Inc</t>
  </si>
  <si>
    <t>IPX UN Equity</t>
  </si>
  <si>
    <t>Interpool Inc</t>
  </si>
  <si>
    <t>3195391Z UQ Equity</t>
  </si>
  <si>
    <t>InterPore International</t>
  </si>
  <si>
    <t>ITN UN Equity</t>
  </si>
  <si>
    <t>InterTAN Inc</t>
  </si>
  <si>
    <t>IWOV UQ Equity</t>
  </si>
  <si>
    <t>Interwoven Inc</t>
  </si>
  <si>
    <t>ISRG UQ Equity</t>
  </si>
  <si>
    <t>Intuitive Surgical Inc</t>
  </si>
  <si>
    <t>IVC UN Equity</t>
  </si>
  <si>
    <t>Invacare Corp</t>
  </si>
  <si>
    <t>IRET UQ Equity</t>
  </si>
  <si>
    <t>Investors Real Estate Trust</t>
  </si>
  <si>
    <t>IOM UN Equity</t>
  </si>
  <si>
    <t>Iomega Corp</t>
  </si>
  <si>
    <t>IO UN Equity</t>
  </si>
  <si>
    <t>ION Geophysical Corp</t>
  </si>
  <si>
    <t>IIONQ UA Equity</t>
  </si>
  <si>
    <t>ION Media Networks Inc</t>
  </si>
  <si>
    <t>IONS UQ Equity</t>
  </si>
  <si>
    <t>Ionis Pharmaceuticals Inc</t>
  </si>
  <si>
    <t>0824271D UN Equity</t>
  </si>
  <si>
    <t>IRT Property Co</t>
  </si>
  <si>
    <t>IRWNQ UN Equity</t>
  </si>
  <si>
    <t>Irwin Financial Corp</t>
  </si>
  <si>
    <t>ISLE UQ Equity</t>
  </si>
  <si>
    <t>Isle of Capri Casinos Inc</t>
  </si>
  <si>
    <t>ITRI UQ Equity</t>
  </si>
  <si>
    <t>Itron Inc</t>
  </si>
  <si>
    <t>ESINQ UN Equity</t>
  </si>
  <si>
    <t>ITT Educational Services Inc</t>
  </si>
  <si>
    <t>ITXC UQ Equity</t>
  </si>
  <si>
    <t>ITXC Corp</t>
  </si>
  <si>
    <t>XXIA UQ Equity</t>
  </si>
  <si>
    <t>Ixia</t>
  </si>
  <si>
    <t>IXYS UQ Equity</t>
  </si>
  <si>
    <t>IXYS Corp</t>
  </si>
  <si>
    <t>1489313D UQ Equity</t>
  </si>
  <si>
    <t>J Jill Group Inc/The</t>
  </si>
  <si>
    <t>JJSF UQ Equity</t>
  </si>
  <si>
    <t>J&amp;J Snack Foods Corp</t>
  </si>
  <si>
    <t>JCOM UQ Equity</t>
  </si>
  <si>
    <t>j2 Global Inc</t>
  </si>
  <si>
    <t>JACK UN Equity</t>
  </si>
  <si>
    <t>Jack in the Box Inc</t>
  </si>
  <si>
    <t>JAKK UQ Equity</t>
  </si>
  <si>
    <t>JAKKS Pacific Inc</t>
  </si>
  <si>
    <t>PIK UN Equity</t>
  </si>
  <si>
    <t>Jandy Inc</t>
  </si>
  <si>
    <t>JAH UN Equity</t>
  </si>
  <si>
    <t>Jarden Corp</t>
  </si>
  <si>
    <t>JBHT UQ Equity</t>
  </si>
  <si>
    <t>JB Hunt Transport Services Inc</t>
  </si>
  <si>
    <t>JDAS UQ Equity</t>
  </si>
  <si>
    <t>JDA Software Group Inc</t>
  </si>
  <si>
    <t>JDN UN Equity</t>
  </si>
  <si>
    <t>JDN Realty Corp</t>
  </si>
  <si>
    <t>JEF UN Equity</t>
  </si>
  <si>
    <t>Jefferies Group LLC</t>
  </si>
  <si>
    <t>JLG UN Equity</t>
  </si>
  <si>
    <t>JLG Industries Inc</t>
  </si>
  <si>
    <t>SJM UN Equity</t>
  </si>
  <si>
    <t>JM Smucker Co/The</t>
  </si>
  <si>
    <t>JAS/A UN Equity</t>
  </si>
  <si>
    <t>Jo-Ann Stores LLC</t>
  </si>
  <si>
    <t>JH UN Equity</t>
  </si>
  <si>
    <t>John H Harland Co</t>
  </si>
  <si>
    <t>JOUT UQ Equity</t>
  </si>
  <si>
    <t>Johnson Outdoors Inc</t>
  </si>
  <si>
    <t>JLL UN Equity</t>
  </si>
  <si>
    <t>Jones Lang LaSalle Inc</t>
  </si>
  <si>
    <t>Real Estate Management &amp; Development</t>
  </si>
  <si>
    <t>JRCOQ UN Equity</t>
  </si>
  <si>
    <t>Journal Register Co</t>
  </si>
  <si>
    <t>JOY UQ Equity</t>
  </si>
  <si>
    <t>Joy Global Inc</t>
  </si>
  <si>
    <t>JNP UA Equity</t>
  </si>
  <si>
    <t>Juniper Pharmaceuticals Inc</t>
  </si>
  <si>
    <t>KSWS UQ Equity</t>
  </si>
  <si>
    <t>K-Swiss Inc</t>
  </si>
  <si>
    <t>KTO UN Equity</t>
  </si>
  <si>
    <t>K2 Inc</t>
  </si>
  <si>
    <t>KAI UA Equity</t>
  </si>
  <si>
    <t>Kadant Inc</t>
  </si>
  <si>
    <t>KAMN UQ Equity</t>
  </si>
  <si>
    <t>Kaman Corp</t>
  </si>
  <si>
    <t>KCLI UR Equity</t>
  </si>
  <si>
    <t>Kansas City Life Insurance Co</t>
  </si>
  <si>
    <t>KSU UN Equity</t>
  </si>
  <si>
    <t>Kansas City Southern</t>
  </si>
  <si>
    <t>KDN UN Equity</t>
  </si>
  <si>
    <t>Kaydon Corp</t>
  </si>
  <si>
    <t>KEA UA Equity</t>
  </si>
  <si>
    <t>Keane Inc/Old</t>
  </si>
  <si>
    <t>KEI UN Equity</t>
  </si>
  <si>
    <t>Keithley Instruments Inc</t>
  </si>
  <si>
    <t>KWD UN Equity</t>
  </si>
  <si>
    <t>Kellwood Co</t>
  </si>
  <si>
    <t>KELYA UQ Equity</t>
  </si>
  <si>
    <t>Kelly Services Inc</t>
  </si>
  <si>
    <t>KNDL UQ Equity</t>
  </si>
  <si>
    <t>Kendle International LLC</t>
  </si>
  <si>
    <t>KMT UN Equity</t>
  </si>
  <si>
    <t>Kennametal Inc</t>
  </si>
  <si>
    <t>KCP UN Equity</t>
  </si>
  <si>
    <t>Kenneth Cole Productions Inc</t>
  </si>
  <si>
    <t>KNSY UQ Equity</t>
  </si>
  <si>
    <t>Kensey Nash Corp</t>
  </si>
  <si>
    <t>GMCR UQ Equity</t>
  </si>
  <si>
    <t>Keurig Green Mountain Inc</t>
  </si>
  <si>
    <t>KEGXQ UN Equity</t>
  </si>
  <si>
    <t>Key Energy Services Inc</t>
  </si>
  <si>
    <t>KEYN UQ Equity</t>
  </si>
  <si>
    <t>Keynote Systems Inc</t>
  </si>
  <si>
    <t>1068347D UQ Equity</t>
  </si>
  <si>
    <t>Keystone Automotive Industries Inc</t>
  </si>
  <si>
    <t>KTR UN Equity</t>
  </si>
  <si>
    <t>Keystone Property Trust</t>
  </si>
  <si>
    <t>KFRC UQ Equity</t>
  </si>
  <si>
    <t>Kforce Inc</t>
  </si>
  <si>
    <t>KIDBQ UN Equity</t>
  </si>
  <si>
    <t>Kid Brands Inc</t>
  </si>
  <si>
    <t>KRC UN Equity</t>
  </si>
  <si>
    <t>Kilroy Realty Corp</t>
  </si>
  <si>
    <t>KBAL UQ Equity</t>
  </si>
  <si>
    <t>Kimball International Inc</t>
  </si>
  <si>
    <t>KND UQ Equity</t>
  </si>
  <si>
    <t>Kindred Healthcare Inc</t>
  </si>
  <si>
    <t>KEX UN Equity</t>
  </si>
  <si>
    <t>Kirby Corp</t>
  </si>
  <si>
    <t>Marine</t>
  </si>
  <si>
    <t>0838256D UQ Equity</t>
  </si>
  <si>
    <t>Knight Capital Group LLC</t>
  </si>
  <si>
    <t>KNX UQ Equity</t>
  </si>
  <si>
    <t>Knight Transportation Inc</t>
  </si>
  <si>
    <t>KOPN UQ Equity</t>
  </si>
  <si>
    <t>Kopin Corp</t>
  </si>
  <si>
    <t>KFY UN Equity</t>
  </si>
  <si>
    <t>Korn/Ferry International</t>
  </si>
  <si>
    <t>KOSP UQ Equity</t>
  </si>
  <si>
    <t>KOS Pharmaceuticals Inc</t>
  </si>
  <si>
    <t>KOSN UQ Equity</t>
  </si>
  <si>
    <t>Kosan Biosciences Inc</t>
  </si>
  <si>
    <t>KRT UN Equity</t>
  </si>
  <si>
    <t>Kramont Realty Trust</t>
  </si>
  <si>
    <t>KTOS UQ Equity</t>
  </si>
  <si>
    <t>Kratos Defense &amp; Security Solutions Inc</t>
  </si>
  <si>
    <t>KROL UQ Equity</t>
  </si>
  <si>
    <t>Kroll LLC</t>
  </si>
  <si>
    <t>KRON UQ Equity</t>
  </si>
  <si>
    <t>Kronos Inc/MA</t>
  </si>
  <si>
    <t>KLIC UQ Equity</t>
  </si>
  <si>
    <t>Kulicke &amp; Soffa Industries Inc</t>
  </si>
  <si>
    <t>LJPC UQ Equity</t>
  </si>
  <si>
    <t>La Jolla Pharmaceutical Co</t>
  </si>
  <si>
    <t>LQI UN Equity</t>
  </si>
  <si>
    <t>La Quinta Corp</t>
  </si>
  <si>
    <t>1348098D UQ Equity</t>
  </si>
  <si>
    <t>LabOne LLC</t>
  </si>
  <si>
    <t>LBAI UQ Equity</t>
  </si>
  <si>
    <t>Lakeland Bancorp Inc</t>
  </si>
  <si>
    <t>LKFN UQ Equity</t>
  </si>
  <si>
    <t>Lakeland Financial Corp</t>
  </si>
  <si>
    <t>LFGRQ UN Equity</t>
  </si>
  <si>
    <t>LandAmerica Financial Group Inc</t>
  </si>
  <si>
    <t>LDR UN Equity</t>
  </si>
  <si>
    <t>Landauer Inc</t>
  </si>
  <si>
    <t>LNY UN Equity</t>
  </si>
  <si>
    <t>Landry's Inc</t>
  </si>
  <si>
    <t>LSTR UQ Equity</t>
  </si>
  <si>
    <t>Landstar System Inc</t>
  </si>
  <si>
    <t>LHO UN Equity</t>
  </si>
  <si>
    <t>LaSalle Hotel Properties</t>
  </si>
  <si>
    <t>LCRD UQ Equity</t>
  </si>
  <si>
    <t>LaserCard Corp</t>
  </si>
  <si>
    <t>LSCC UQ Equity</t>
  </si>
  <si>
    <t>Lattice Semiconductor Corp</t>
  </si>
  <si>
    <t>1324741D UQ Equity</t>
  </si>
  <si>
    <t>Laureate Education Inc</t>
  </si>
  <si>
    <t>LAWS UQ Equity</t>
  </si>
  <si>
    <t>Lawson Products Inc/DE</t>
  </si>
  <si>
    <t>LCII UA Equity</t>
  </si>
  <si>
    <t>LCI Industries</t>
  </si>
  <si>
    <t>LTRE UQ Equity</t>
  </si>
  <si>
    <t>Learning Tree International Inc</t>
  </si>
  <si>
    <t>LGTO UQ Equity</t>
  </si>
  <si>
    <t>Legato Systems Inc</t>
  </si>
  <si>
    <t>2960654Q UQ Equity</t>
  </si>
  <si>
    <t>LendingTree Inc/old</t>
  </si>
  <si>
    <t>LII UN Equity</t>
  </si>
  <si>
    <t>Lennox International Inc</t>
  </si>
  <si>
    <t>LEXR UQ Equity</t>
  </si>
  <si>
    <t>Lexar Media Inc</t>
  </si>
  <si>
    <t>LXRX UQ Equity</t>
  </si>
  <si>
    <t>Lexicon Pharmaceuticals Inc</t>
  </si>
  <si>
    <t>LXP UN Equity</t>
  </si>
  <si>
    <t>Lexington Realty Trust</t>
  </si>
  <si>
    <t>LBY UN Equity</t>
  </si>
  <si>
    <t>Libbey Inc</t>
  </si>
  <si>
    <t>1085751D UN Equity</t>
  </si>
  <si>
    <t>Liberty Corp/The</t>
  </si>
  <si>
    <t>LSI UN Equity</t>
  </si>
  <si>
    <t>Life Storage Inc</t>
  </si>
  <si>
    <t>LCBM UQ Equity</t>
  </si>
  <si>
    <t>Lifecore Biomedical Inc</t>
  </si>
  <si>
    <t>860166Q UQ Equity</t>
  </si>
  <si>
    <t>Lifeline Systems Inc</t>
  </si>
  <si>
    <t>LGND UQ Equity</t>
  </si>
  <si>
    <t>Ligand Pharmaceuticals Inc</t>
  </si>
  <si>
    <t>LECO UQ Equity</t>
  </si>
  <si>
    <t>Lincoln Electric Holdings Inc</t>
  </si>
  <si>
    <t>LNN UN Equity</t>
  </si>
  <si>
    <t>Lindsay Corp</t>
  </si>
  <si>
    <t>0848457D UN Equity</t>
  </si>
  <si>
    <t>Linens 'n Things Inc</t>
  </si>
  <si>
    <t>GBP UN Equity</t>
  </si>
  <si>
    <t>Lion Gables Realty LP</t>
  </si>
  <si>
    <t>LAD UN Equity</t>
  </si>
  <si>
    <t>Lithia Motors Inc</t>
  </si>
  <si>
    <t>LFUS UQ Equity</t>
  </si>
  <si>
    <t>Littelfuse Inc</t>
  </si>
  <si>
    <t>VAST UQ Equity</t>
  </si>
  <si>
    <t>Livingston International Technology Serv</t>
  </si>
  <si>
    <t>599864Q UN Equity</t>
  </si>
  <si>
    <t>LNR Property LLC</t>
  </si>
  <si>
    <t>LFIN UQ Equity</t>
  </si>
  <si>
    <t>Local Financial Corp</t>
  </si>
  <si>
    <t>LSS UN Equity</t>
  </si>
  <si>
    <t>Lone Star Technologies Inc</t>
  </si>
  <si>
    <t>LDG UN Equity</t>
  </si>
  <si>
    <t>Longs Drug Stores Corp</t>
  </si>
  <si>
    <t>LFB UN Equity</t>
  </si>
  <si>
    <t>Longview Fibre Co</t>
  </si>
  <si>
    <t>LOOK UQ Equity</t>
  </si>
  <si>
    <t>Looksmart Ltd</t>
  </si>
  <si>
    <t>LPX UN Equity</t>
  </si>
  <si>
    <t>Louisiana-Pacific Corp</t>
  </si>
  <si>
    <t>SCX UN Equity</t>
  </si>
  <si>
    <t>LS Starrett Co/The</t>
  </si>
  <si>
    <t>LYTS UQ Equity</t>
  </si>
  <si>
    <t>LSI Industries Inc</t>
  </si>
  <si>
    <t>LTC UN Equity</t>
  </si>
  <si>
    <t>LTC Properties Inc</t>
  </si>
  <si>
    <t>LUB UN Equity</t>
  </si>
  <si>
    <t>Luby's Inc</t>
  </si>
  <si>
    <t>LUFK UQ Equity</t>
  </si>
  <si>
    <t>Lufkin Industries Inc</t>
  </si>
  <si>
    <t>KVPHQ UN Equity</t>
  </si>
  <si>
    <t>Lumara Health Inc</t>
  </si>
  <si>
    <t>LMNX UQ Equity</t>
  </si>
  <si>
    <t>Luminex Corp</t>
  </si>
  <si>
    <t>LDL UN Equity</t>
  </si>
  <si>
    <t>Lydall Inc</t>
  </si>
  <si>
    <t>MHO UN Equity</t>
  </si>
  <si>
    <t>M/I Homes Inc</t>
  </si>
  <si>
    <t>MBVX UQ Equity</t>
  </si>
  <si>
    <t>MabVax Therapeutics Holdings Inc</t>
  </si>
  <si>
    <t>MCBC UQ Equity</t>
  </si>
  <si>
    <t>Macatawa Bank Corp</t>
  </si>
  <si>
    <t>9477411Q UN Equity</t>
  </si>
  <si>
    <t>MacDermid Inc</t>
  </si>
  <si>
    <t>MAC UN Equity</t>
  </si>
  <si>
    <t>Macerich Co/The</t>
  </si>
  <si>
    <t>MAFB UQ Equity</t>
  </si>
  <si>
    <t>MAF Bancorp Inc</t>
  </si>
  <si>
    <t>LAVA UQ Equity</t>
  </si>
  <si>
    <t>Magma Design Automation Inc</t>
  </si>
  <si>
    <t>710946Q UN Equity</t>
  </si>
  <si>
    <t>Magnum Hunter Resources Inc</t>
  </si>
  <si>
    <t>MSBK UQ Equity</t>
  </si>
  <si>
    <t>Main Street Banks Inc</t>
  </si>
  <si>
    <t>MSFG UQ Equity</t>
  </si>
  <si>
    <t>MainSource Financial Group Inc</t>
  </si>
  <si>
    <t>MAIR UQ Equity</t>
  </si>
  <si>
    <t>MAIR Holdings Inc</t>
  </si>
  <si>
    <t>MANH UQ Equity</t>
  </si>
  <si>
    <t>Manhattan Associates Inc</t>
  </si>
  <si>
    <t>MTW UN Equity</t>
  </si>
  <si>
    <t>Manitowoc Co Inc/The</t>
  </si>
  <si>
    <t>MSV UN Equity</t>
  </si>
  <si>
    <t>Manufacturers Services Ltd</t>
  </si>
  <si>
    <t>0564535D UQ Equity</t>
  </si>
  <si>
    <t>Manugistics Group Inc</t>
  </si>
  <si>
    <t>3445252Q UN Equity</t>
  </si>
  <si>
    <t>MAPFRE USA Corp</t>
  </si>
  <si>
    <t>8144537Q UQ Equity</t>
  </si>
  <si>
    <t>MAPICS Inc</t>
  </si>
  <si>
    <t>MCS UN Equity</t>
  </si>
  <si>
    <t>Marcus Corp/The</t>
  </si>
  <si>
    <t>MRNA UQ Equity</t>
  </si>
  <si>
    <t>Marina Biotech Inc</t>
  </si>
  <si>
    <t>MPX UA Equity</t>
  </si>
  <si>
    <t>Marine Products Corp</t>
  </si>
  <si>
    <t>HZO UN Equity</t>
  </si>
  <si>
    <t>MarineMax Inc</t>
  </si>
  <si>
    <t>MATK UQ Equity</t>
  </si>
  <si>
    <t>Martek Biosciences Corp</t>
  </si>
  <si>
    <t>MSO UN Equity</t>
  </si>
  <si>
    <t>Martha Stewart Living Omnimedia Inc</t>
  </si>
  <si>
    <t>MVL UN Equity</t>
  </si>
  <si>
    <t>Marvel Entertainment LLC</t>
  </si>
  <si>
    <t>MASB UQ Equity</t>
  </si>
  <si>
    <t>MASSBANK Corp</t>
  </si>
  <si>
    <t>MTZ UN Equity</t>
  </si>
  <si>
    <t>MasTec Inc</t>
  </si>
  <si>
    <t>MASC UN Equity</t>
  </si>
  <si>
    <t>Material Sciences Corp</t>
  </si>
  <si>
    <t>MTRN UN Equity</t>
  </si>
  <si>
    <t>Materion Corp</t>
  </si>
  <si>
    <t>984185Q UQ Equity</t>
  </si>
  <si>
    <t>Matrixone Inc</t>
  </si>
  <si>
    <t>MATX UQ Equity</t>
  </si>
  <si>
    <t>Matson Inc</t>
  </si>
  <si>
    <t>MATW UQ Equity</t>
  </si>
  <si>
    <t>Matthews International Corp</t>
  </si>
  <si>
    <t>MTSN UQ Equity</t>
  </si>
  <si>
    <t>Mattson Technology Inc</t>
  </si>
  <si>
    <t>MLP UA Equity</t>
  </si>
  <si>
    <t>Maui Land &amp; Pineapple Co Inc</t>
  </si>
  <si>
    <t>MVK UN Equity</t>
  </si>
  <si>
    <t>Maverick Tube Corp</t>
  </si>
  <si>
    <t>MMS UN Equity</t>
  </si>
  <si>
    <t>MAXIMUS Inc</t>
  </si>
  <si>
    <t>MXO UN Equity</t>
  </si>
  <si>
    <t>Maxtor Corp</t>
  </si>
  <si>
    <t>MAXS UQ Equity</t>
  </si>
  <si>
    <t>Maxwell Shoe Co</t>
  </si>
  <si>
    <t>MAXY UQ Equity</t>
  </si>
  <si>
    <t>Maxygen Inc</t>
  </si>
  <si>
    <t>MBFI UQ Equity</t>
  </si>
  <si>
    <t>MB Financial Inc</t>
  </si>
  <si>
    <t>MCDTA UQ Equity</t>
  </si>
  <si>
    <t>McDATA Corp</t>
  </si>
  <si>
    <t>MCGC UQ Equity</t>
  </si>
  <si>
    <t>MCG Capital Corp</t>
  </si>
  <si>
    <t>MGRC UQ Equity</t>
  </si>
  <si>
    <t>McGrath RentCorp</t>
  </si>
  <si>
    <t>2297161Q UQ Equity</t>
  </si>
  <si>
    <t>Mckesson Technologies Inc</t>
  </si>
  <si>
    <t>MCSIQ UQ Equity</t>
  </si>
  <si>
    <t>MCSi Inc</t>
  </si>
  <si>
    <t>MDC UN Equity</t>
  </si>
  <si>
    <t>MDC Holdings Inc</t>
  </si>
  <si>
    <t>2298343Q UQ Equity</t>
  </si>
  <si>
    <t>Med-Design Corp/The</t>
  </si>
  <si>
    <t>MEDX UQ Equity</t>
  </si>
  <si>
    <t>Medarex Inc</t>
  </si>
  <si>
    <t>MDTH UQ Equity</t>
  </si>
  <si>
    <t>MedCath Corp</t>
  </si>
  <si>
    <t>MCCC UQ Equity</t>
  </si>
  <si>
    <t>Mediacom Communications Corp</t>
  </si>
  <si>
    <t>MDCO UQ Equity</t>
  </si>
  <si>
    <t>Medicines Co/The</t>
  </si>
  <si>
    <t>MDTL UQ Equity</t>
  </si>
  <si>
    <t>Medis Technologies Ltd</t>
  </si>
  <si>
    <t>MD UN Equity</t>
  </si>
  <si>
    <t>MEDNAX Inc</t>
  </si>
  <si>
    <t>MW UN Equity</t>
  </si>
  <si>
    <t>Men's Wearhouse Inc/The</t>
  </si>
  <si>
    <t>MNT UQ Equity</t>
  </si>
  <si>
    <t>Mentor Corp</t>
  </si>
  <si>
    <t>MENT UQ Equity</t>
  </si>
  <si>
    <t>Mentor Graphics Corp</t>
  </si>
  <si>
    <t>MBVT UQ Equity</t>
  </si>
  <si>
    <t>Merchants Bancshares Inc/VT</t>
  </si>
  <si>
    <t>WEDC UQ Equity</t>
  </si>
  <si>
    <t>Mercury Corp - Memory &amp; Storage Solution</t>
  </si>
  <si>
    <t>MRCY UQ Equity</t>
  </si>
  <si>
    <t>Mercury Systems Inc</t>
  </si>
  <si>
    <t>AMCS UQ Equity</t>
  </si>
  <si>
    <t>Merge Healthcare Solutions Inc</t>
  </si>
  <si>
    <t>TMR UN Equity</t>
  </si>
  <si>
    <t>Meridian Resource Corp/The</t>
  </si>
  <si>
    <t>MHX UN Equity</t>
  </si>
  <si>
    <t>MeriStar Hospitality Corp</t>
  </si>
  <si>
    <t>MMSI UQ Equity</t>
  </si>
  <si>
    <t>Merit Medical Systems Inc</t>
  </si>
  <si>
    <t>MTH UN Equity</t>
  </si>
  <si>
    <t>Meritage Homes Corp</t>
  </si>
  <si>
    <t>MESAQ UQ Equity</t>
  </si>
  <si>
    <t>Mesa Air Group Inc</t>
  </si>
  <si>
    <t>MCCK UN Equity</t>
  </si>
  <si>
    <t>Mestek Inc</t>
  </si>
  <si>
    <t>MSLV UQ Equity</t>
  </si>
  <si>
    <t>MetaSolv Inc</t>
  </si>
  <si>
    <t>MEI UQ Equity</t>
  </si>
  <si>
    <t>Methode Electronics Inc</t>
  </si>
  <si>
    <t>2255780Q UN Equity</t>
  </si>
  <si>
    <t>Metris Cos Inc</t>
  </si>
  <si>
    <t>WOWI UQ Equity</t>
  </si>
  <si>
    <t>Metro One Telecommunications</t>
  </si>
  <si>
    <t>MFA UN Equity</t>
  </si>
  <si>
    <t>MFA Financial Inc</t>
  </si>
  <si>
    <t>MGEE UQ Equity</t>
  </si>
  <si>
    <t>MGE Energy Inc</t>
  </si>
  <si>
    <t>GLFD UQ Equity</t>
  </si>
  <si>
    <t>MGI GP Inc</t>
  </si>
  <si>
    <t>MOGN UQ Equity</t>
  </si>
  <si>
    <t>MGI Pharma Inc</t>
  </si>
  <si>
    <t>MZIAQ UN Equity</t>
  </si>
  <si>
    <t>MI 2009 Inc</t>
  </si>
  <si>
    <t>BKR UA Equity</t>
  </si>
  <si>
    <t>Michael Baker Corp</t>
  </si>
  <si>
    <t>MUSE UQ Equity</t>
  </si>
  <si>
    <t>Micromuse Inc</t>
  </si>
  <si>
    <t>MCRS UQ Equity</t>
  </si>
  <si>
    <t>MICROS Systems Inc</t>
  </si>
  <si>
    <t>VTSS UQ Equity</t>
  </si>
  <si>
    <t>Microsemi Communications Inc</t>
  </si>
  <si>
    <t>MSCC UQ Equity</t>
  </si>
  <si>
    <t>Microsemi Corp</t>
  </si>
  <si>
    <t>TUNE UQ Equity</t>
  </si>
  <si>
    <t>Microtune Inc</t>
  </si>
  <si>
    <t>MAA UN Equity</t>
  </si>
  <si>
    <t>Mid-America Apartment Communities Inc</t>
  </si>
  <si>
    <t>972731Q UN Equity</t>
  </si>
  <si>
    <t>Mid-Atlantic Realty Trust</t>
  </si>
  <si>
    <t>2740937Q UQ Equity</t>
  </si>
  <si>
    <t>Mid-State Bancshares</t>
  </si>
  <si>
    <t>MDS UN Equity</t>
  </si>
  <si>
    <t>Midas Inc</t>
  </si>
  <si>
    <t>MSEX UQ Equity</t>
  </si>
  <si>
    <t>Middlesex Water Co</t>
  </si>
  <si>
    <t>MLAN UQ Equity</t>
  </si>
  <si>
    <t>Midland Co/The</t>
  </si>
  <si>
    <t>MWYGQ UN Equity</t>
  </si>
  <si>
    <t>Midway Games Inc</t>
  </si>
  <si>
    <t>MEH UN Equity</t>
  </si>
  <si>
    <t>Midwest Air Group Inc</t>
  </si>
  <si>
    <t>MBHIQ UQ Equity</t>
  </si>
  <si>
    <t>Midwest Banc Holdings Inc</t>
  </si>
  <si>
    <t>MCH UN Equity</t>
  </si>
  <si>
    <t>Millennium Chemicals Inc</t>
  </si>
  <si>
    <t>2304786Q UN Equity</t>
  </si>
  <si>
    <t>Mills Corp/The</t>
  </si>
  <si>
    <t>MTX UN Equity</t>
  </si>
  <si>
    <t>Minerals Technologies Inc</t>
  </si>
  <si>
    <t>MSWP US Equity</t>
  </si>
  <si>
    <t>Mission West Properties Inc</t>
  </si>
  <si>
    <t>MEDQ UQ Equity</t>
  </si>
  <si>
    <t>MModal MQ Inc</t>
  </si>
  <si>
    <t>MINI UQ Equity</t>
  </si>
  <si>
    <t>Mobile Mini Inc</t>
  </si>
  <si>
    <t>MOD UQ Equity</t>
  </si>
  <si>
    <t>Modine Manufacturing Co</t>
  </si>
  <si>
    <t>MODTQ UQ Equity</t>
  </si>
  <si>
    <t>Modtech Holdings Inc</t>
  </si>
  <si>
    <t>MDCC UQ Equity</t>
  </si>
  <si>
    <t>Molecular Devices Corp</t>
  </si>
  <si>
    <t>MCOAQ UN Equity</t>
  </si>
  <si>
    <t>Monaco Coach Corp</t>
  </si>
  <si>
    <t>MCRI UQ Equity</t>
  </si>
  <si>
    <t>Monarch Casino &amp; Resort Inc</t>
  </si>
  <si>
    <t>MNRO UQ Equity</t>
  </si>
  <si>
    <t>Monro Muffler Brake Inc</t>
  </si>
  <si>
    <t>PSTA UQ Equity</t>
  </si>
  <si>
    <t>Monterey Gourmet Foods Inc</t>
  </si>
  <si>
    <t>MOG/A UN Equity</t>
  </si>
  <si>
    <t>Moog Inc</t>
  </si>
  <si>
    <t>3674498Q UQ Equity</t>
  </si>
  <si>
    <t>Morpho Detection LLC</t>
  </si>
  <si>
    <t>MOSS UR Equity</t>
  </si>
  <si>
    <t>Mossimo Inc</t>
  </si>
  <si>
    <t>MOSY UQ Equity</t>
  </si>
  <si>
    <t>MoSys Inc</t>
  </si>
  <si>
    <t>MOV UN Equity</t>
  </si>
  <si>
    <t>Movado Group Inc</t>
  </si>
  <si>
    <t>MOVE UR Equity</t>
  </si>
  <si>
    <t>Move Inc</t>
  </si>
  <si>
    <t>MOVIQ UQ Equity</t>
  </si>
  <si>
    <t>Movie Gallery Inc/Old</t>
  </si>
  <si>
    <t>0975679D UN Equity</t>
  </si>
  <si>
    <t>MPS Group Inc</t>
  </si>
  <si>
    <t>MROI UQ Equity</t>
  </si>
  <si>
    <t>MRO Software Inc</t>
  </si>
  <si>
    <t>MRVC UQ Equity</t>
  </si>
  <si>
    <t>MRV Communications Inc</t>
  </si>
  <si>
    <t>MSA UA Equity</t>
  </si>
  <si>
    <t>MSA Safety Inc</t>
  </si>
  <si>
    <t>MSCS US Equity</t>
  </si>
  <si>
    <t>MSC Software Corp</t>
  </si>
  <si>
    <t>MNTG UQ Equity</t>
  </si>
  <si>
    <t>MTR Gaming Group Inc</t>
  </si>
  <si>
    <t>MTSC UQ Equity</t>
  </si>
  <si>
    <t>MTS Systems Corp</t>
  </si>
  <si>
    <t>MLI UN Equity</t>
  </si>
  <si>
    <t>Mueller Industries Inc</t>
  </si>
  <si>
    <t>MYE UN Equity</t>
  </si>
  <si>
    <t>Myers Industries Inc</t>
  </si>
  <si>
    <t>MYK UN Equity</t>
  </si>
  <si>
    <t>Mykrolis Corp</t>
  </si>
  <si>
    <t>MYGN UQ Equity</t>
  </si>
  <si>
    <t>Myriad Genetics Inc</t>
  </si>
  <si>
    <t>NC UN Equity</t>
  </si>
  <si>
    <t>NACCO Industries Inc</t>
  </si>
  <si>
    <t>NANO UQ Equity</t>
  </si>
  <si>
    <t>Nanometrics Inc</t>
  </si>
  <si>
    <t>NAPS UQ Equity</t>
  </si>
  <si>
    <t>Napster Inc</t>
  </si>
  <si>
    <t>NASB UR Equity</t>
  </si>
  <si>
    <t>NASB Financial Inc</t>
  </si>
  <si>
    <t>NAFC UQ Equity</t>
  </si>
  <si>
    <t>Nash Finch Co</t>
  </si>
  <si>
    <t>NSDA UQ Equity</t>
  </si>
  <si>
    <t>Nassda Corp</t>
  </si>
  <si>
    <t>3695043Q UN Equity</t>
  </si>
  <si>
    <t>NATCO Group Inc</t>
  </si>
  <si>
    <t>FIZZ UA Equity</t>
  </si>
  <si>
    <t>National Beverage Corp</t>
  </si>
  <si>
    <t>NHI UN Equity</t>
  </si>
  <si>
    <t>National Health Investors Inc</t>
  </si>
  <si>
    <t>2897854Q UA Equity</t>
  </si>
  <si>
    <t>National Health Realty Inc</t>
  </si>
  <si>
    <t>NHC UA Equity</t>
  </si>
  <si>
    <t>National HealthCare Corp</t>
  </si>
  <si>
    <t>NPBC UQ Equity</t>
  </si>
  <si>
    <t>National Penn Bancshares Inc</t>
  </si>
  <si>
    <t>NPK UN Equity</t>
  </si>
  <si>
    <t>National Presto Industries Inc</t>
  </si>
  <si>
    <t>NNN UN Equity</t>
  </si>
  <si>
    <t>National Retail Properties Inc</t>
  </si>
  <si>
    <t>9876541D UQ Equity</t>
  </si>
  <si>
    <t>National Western Life Insurance Co</t>
  </si>
  <si>
    <t>NHP UN Equity</t>
  </si>
  <si>
    <t>Nationwide Health Properties Inc</t>
  </si>
  <si>
    <t>NTY UQ Equity</t>
  </si>
  <si>
    <t>Nature's Bounty Co/The</t>
  </si>
  <si>
    <t>NATR UQ Equity</t>
  </si>
  <si>
    <t>Nature's Sunshine Products Inc</t>
  </si>
  <si>
    <t>NAUT UQ Equity</t>
  </si>
  <si>
    <t>Nautica Enterprises Inc</t>
  </si>
  <si>
    <t>NLS UN Equity</t>
  </si>
  <si>
    <t>Nautilus Inc</t>
  </si>
  <si>
    <t>NCI UN Equity</t>
  </si>
  <si>
    <t>Navigant Consulting Inc</t>
  </si>
  <si>
    <t>NAVG UQ Equity</t>
  </si>
  <si>
    <t>Navigators Group Inc/The</t>
  </si>
  <si>
    <t>NBTB UQ Equity</t>
  </si>
  <si>
    <t>NBT Bancorp Inc</t>
  </si>
  <si>
    <t>NCS UN Equity</t>
  </si>
  <si>
    <t>NCI Building Systems Inc</t>
  </si>
  <si>
    <t>NDC UN Equity</t>
  </si>
  <si>
    <t>NDCHealth Corp</t>
  </si>
  <si>
    <t>NCRX UQ Equity</t>
  </si>
  <si>
    <t>NeighborCare Inc</t>
  </si>
  <si>
    <t>NKTR UQ Equity</t>
  </si>
  <si>
    <t>Nektar Therapeutics</t>
  </si>
  <si>
    <t>NEOF UQ Equity</t>
  </si>
  <si>
    <t>Neoforma Inc</t>
  </si>
  <si>
    <t>1303089D UQ Equity</t>
  </si>
  <si>
    <t>Neose Technologies Inc</t>
  </si>
  <si>
    <t>NTOP UQ Equity</t>
  </si>
  <si>
    <t>Net2Phone Inc</t>
  </si>
  <si>
    <t>NTBKQ UQ Equity</t>
  </si>
  <si>
    <t>Netbank Inc</t>
  </si>
  <si>
    <t>4623601Q UQ Equity</t>
  </si>
  <si>
    <t>Netegrity Inc</t>
  </si>
  <si>
    <t>NTIQ UQ Equity</t>
  </si>
  <si>
    <t>NetIQ Corp Inc</t>
  </si>
  <si>
    <t>NTRT UQ Equity</t>
  </si>
  <si>
    <t>Netratings Inc</t>
  </si>
  <si>
    <t>874896Q UQ Equity</t>
  </si>
  <si>
    <t>Netro Corp</t>
  </si>
  <si>
    <t>NTCT UQ Equity</t>
  </si>
  <si>
    <t>NetScout Systems Inc</t>
  </si>
  <si>
    <t>NSCN UQ Equity</t>
  </si>
  <si>
    <t>NetScreen Technologies Inc</t>
  </si>
  <si>
    <t>NBIX UQ Equity</t>
  </si>
  <si>
    <t>Neurocrine Biosciences Inc</t>
  </si>
  <si>
    <t>NRGN UQ Equity</t>
  </si>
  <si>
    <t>Neurogen Corp</t>
  </si>
  <si>
    <t>NEWCQ UQ Equity</t>
  </si>
  <si>
    <t>New Century Financial Corp</t>
  </si>
  <si>
    <t>NJR UN Equity</t>
  </si>
  <si>
    <t>New Jersey Resources Corp</t>
  </si>
  <si>
    <t>NBBC UQ Equity</t>
  </si>
  <si>
    <t>NewBridge Bancorp</t>
  </si>
  <si>
    <t>NR UN Equity</t>
  </si>
  <si>
    <t>Newpark Resources Inc</t>
  </si>
  <si>
    <t>NEWP UQ Equity</t>
  </si>
  <si>
    <t>Newport Corp</t>
  </si>
  <si>
    <t>NEXC UQ Equity</t>
  </si>
  <si>
    <t>NexCen Brands Inc</t>
  </si>
  <si>
    <t>NXTV UQ Equity</t>
  </si>
  <si>
    <t>Next Level Communications Inc</t>
  </si>
  <si>
    <t>NXTP UQ Equity</t>
  </si>
  <si>
    <t>Nextel Partners Inc</t>
  </si>
  <si>
    <t>EGOV UQ Equity</t>
  </si>
  <si>
    <t>NIC Inc</t>
  </si>
  <si>
    <t>ARB UN Equity</t>
  </si>
  <si>
    <t>Nielsen Audio Inc</t>
  </si>
  <si>
    <t>NL UN Equity</t>
  </si>
  <si>
    <t>NL Industries Inc</t>
  </si>
  <si>
    <t>NNBR UQ Equity</t>
  </si>
  <si>
    <t>NN Inc</t>
  </si>
  <si>
    <t>NDSN UQ Equity</t>
  </si>
  <si>
    <t>Nordson Corp</t>
  </si>
  <si>
    <t>NPSI UQ Equity</t>
  </si>
  <si>
    <t>North Pittsburgh Systems Inc</t>
  </si>
  <si>
    <t>NWBI UQ Equity</t>
  </si>
  <si>
    <t>Northwest Bancshares Inc</t>
  </si>
  <si>
    <t>NWN UN Equity</t>
  </si>
  <si>
    <t>Northwest Natural Gas Co</t>
  </si>
  <si>
    <t>NWPX UQ Equity</t>
  </si>
  <si>
    <t>Northwest Pipe Co</t>
  </si>
  <si>
    <t>NTHWQ UN Equity</t>
  </si>
  <si>
    <t>Northwestern Corp/Old</t>
  </si>
  <si>
    <t>NVDM UQ Equity</t>
  </si>
  <si>
    <t>Novadigm Inc</t>
  </si>
  <si>
    <t>NOVCQ UN Equity</t>
  </si>
  <si>
    <t>Novation Cos Inc</t>
  </si>
  <si>
    <t>NOVL UQ Equity</t>
  </si>
  <si>
    <t>Novell Inc</t>
  </si>
  <si>
    <t>1434849D UQ Equity</t>
  </si>
  <si>
    <t>Noven Pharmaceuticals Inc</t>
  </si>
  <si>
    <t>0700031D UN Equity</t>
  </si>
  <si>
    <t>NS Group Inc</t>
  </si>
  <si>
    <t>NUHC UQ Equity</t>
  </si>
  <si>
    <t>Nu Horizons Electronics Corp</t>
  </si>
  <si>
    <t>NUS UN Equity</t>
  </si>
  <si>
    <t>Nu Skin Enterprises Inc</t>
  </si>
  <si>
    <t>NUAN UQ Equity</t>
  </si>
  <si>
    <t>Nuance Communications Inc</t>
  </si>
  <si>
    <t>652404Q UQ Equity</t>
  </si>
  <si>
    <t>Nuance Communications Inc/Old</t>
  </si>
  <si>
    <t>3401347Q UN Equity</t>
  </si>
  <si>
    <t>Nuevo Energy Co</t>
  </si>
  <si>
    <t>NUI UN Equity</t>
  </si>
  <si>
    <t>NUI Corp</t>
  </si>
  <si>
    <t>NMTC UQ Equity</t>
  </si>
  <si>
    <t>Numerical Technologies Inc</t>
  </si>
  <si>
    <t>NVE UN Equity</t>
  </si>
  <si>
    <t>NV Energy Inc</t>
  </si>
  <si>
    <t>NYFX UQ Equity</t>
  </si>
  <si>
    <t>NYFIX Inc</t>
  </si>
  <si>
    <t>NYM UN Equity</t>
  </si>
  <si>
    <t>NYMAGIC Inc</t>
  </si>
  <si>
    <t>CHUX UQ Equity</t>
  </si>
  <si>
    <t>O'Charleys Inc</t>
  </si>
  <si>
    <t>OAKT UQ Equity</t>
  </si>
  <si>
    <t>Oak Technology LLC</t>
  </si>
  <si>
    <t>OO UN Equity</t>
  </si>
  <si>
    <t>Oakley Inc</t>
  </si>
  <si>
    <t>3310045Q UN Equity</t>
  </si>
  <si>
    <t>OCE Imagistics Inc</t>
  </si>
  <si>
    <t>OII UN Equity</t>
  </si>
  <si>
    <t>Oceaneering International Inc</t>
  </si>
  <si>
    <t>OCFC UQ Equity</t>
  </si>
  <si>
    <t>OceanFirst Financial Corp</t>
  </si>
  <si>
    <t>AVNX UQ Equity</t>
  </si>
  <si>
    <t>Oclaro North America Inc</t>
  </si>
  <si>
    <t>NUFO UQ Equity</t>
  </si>
  <si>
    <t>Oclaro Photonics Inc</t>
  </si>
  <si>
    <t>3280433Q UQ Equity</t>
  </si>
  <si>
    <t>Ocular Sciences Inc</t>
  </si>
  <si>
    <t>OCN UN Equity</t>
  </si>
  <si>
    <t>Ocwen Financial Corp</t>
  </si>
  <si>
    <t>ODSY UQ Equity</t>
  </si>
  <si>
    <t>Odyssey HealthCare Inc</t>
  </si>
  <si>
    <t>ORH UN Equity</t>
  </si>
  <si>
    <t>Odyssey Re Holdings Corp</t>
  </si>
  <si>
    <t>396996Q UN Equity</t>
  </si>
  <si>
    <t>OfficeMax Inc/Old</t>
  </si>
  <si>
    <t>OPAY UQ Equity</t>
  </si>
  <si>
    <t>Official Payments Holdings Inc</t>
  </si>
  <si>
    <t>OFG UN Equity</t>
  </si>
  <si>
    <t>OFG Bancorp</t>
  </si>
  <si>
    <t>OCAS UQ Equity</t>
  </si>
  <si>
    <t>Ohio Casualty Corp</t>
  </si>
  <si>
    <t>OIS UN Equity</t>
  </si>
  <si>
    <t>Oil States International Inc</t>
  </si>
  <si>
    <t>8258290Q UN Equity</t>
  </si>
  <si>
    <t>Old AII Inc</t>
  </si>
  <si>
    <t>IBCIQ UN Equity</t>
  </si>
  <si>
    <t>Old HB Inc</t>
  </si>
  <si>
    <t>OSBC UQ Equity</t>
  </si>
  <si>
    <t>Old Second Bancorp Inc</t>
  </si>
  <si>
    <t>OLN UN Equity</t>
  </si>
  <si>
    <t>Olin Corp</t>
  </si>
  <si>
    <t>OMEF UQ Equity</t>
  </si>
  <si>
    <t>Omega Financial Corp</t>
  </si>
  <si>
    <t>OHI UN Equity</t>
  </si>
  <si>
    <t>Omega Healthcare Investors Inc</t>
  </si>
  <si>
    <t>OMCL UQ Equity</t>
  </si>
  <si>
    <t>Omnicell Inc</t>
  </si>
  <si>
    <t>OVTI UQ Equity</t>
  </si>
  <si>
    <t>OmniVision Technologies Inc</t>
  </si>
  <si>
    <t>OMN UN Equity</t>
  </si>
  <si>
    <t>OMNOVA Solutions Inc</t>
  </si>
  <si>
    <t>ASGN UQ Equity</t>
  </si>
  <si>
    <t>On Assignment Inc</t>
  </si>
  <si>
    <t>ON UR Equity</t>
  </si>
  <si>
    <t>ON Semiconductor Corp</t>
  </si>
  <si>
    <t>ONEI UN Equity</t>
  </si>
  <si>
    <t>Oneida Ltd</t>
  </si>
  <si>
    <t>OKE UN Equity</t>
  </si>
  <si>
    <t>ONEOK Inc</t>
  </si>
  <si>
    <t>ONXX UQ Equity</t>
  </si>
  <si>
    <t>Onyx Pharmaceuticals Inc</t>
  </si>
  <si>
    <t>ONXS UQ Equity</t>
  </si>
  <si>
    <t>Onyx Software Corp</t>
  </si>
  <si>
    <t>OPLK UQ Equity</t>
  </si>
  <si>
    <t>Oplink Communications Inc</t>
  </si>
  <si>
    <t>1384851D UQ Equity</t>
  </si>
  <si>
    <t>OPNET Technologies Inc</t>
  </si>
  <si>
    <t>OCPI UQ Equity</t>
  </si>
  <si>
    <t>Optical Communication Products Inc</t>
  </si>
  <si>
    <t>3008759Q UQ Equity</t>
  </si>
  <si>
    <t>Option Care Inc/Delaware</t>
  </si>
  <si>
    <t>OSUR UQ Equity</t>
  </si>
  <si>
    <t>OraSure Technologies Inc</t>
  </si>
  <si>
    <t>ORB UN Equity</t>
  </si>
  <si>
    <t>Orbital Sciences Corp</t>
  </si>
  <si>
    <t>ORXE UQ Equity</t>
  </si>
  <si>
    <t>Ore Holdings Inc</t>
  </si>
  <si>
    <t>GOSHA UQ Equity</t>
  </si>
  <si>
    <t>OshKosh B'Gosh Inc</t>
  </si>
  <si>
    <t>OSK UN Equity</t>
  </si>
  <si>
    <t>Oshkosh Corp</t>
  </si>
  <si>
    <t>OSIP UQ Equity</t>
  </si>
  <si>
    <t>OSI Pharmaceuticals Inc</t>
  </si>
  <si>
    <t>OSIS UQ Equity</t>
  </si>
  <si>
    <t>OSI Systems Inc</t>
  </si>
  <si>
    <t>OTIX UQ Equity</t>
  </si>
  <si>
    <t>OTIX Global Inc</t>
  </si>
  <si>
    <t>OTTR UQ Equity</t>
  </si>
  <si>
    <t>Otter Tail Corp</t>
  </si>
  <si>
    <t>OUTR UQ Equity</t>
  </si>
  <si>
    <t>Outerwall Inc</t>
  </si>
  <si>
    <t>OVRL UQ Equity</t>
  </si>
  <si>
    <t>Overland Storage Inc</t>
  </si>
  <si>
    <t>OSGIQ UN Equity</t>
  </si>
  <si>
    <t>Overseas Shipholding Group Inc/Old</t>
  </si>
  <si>
    <t>OVER UQ Equity</t>
  </si>
  <si>
    <t>Overture Services Inc</t>
  </si>
  <si>
    <t>OMI UN Equity</t>
  </si>
  <si>
    <t>Owens &amp; Minor Inc</t>
  </si>
  <si>
    <t>OXM UN Equity</t>
  </si>
  <si>
    <t>Oxford Industries Inc</t>
  </si>
  <si>
    <t>PIOIQ UQ Equity</t>
  </si>
  <si>
    <t>P10 Industries Inc</t>
  </si>
  <si>
    <t>1339658D UQ Equity</t>
  </si>
  <si>
    <t>Pacific Capital Bancorp</t>
  </si>
  <si>
    <t>PNWB UQ Equity</t>
  </si>
  <si>
    <t>Pacific Northwest Bancorp</t>
  </si>
  <si>
    <t>PSUNQ UQ Equity</t>
  </si>
  <si>
    <t>Pacific Sunwear of California Inc</t>
  </si>
  <si>
    <t>PUBB UQ Equity</t>
  </si>
  <si>
    <t>Pacific Union Bank</t>
  </si>
  <si>
    <t>PHS UQ Equity</t>
  </si>
  <si>
    <t>Pacificare Health Systems Inc</t>
  </si>
  <si>
    <t>PKTR UQ Equity</t>
  </si>
  <si>
    <t>Packeteer Inc</t>
  </si>
  <si>
    <t>PACW UQ Equity</t>
  </si>
  <si>
    <t>PacWest Bancorp</t>
  </si>
  <si>
    <t>PTIE UQ Equity</t>
  </si>
  <si>
    <t>Pain Therapeutics Inc</t>
  </si>
  <si>
    <t>PHHMQ UQ Equity</t>
  </si>
  <si>
    <t>Palm Harbor Homes Inc</t>
  </si>
  <si>
    <t>PALM UQ Equity</t>
  </si>
  <si>
    <t>Palm Inc</t>
  </si>
  <si>
    <t>PTSI UQ Equity</t>
  </si>
  <si>
    <t>PAM Transportation Services Inc</t>
  </si>
  <si>
    <t>PNP UN Equity</t>
  </si>
  <si>
    <t>Pan Pacific Retail Properties Inc</t>
  </si>
  <si>
    <t>PNRA UQ Equity</t>
  </si>
  <si>
    <t>Panera Bread Co</t>
  </si>
  <si>
    <t>PZZA UQ Equity</t>
  </si>
  <si>
    <t>Papa John's International Inc</t>
  </si>
  <si>
    <t>1248911D UN Equity</t>
  </si>
  <si>
    <t>Par Pharmaceutical Cos Inc</t>
  </si>
  <si>
    <t>PDYN UQ Equity</t>
  </si>
  <si>
    <t>Paradyne Networks Inc</t>
  </si>
  <si>
    <t>PRXL UQ Equity</t>
  </si>
  <si>
    <t>PAREXEL International Corp</t>
  </si>
  <si>
    <t>PKE UN Equity</t>
  </si>
  <si>
    <t>Park Electrochemical Corp</t>
  </si>
  <si>
    <t>PKD UN Equity</t>
  </si>
  <si>
    <t>Parker Drilling Co</t>
  </si>
  <si>
    <t>PRKR UQ Equity</t>
  </si>
  <si>
    <t>ParkerVision Inc</t>
  </si>
  <si>
    <t>PVSA UQ Equity</t>
  </si>
  <si>
    <t>Parkvale Financial Corp</t>
  </si>
  <si>
    <t>1448021D UN Equity</t>
  </si>
  <si>
    <t>Parkway Properties Inc/Md</t>
  </si>
  <si>
    <t>0946851D UQ Equity</t>
  </si>
  <si>
    <t>Party City Corp</t>
  </si>
  <si>
    <t>PTMK UQ Equity</t>
  </si>
  <si>
    <t>Pathmark Stores Inc</t>
  </si>
  <si>
    <t>POG UN Equity</t>
  </si>
  <si>
    <t>Patina Oil &amp; Gas Corp</t>
  </si>
  <si>
    <t>3037491Q UN Equity</t>
  </si>
  <si>
    <t>Paxar Corp</t>
  </si>
  <si>
    <t>PSS UN Equity</t>
  </si>
  <si>
    <t>Payless Inc</t>
  </si>
  <si>
    <t>BPURQ UQ Equity</t>
  </si>
  <si>
    <t>Pbbpc Inc</t>
  </si>
  <si>
    <t>CNXN UQ Equity</t>
  </si>
  <si>
    <t>PC Connection Inc</t>
  </si>
  <si>
    <t>PCTI UQ Equity</t>
  </si>
  <si>
    <t>PC-Tel Inc</t>
  </si>
  <si>
    <t>PDFS UQ Equity</t>
  </si>
  <si>
    <t>PDF Solutions Inc</t>
  </si>
  <si>
    <t>PDLI UQ Equity</t>
  </si>
  <si>
    <t>PDL BioPharma Inc</t>
  </si>
  <si>
    <t>PGC US Equity</t>
  </si>
  <si>
    <t>Peapack Gladstone Financial Corp</t>
  </si>
  <si>
    <t>PECS UQ Equity</t>
  </si>
  <si>
    <t>Pec Solutions Inc</t>
  </si>
  <si>
    <t>PEET UQ Equity</t>
  </si>
  <si>
    <t>Peet's Coffee &amp; Tea Inc</t>
  </si>
  <si>
    <t>PEGS UQ Equity</t>
  </si>
  <si>
    <t>Pegasus Solutions Inc</t>
  </si>
  <si>
    <t>PEGA UQ Equity</t>
  </si>
  <si>
    <t>Pegasystems Inc</t>
  </si>
  <si>
    <t>PENX UQ Equity</t>
  </si>
  <si>
    <t>Penford Corp</t>
  </si>
  <si>
    <t>PNN UN Equity</t>
  </si>
  <si>
    <t>Penn Engineering &amp; Manufacturing Corp</t>
  </si>
  <si>
    <t>PENN UQ Equity</t>
  </si>
  <si>
    <t>Penn National Gaming Inc</t>
  </si>
  <si>
    <t>PNFTQ UQ Equity</t>
  </si>
  <si>
    <t>Penn Traffic Co/Old</t>
  </si>
  <si>
    <t>PVAHQ UN Equity</t>
  </si>
  <si>
    <t>Penn Virginia Corp</t>
  </si>
  <si>
    <t>PFSB UQ Equity</t>
  </si>
  <si>
    <t>PennFed Financial Services Inc</t>
  </si>
  <si>
    <t>792838Q UQ Equity</t>
  </si>
  <si>
    <t>Pennrock Financial Services Corp</t>
  </si>
  <si>
    <t>PEI UN Equity</t>
  </si>
  <si>
    <t>Pennsylvania Real Estate Investment Trus</t>
  </si>
  <si>
    <t>PAG UN Equity</t>
  </si>
  <si>
    <t>Penske Automotive Group Inc</t>
  </si>
  <si>
    <t>PTON UN Equity</t>
  </si>
  <si>
    <t>Penton Media Inc</t>
  </si>
  <si>
    <t>PPCO UQ Equity</t>
  </si>
  <si>
    <t>Penwest Pharmaceuticals Co</t>
  </si>
  <si>
    <t>PEBO UQ Equity</t>
  </si>
  <si>
    <t>Peoples Bancorp Inc/OH</t>
  </si>
  <si>
    <t>PBY UN Equity</t>
  </si>
  <si>
    <t>Pep Boys-Manny Moe &amp; Jack/The</t>
  </si>
  <si>
    <t>PPHM UR Equity</t>
  </si>
  <si>
    <t>Peregrine Pharmaceuticals Inc</t>
  </si>
  <si>
    <t>PSEM UQ Equity</t>
  </si>
  <si>
    <t>Pericom Semiconductor Corp</t>
  </si>
  <si>
    <t>PRGO UQ Equity</t>
  </si>
  <si>
    <t>Perrigo Co PLC</t>
  </si>
  <si>
    <t>PQ UQ Equity</t>
  </si>
  <si>
    <t>PetroQuest Energy Inc</t>
  </si>
  <si>
    <t>PFCB UQ Equity</t>
  </si>
  <si>
    <t>PF Chang's China Bistro Inc</t>
  </si>
  <si>
    <t>PFFBQ UN Equity</t>
  </si>
  <si>
    <t>PFF Bancorp Inc</t>
  </si>
  <si>
    <t>GLT UN Equity</t>
  </si>
  <si>
    <t>PH Glatfelter Co</t>
  </si>
  <si>
    <t>PHII UR Equity</t>
  </si>
  <si>
    <t>PHI Inc</t>
  </si>
  <si>
    <t>PHLY UQ Equity</t>
  </si>
  <si>
    <t>Philadelphia Consolidated Holding Corp</t>
  </si>
  <si>
    <t>PTEC UQ Equity</t>
  </si>
  <si>
    <t>Phoenix Technologies Ltd</t>
  </si>
  <si>
    <t>PHTN UQ Equity</t>
  </si>
  <si>
    <t>Photon Dynamics Inc</t>
  </si>
  <si>
    <t>PLAB UQ Equity</t>
  </si>
  <si>
    <t>Photronics Inc</t>
  </si>
  <si>
    <t>PICO UQ Equity</t>
  </si>
  <si>
    <t>PICO Holdings Inc</t>
  </si>
  <si>
    <t>PNY UN Equity</t>
  </si>
  <si>
    <t>Piedmont Natural Gas Co Inc</t>
  </si>
  <si>
    <t>PPC UN Equity</t>
  </si>
  <si>
    <t>Pilgrim's Pride Corp</t>
  </si>
  <si>
    <t>PCLE UQ Equity</t>
  </si>
  <si>
    <t>Pinnacle Systems Inc</t>
  </si>
  <si>
    <t>MAPS UQ Equity</t>
  </si>
  <si>
    <t>Pitney Bowes MapInfo Corp</t>
  </si>
  <si>
    <t>PXLW UQ Equity</t>
  </si>
  <si>
    <t>Pixelworks Inc</t>
  </si>
  <si>
    <t>922181Q UN Equity</t>
  </si>
  <si>
    <t>Plains Resources Inc</t>
  </si>
  <si>
    <t>PLNR UQ Equity</t>
  </si>
  <si>
    <t>Planar Systems Inc</t>
  </si>
  <si>
    <t>PLT UN Equity</t>
  </si>
  <si>
    <t>Plantronics Inc</t>
  </si>
  <si>
    <t>PLA UN Equity</t>
  </si>
  <si>
    <t>Playboy Enterprises Inc</t>
  </si>
  <si>
    <t>PYX UN Equity</t>
  </si>
  <si>
    <t>Playtex Products Inc</t>
  </si>
  <si>
    <t>PLXS UQ Equity</t>
  </si>
  <si>
    <t>Plexus Corp</t>
  </si>
  <si>
    <t>PLUG UQ Equity</t>
  </si>
  <si>
    <t>Plug Power Inc</t>
  </si>
  <si>
    <t>PLXT UQ Equity</t>
  </si>
  <si>
    <t>PLX Technology Inc</t>
  </si>
  <si>
    <t>PMACA UQ Equity</t>
  </si>
  <si>
    <t>PMA Cos Inc</t>
  </si>
  <si>
    <t>PNM UN Equity</t>
  </si>
  <si>
    <t>PNM Resources Inc</t>
  </si>
  <si>
    <t>PBSOQ UA Equity</t>
  </si>
  <si>
    <t>Point Blank Solutions Inc</t>
  </si>
  <si>
    <t>PLMD UQ Equity</t>
  </si>
  <si>
    <t>PolyMedica Corp</t>
  </si>
  <si>
    <t>POL UN Equity</t>
  </si>
  <si>
    <t>PolyOne Corp</t>
  </si>
  <si>
    <t>PMRY UQ Equity</t>
  </si>
  <si>
    <t>Pomeroy IT Solutions Inc</t>
  </si>
  <si>
    <t>POOL UQ Equity</t>
  </si>
  <si>
    <t>Pool Corp</t>
  </si>
  <si>
    <t>Distributors</t>
  </si>
  <si>
    <t>PTBTQ UN Equity</t>
  </si>
  <si>
    <t>Pope &amp; Talbot Inc</t>
  </si>
  <si>
    <t>PLKI UQ Equity</t>
  </si>
  <si>
    <t>Popeyes Louisiana Kitchen Inc</t>
  </si>
  <si>
    <t>2942739Q UQ Equity</t>
  </si>
  <si>
    <t>Port Financial Corp</t>
  </si>
  <si>
    <t>2482718Q UQ Equity</t>
  </si>
  <si>
    <t>Portal Software Inc</t>
  </si>
  <si>
    <t>POSS UQ Equity</t>
  </si>
  <si>
    <t>Possis Medical Inc</t>
  </si>
  <si>
    <t>PPS UN Equity</t>
  </si>
  <si>
    <t>Post Properties Inc</t>
  </si>
  <si>
    <t>PCH UN Equity</t>
  </si>
  <si>
    <t>Potlatch Corp</t>
  </si>
  <si>
    <t>POWL UQ Equity</t>
  </si>
  <si>
    <t>Powell Industries Inc</t>
  </si>
  <si>
    <t>POWI UQ Equity</t>
  </si>
  <si>
    <t>Power Integrations Inc</t>
  </si>
  <si>
    <t>PWER UQ Equity</t>
  </si>
  <si>
    <t>Power-One Inc</t>
  </si>
  <si>
    <t>PWAVQ UQ Equity</t>
  </si>
  <si>
    <t>Powerwave Technologies Inc</t>
  </si>
  <si>
    <t>POZN UQ Equity</t>
  </si>
  <si>
    <t>POZEN Inc</t>
  </si>
  <si>
    <t>PRWK UQ Equity</t>
  </si>
  <si>
    <t>PracticeWorks Inc</t>
  </si>
  <si>
    <t>PRCS UQ Equity</t>
  </si>
  <si>
    <t>Praecis Pharmaceuticals Inc</t>
  </si>
  <si>
    <t>PPD UN Equity</t>
  </si>
  <si>
    <t>Pre-Paid Legal Services Inc</t>
  </si>
  <si>
    <t>PGI UQ Equity</t>
  </si>
  <si>
    <t>Premiere Global Services Inc</t>
  </si>
  <si>
    <t>1008621Q UN Equity</t>
  </si>
  <si>
    <t>Prentiss Properties Trust</t>
  </si>
  <si>
    <t>PLFE UQ Equity</t>
  </si>
  <si>
    <t>Presidential Life Corp</t>
  </si>
  <si>
    <t>PRST UQ Equity</t>
  </si>
  <si>
    <t>Presstek Inc</t>
  </si>
  <si>
    <t>PRVU UQ Equity</t>
  </si>
  <si>
    <t>PreVu Inc</t>
  </si>
  <si>
    <t>PRGX UQ Equity</t>
  </si>
  <si>
    <t>PRGX Global Inc</t>
  </si>
  <si>
    <t>2779353Q UN Equity</t>
  </si>
  <si>
    <t>Price Communications Corp</t>
  </si>
  <si>
    <t>PLRE UA Equity</t>
  </si>
  <si>
    <t>Price Legacy Corp</t>
  </si>
  <si>
    <t>PCLN UQ Equity</t>
  </si>
  <si>
    <t>Priceline Group Inc/The</t>
  </si>
  <si>
    <t>PSMT UQ Equity</t>
  </si>
  <si>
    <t>PriceSmart Inc</t>
  </si>
  <si>
    <t>PENG UQ Equity</t>
  </si>
  <si>
    <t>Prima Energy Corp</t>
  </si>
  <si>
    <t>2246800Q UN Equity</t>
  </si>
  <si>
    <t>Prime Hospitality Corp</t>
  </si>
  <si>
    <t>PMSI UQ Equity</t>
  </si>
  <si>
    <t>Prime Medical Services Inc</t>
  </si>
  <si>
    <t>PHCC UQ Equity</t>
  </si>
  <si>
    <t>Priority Healthcare Corp</t>
  </si>
  <si>
    <t>PRVT UQ Equity</t>
  </si>
  <si>
    <t>Private Media Group Inc</t>
  </si>
  <si>
    <t>PVTB UQ Equity</t>
  </si>
  <si>
    <t>PrivateBancorp Inc</t>
  </si>
  <si>
    <t>PRA UN Equity</t>
  </si>
  <si>
    <t>ProAssurance Corp</t>
  </si>
  <si>
    <t>PRBZ UQ Equity</t>
  </si>
  <si>
    <t>Probusiness Services Inc</t>
  </si>
  <si>
    <t>PGNX UQ Equity</t>
  </si>
  <si>
    <t>Progenics Pharmaceuticals Inc</t>
  </si>
  <si>
    <t>PRGS UQ Equity</t>
  </si>
  <si>
    <t>Progress Software Corp</t>
  </si>
  <si>
    <t>PB UQ Equity</t>
  </si>
  <si>
    <t>Prosperity Bancshares Inc</t>
  </si>
  <si>
    <t>PONE UN Equity</t>
  </si>
  <si>
    <t>Protection One Inc</t>
  </si>
  <si>
    <t>PBKS UQ Equity</t>
  </si>
  <si>
    <t>Provident Bankshares Corp</t>
  </si>
  <si>
    <t>PRV UN Equity</t>
  </si>
  <si>
    <t>Province Healthcare Co</t>
  </si>
  <si>
    <t>PROXQ US Equity</t>
  </si>
  <si>
    <t>Proxim Corp</t>
  </si>
  <si>
    <t>PILLQ UQ Equity</t>
  </si>
  <si>
    <t>Proxymed Inc</t>
  </si>
  <si>
    <t>PSB UA Equity</t>
  </si>
  <si>
    <t>PS Business Parks Inc</t>
  </si>
  <si>
    <t>PSSI UQ Equity</t>
  </si>
  <si>
    <t>PSS World Medical Inc</t>
  </si>
  <si>
    <t>PTC UQ Equity</t>
  </si>
  <si>
    <t>PTC Inc</t>
  </si>
  <si>
    <t>PTZ UN Equity</t>
  </si>
  <si>
    <t>Pulitzer Inc</t>
  </si>
  <si>
    <t>PULS UN Equity</t>
  </si>
  <si>
    <t>Pulse Electronics Corp</t>
  </si>
  <si>
    <t>PVH UN Equity</t>
  </si>
  <si>
    <t>PVH Corp</t>
  </si>
  <si>
    <t>QMED UR Equity</t>
  </si>
  <si>
    <t>QMed Inc</t>
  </si>
  <si>
    <t>TQNT UQ Equity</t>
  </si>
  <si>
    <t>Qorvo US Inc</t>
  </si>
  <si>
    <t>QRSI UQ Equity</t>
  </si>
  <si>
    <t>QRS Corp</t>
  </si>
  <si>
    <t>QDHC UQ Equity</t>
  </si>
  <si>
    <t>QuadraMed Corp</t>
  </si>
  <si>
    <t>KWR UN Equity</t>
  </si>
  <si>
    <t>Quaker Chemical Corp</t>
  </si>
  <si>
    <t>QCBC UQ Equity</t>
  </si>
  <si>
    <t>Quaker City Bancorp Inc</t>
  </si>
  <si>
    <t>QFABQ UQ Equity</t>
  </si>
  <si>
    <t>Quaker Fabric Corp</t>
  </si>
  <si>
    <t>PWR UN Equity</t>
  </si>
  <si>
    <t>Quanta Services Inc</t>
  </si>
  <si>
    <t>QTM UN Equity</t>
  </si>
  <si>
    <t>Quantum Corp</t>
  </si>
  <si>
    <t>QSFT UQ Equity</t>
  </si>
  <si>
    <t>Quest Software Inc</t>
  </si>
  <si>
    <t>KWKAQ UN Equity</t>
  </si>
  <si>
    <t>Quicksilver Resources Inc</t>
  </si>
  <si>
    <t>QDEL UQ Equity</t>
  </si>
  <si>
    <t>Quidel Corp</t>
  </si>
  <si>
    <t>QUIX UQ Equity</t>
  </si>
  <si>
    <t>Quixote Corp</t>
  </si>
  <si>
    <t>RGFCQ UN Equity</t>
  </si>
  <si>
    <t>R&amp;G Financial Corp</t>
  </si>
  <si>
    <t>GSIC UQ Equity</t>
  </si>
  <si>
    <t>Radial Commerce Inc</t>
  </si>
  <si>
    <t>RADS UQ Equity</t>
  </si>
  <si>
    <t>Radiant Systems Inc</t>
  </si>
  <si>
    <t>RGX UA Equity</t>
  </si>
  <si>
    <t>Radiologix Inc</t>
  </si>
  <si>
    <t>RSYS UQ Equity</t>
  </si>
  <si>
    <t>Radisys Corp</t>
  </si>
  <si>
    <t>RRA UN Equity</t>
  </si>
  <si>
    <t>RailAmerica Inc/Old</t>
  </si>
  <si>
    <t>RNBO UQ Equity</t>
  </si>
  <si>
    <t>Rainbow Technologies Inc</t>
  </si>
  <si>
    <t>RNDC UQ Equity</t>
  </si>
  <si>
    <t>Raindance Communications Inc</t>
  </si>
  <si>
    <t>RAS UN Equity</t>
  </si>
  <si>
    <t>RAIT Financial Trust</t>
  </si>
  <si>
    <t>RMBS UQ Equity</t>
  </si>
  <si>
    <t>Rambus Inc</t>
  </si>
  <si>
    <t>RPT UN Equity</t>
  </si>
  <si>
    <t>Ramco-Gershenson Properties Trust</t>
  </si>
  <si>
    <t>RRC UN Equity</t>
  </si>
  <si>
    <t>Range Resources Corp</t>
  </si>
  <si>
    <t>0895734D UQ Equity</t>
  </si>
  <si>
    <t>RARE Hospitality International Inc</t>
  </si>
  <si>
    <t>RAY UN Equity</t>
  </si>
  <si>
    <t>Raytech Corp-Del</t>
  </si>
  <si>
    <t>RCNCQ UR Equity</t>
  </si>
  <si>
    <t>RCN Corp/Old</t>
  </si>
  <si>
    <t>RDRTQ UQ Equity</t>
  </si>
  <si>
    <t>Read-Rite Corp</t>
  </si>
  <si>
    <t>SGGHU UN Equity</t>
  </si>
  <si>
    <t>Real Industry Inc</t>
  </si>
  <si>
    <t>O UN Equity</t>
  </si>
  <si>
    <t>Realty Income Corp</t>
  </si>
  <si>
    <t>RHT UQ Equity</t>
  </si>
  <si>
    <t>Red Hat Inc</t>
  </si>
  <si>
    <t>RBAKQ UQ Equity</t>
  </si>
  <si>
    <t>Redback Networks Inc/Old</t>
  </si>
  <si>
    <t>RWT UN Equity</t>
  </si>
  <si>
    <t>Redwood Trust Inc</t>
  </si>
  <si>
    <t>RBC UA Equity</t>
  </si>
  <si>
    <t>Regal Beloit Corp</t>
  </si>
  <si>
    <t>REGN UQ Equity</t>
  </si>
  <si>
    <t>Regeneron Pharmaceuticals Inc</t>
  </si>
  <si>
    <t>RGS UQ Equity</t>
  </si>
  <si>
    <t>Regis Corp</t>
  </si>
  <si>
    <t>1435766D UQ Equity</t>
  </si>
  <si>
    <t>Register.com Inc</t>
  </si>
  <si>
    <t>RHB UN Equity</t>
  </si>
  <si>
    <t>RehabCare Group Inc</t>
  </si>
  <si>
    <t>REIS UA Equity</t>
  </si>
  <si>
    <t>Reis Inc</t>
  </si>
  <si>
    <t>RS UN Equity</t>
  </si>
  <si>
    <t>Reliance Steel &amp; Aluminum Co</t>
  </si>
  <si>
    <t>REMC UQ Equity</t>
  </si>
  <si>
    <t>REMEC Inc</t>
  </si>
  <si>
    <t>4130338Q UQ Equity</t>
  </si>
  <si>
    <t>Remedytemp Inc</t>
  </si>
  <si>
    <t>955481Q US Equity</t>
  </si>
  <si>
    <t>Remington Oil &amp; Gas Corp</t>
  </si>
  <si>
    <t>RLRN UQ Equity</t>
  </si>
  <si>
    <t>Renaissance Learning Inc</t>
  </si>
  <si>
    <t>RNST UA Equity</t>
  </si>
  <si>
    <t>Renasant Corp</t>
  </si>
  <si>
    <t>RWY UN Equity</t>
  </si>
  <si>
    <t>Rent-Way Inc</t>
  </si>
  <si>
    <t>PRM UN Equity</t>
  </si>
  <si>
    <t>RentPath LLC</t>
  </si>
  <si>
    <t>MECAQ UQ Equity</t>
  </si>
  <si>
    <t>Reorganized Magna Entertainment Corp</t>
  </si>
  <si>
    <t>TXCOQ UR Equity</t>
  </si>
  <si>
    <t>Reorganized TXCO Inc</t>
  </si>
  <si>
    <t>RBCAA UQ Equity</t>
  </si>
  <si>
    <t>Republic Bancorp Inc/KY</t>
  </si>
  <si>
    <t>RBNC UQ Equity</t>
  </si>
  <si>
    <t>Republic Bancorp Inc/MI</t>
  </si>
  <si>
    <t>0943923D UQ Equity</t>
  </si>
  <si>
    <t>Republic Bancshares Inc/FL</t>
  </si>
  <si>
    <t>RSCR UQ Equity</t>
  </si>
  <si>
    <t>Res-Care Inc</t>
  </si>
  <si>
    <t>REFR UQ Equity</t>
  </si>
  <si>
    <t>Research Frontiers Inc</t>
  </si>
  <si>
    <t>RMD UN Equity</t>
  </si>
  <si>
    <t>ResMed Inc</t>
  </si>
  <si>
    <t>REXI UQ Equity</t>
  </si>
  <si>
    <t>Resource America Inc</t>
  </si>
  <si>
    <t>RECN UQ Equity</t>
  </si>
  <si>
    <t>Resources Connection Inc</t>
  </si>
  <si>
    <t>RESP UQ Equity</t>
  </si>
  <si>
    <t>Respironics Inc</t>
  </si>
  <si>
    <t>RSTO UQ Equity</t>
  </si>
  <si>
    <t>Restoration Hardware Inc</t>
  </si>
  <si>
    <t>RETK UQ Equity</t>
  </si>
  <si>
    <t>Retek Inc</t>
  </si>
  <si>
    <t>REV UN Equity</t>
  </si>
  <si>
    <t>Revlon Inc</t>
  </si>
  <si>
    <t>DINE UA Equity</t>
  </si>
  <si>
    <t>Rewards Network Inc</t>
  </si>
  <si>
    <t>REX UN Equity</t>
  </si>
  <si>
    <t>REX American Resources Corp</t>
  </si>
  <si>
    <t>JJZ UN Equity</t>
  </si>
  <si>
    <t>Rexnord-Zurn Holdings Inc</t>
  </si>
  <si>
    <t>RFS UN Equity</t>
  </si>
  <si>
    <t>RFS Hotel Investors Inc</t>
  </si>
  <si>
    <t>RHDCQ UN Equity</t>
  </si>
  <si>
    <t>RH Donnelley Corp</t>
  </si>
  <si>
    <t>RELL UQ Equity</t>
  </si>
  <si>
    <t>Richardson Electronics Ltd/United States</t>
  </si>
  <si>
    <t>RIGL UQ Equity</t>
  </si>
  <si>
    <t>Rigel Pharmaceuticals Inc</t>
  </si>
  <si>
    <t>0877336D UQ Equity</t>
  </si>
  <si>
    <t>Riggs National Corp</t>
  </si>
  <si>
    <t>857436Q UN Equity</t>
  </si>
  <si>
    <t>Right Management Inc</t>
  </si>
  <si>
    <t>RITA UQ Equity</t>
  </si>
  <si>
    <t>Rita Medical Systems Inc</t>
  </si>
  <si>
    <t>RVFD UQ Equity</t>
  </si>
  <si>
    <t>Riviana Foods Inc</t>
  </si>
  <si>
    <t>RLI UN Equity</t>
  </si>
  <si>
    <t>RLI Corp</t>
  </si>
  <si>
    <t>RMHT UQ Equity</t>
  </si>
  <si>
    <t>RMH Teleservices Inc</t>
  </si>
  <si>
    <t>RSTN UQ Equity</t>
  </si>
  <si>
    <t>RNI Wind Down Corp</t>
  </si>
  <si>
    <t>ROAD UQ Equity</t>
  </si>
  <si>
    <t>Roadway LLC</t>
  </si>
  <si>
    <t>RESC UQ Equity</t>
  </si>
  <si>
    <t>Roanoke Electric Steel Corp</t>
  </si>
  <si>
    <t>RBN UN Equity</t>
  </si>
  <si>
    <t>Robbins &amp; Myers Inc</t>
  </si>
  <si>
    <t>MOND UQ Equity</t>
  </si>
  <si>
    <t>Robert Mondavi Corp/CA</t>
  </si>
  <si>
    <t>ROG UN Equity</t>
  </si>
  <si>
    <t>Rogers Corp</t>
  </si>
  <si>
    <t>ROL UN Equity</t>
  </si>
  <si>
    <t>Rollins Inc</t>
  </si>
  <si>
    <t>ROP UN Equity</t>
  </si>
  <si>
    <t>Roper Technologies Inc</t>
  </si>
  <si>
    <t>ROVI UQ Equity</t>
  </si>
  <si>
    <t>Rovi Corp</t>
  </si>
  <si>
    <t>RBPAA UQ Equity</t>
  </si>
  <si>
    <t>Royal Bancshares of Pennsylvania Inc</t>
  </si>
  <si>
    <t>RGLD UQ Equity</t>
  </si>
  <si>
    <t>Royal Gold Inc</t>
  </si>
  <si>
    <t>RES UN Equity</t>
  </si>
  <si>
    <t>RPC Inc</t>
  </si>
  <si>
    <t>RSAS UQ Equity</t>
  </si>
  <si>
    <t>RSA Security LLC</t>
  </si>
  <si>
    <t>RTI UN Equity</t>
  </si>
  <si>
    <t>RTI International Metals Inc</t>
  </si>
  <si>
    <t>RTEC UQ Equity</t>
  </si>
  <si>
    <t>Rudolph Technologies Inc</t>
  </si>
  <si>
    <t>RML UN Equity</t>
  </si>
  <si>
    <t>Russell Corp</t>
  </si>
  <si>
    <t>0544801D UN Equity</t>
  </si>
  <si>
    <t>Russell Hobbs Inc</t>
  </si>
  <si>
    <t>RYAN UQ Equity</t>
  </si>
  <si>
    <t>Ryan's Restaurant Group LLC</t>
  </si>
  <si>
    <t>3520842Q UN Equity</t>
  </si>
  <si>
    <t>Ryerson Inc</t>
  </si>
  <si>
    <t>RHP UN Equity</t>
  </si>
  <si>
    <t>Ryman Hospitality Properties Inc</t>
  </si>
  <si>
    <t>STBA UQ Equity</t>
  </si>
  <si>
    <t>S&amp;T Bancorp Inc</t>
  </si>
  <si>
    <t>SONE UQ Equity</t>
  </si>
  <si>
    <t>S1 Corp</t>
  </si>
  <si>
    <t>SFE UN Equity</t>
  </si>
  <si>
    <t>Safeguard Scientifics Inc</t>
  </si>
  <si>
    <t>SGA UA Equity</t>
  </si>
  <si>
    <t>Saga Communications Inc</t>
  </si>
  <si>
    <t>SALM UQ Equity</t>
  </si>
  <si>
    <t>Salem Media Group Inc</t>
  </si>
  <si>
    <t>SLXP UQ Equity</t>
  </si>
  <si>
    <t>Salix Pharmaceuticals Ltd</t>
  </si>
  <si>
    <t>0883322D UQ Equity</t>
  </si>
  <si>
    <t>Sanchez Computer Associates LLC</t>
  </si>
  <si>
    <t>SAFM UQ Equity</t>
  </si>
  <si>
    <t>Sanderson Farms Inc</t>
  </si>
  <si>
    <t>SNDK UQ Equity</t>
  </si>
  <si>
    <t>SanDisk Corp</t>
  </si>
  <si>
    <t>SASR UQ Equity</t>
  </si>
  <si>
    <t>Sandy Spring Bancorp Inc</t>
  </si>
  <si>
    <t>SGMO UQ Equity</t>
  </si>
  <si>
    <t>Sangamo Therapeutics Inc</t>
  </si>
  <si>
    <t>SANG UQ Equity</t>
  </si>
  <si>
    <t>Sangstat Medical LLC</t>
  </si>
  <si>
    <t>SBP UN Equity</t>
  </si>
  <si>
    <t>Santander BanCorp</t>
  </si>
  <si>
    <t>SAPE UQ Equity</t>
  </si>
  <si>
    <t>Sapient Corp</t>
  </si>
  <si>
    <t>BFS UN Equity</t>
  </si>
  <si>
    <t>Saul Centers Inc</t>
  </si>
  <si>
    <t>SVNTQ UQ Equity</t>
  </si>
  <si>
    <t>Savient Pharmaceuticals Inc</t>
  </si>
  <si>
    <t>390429Q UQ Equity</t>
  </si>
  <si>
    <t>Saxon Capital Inc/Old</t>
  </si>
  <si>
    <t>SBSE UQ Equity</t>
  </si>
  <si>
    <t>SBS Technologies Inc</t>
  </si>
  <si>
    <t>SCSC UQ Equity</t>
  </si>
  <si>
    <t>ScanSource Inc</t>
  </si>
  <si>
    <t>SGK UN Equity</t>
  </si>
  <si>
    <t>Schawk Inc</t>
  </si>
  <si>
    <t>SCHN UQ Equity</t>
  </si>
  <si>
    <t>Schnitzer Steel Industries Inc</t>
  </si>
  <si>
    <t>SCHSQ UQ Equity</t>
  </si>
  <si>
    <t>School Specialty Inc/Old</t>
  </si>
  <si>
    <t>SWM UN Equity</t>
  </si>
  <si>
    <t>Schweitzer-Mauduit International Inc</t>
  </si>
  <si>
    <t>SGMS UQ Equity</t>
  </si>
  <si>
    <t>Scientific Games Corp</t>
  </si>
  <si>
    <t>0127834Q UQ Equity</t>
  </si>
  <si>
    <t>Scios Inc</t>
  </si>
  <si>
    <t>SATH UQ Equity</t>
  </si>
  <si>
    <t>Scripps Shop at Home Inc</t>
  </si>
  <si>
    <t>SEB UA Equity</t>
  </si>
  <si>
    <t>Seaboard Corp</t>
  </si>
  <si>
    <t>SEAC UQ Equity</t>
  </si>
  <si>
    <t>Seachange International Inc</t>
  </si>
  <si>
    <t>SBCF UQ Equity</t>
  </si>
  <si>
    <t>Seacoast Banking Corp of Florida</t>
  </si>
  <si>
    <t>SCFS UQ Equity</t>
  </si>
  <si>
    <t>Seacoast Financial Services Corp</t>
  </si>
  <si>
    <t>CKH UN Equity</t>
  </si>
  <si>
    <t>SEACOR Holdings Inc</t>
  </si>
  <si>
    <t>WTSLQ UQ Equity</t>
  </si>
  <si>
    <t>Seal123 Inc</t>
  </si>
  <si>
    <t>SGEN UQ Equity</t>
  </si>
  <si>
    <t>Seattle Genetics Inc</t>
  </si>
  <si>
    <t>3314846Q UQ Equity</t>
  </si>
  <si>
    <t>Second Bancorp Inc</t>
  </si>
  <si>
    <t>SCUR UQ Equity</t>
  </si>
  <si>
    <t>Secure Computing LLC</t>
  </si>
  <si>
    <t>SBYN UQ Equity</t>
  </si>
  <si>
    <t>Seebeyond Technology Corp</t>
  </si>
  <si>
    <t>753397Q UN Equity</t>
  </si>
  <si>
    <t>Select Medical Corp</t>
  </si>
  <si>
    <t>SIGI UQ Equity</t>
  </si>
  <si>
    <t>Selective Insurance Group Inc</t>
  </si>
  <si>
    <t>0088043Q UN Equity</t>
  </si>
  <si>
    <t>SEMCO Energy Inc</t>
  </si>
  <si>
    <t>SMNS UQ Equity</t>
  </si>
  <si>
    <t>Seminis Inc</t>
  </si>
  <si>
    <t>SMTL UQ Equity</t>
  </si>
  <si>
    <t>Semitool Inc</t>
  </si>
  <si>
    <t>SNH UN Equity</t>
  </si>
  <si>
    <t>Senior Housing Properties Trust</t>
  </si>
  <si>
    <t>SXT UN Equity</t>
  </si>
  <si>
    <t>Sensient Technologies Corp</t>
  </si>
  <si>
    <t>SQA/A UN Equity</t>
  </si>
  <si>
    <t>Sequa Corp</t>
  </si>
  <si>
    <t>SQNM UQ Equity</t>
  </si>
  <si>
    <t>Sequenom Inc</t>
  </si>
  <si>
    <t>8227264Q UQ Equity</t>
  </si>
  <si>
    <t>Serena Software Inc</t>
  </si>
  <si>
    <t>SERO UQ Equity</t>
  </si>
  <si>
    <t>Serologicals Corp</t>
  </si>
  <si>
    <t>SCI UN Equity</t>
  </si>
  <si>
    <t>Service Corp International/US</t>
  </si>
  <si>
    <t>0700161D UN Equity</t>
  </si>
  <si>
    <t>SFN Group Inc</t>
  </si>
  <si>
    <t>SHRPQ UQ Equity</t>
  </si>
  <si>
    <t>Sharper Image Corp</t>
  </si>
  <si>
    <t>SHEN UQ Equity</t>
  </si>
  <si>
    <t>Shenandoah Telecommunications Co</t>
  </si>
  <si>
    <t>Wireless Telecommunication Services</t>
  </si>
  <si>
    <t>SHFL UQ Equity</t>
  </si>
  <si>
    <t>SHFL Entertainment Inc</t>
  </si>
  <si>
    <t>SCRX UQ Equity</t>
  </si>
  <si>
    <t>Shionogi Pharma Inc</t>
  </si>
  <si>
    <t>TKTX UQ Equity</t>
  </si>
  <si>
    <t>Shire Human Genetic Therapies Inc</t>
  </si>
  <si>
    <t>NPSP UQ Equity</t>
  </si>
  <si>
    <t>Shire-Nps Pharmaceuticals Inc</t>
  </si>
  <si>
    <t>SCVL UQ Equity</t>
  </si>
  <si>
    <t>Shoe Carnival Inc</t>
  </si>
  <si>
    <t>SKO UN Equity</t>
  </si>
  <si>
    <t>Shopko Stores Inc</t>
  </si>
  <si>
    <t>SHU UN Equity</t>
  </si>
  <si>
    <t>Shurgard Storage Centers LLC</t>
  </si>
  <si>
    <t>SIE UN Equity</t>
  </si>
  <si>
    <t>Sierra Health Services Inc</t>
  </si>
  <si>
    <t>SLGN UQ Equity</t>
  </si>
  <si>
    <t>Silgan Holdings Inc</t>
  </si>
  <si>
    <t>SGID UN Equity</t>
  </si>
  <si>
    <t>Silicon Graphics Inc/Old</t>
  </si>
  <si>
    <t>SIMG UQ Equity</t>
  </si>
  <si>
    <t>Silicon Image Inc</t>
  </si>
  <si>
    <t>SLAB UQ Equity</t>
  </si>
  <si>
    <t>Silicon Laboratories Inc</t>
  </si>
  <si>
    <t>SSTI UQ Equity</t>
  </si>
  <si>
    <t>Silicon Storage Technology Inc</t>
  </si>
  <si>
    <t>SILI UQ Equity</t>
  </si>
  <si>
    <t>Siliconix Inc</t>
  </si>
  <si>
    <t>SFNC UQ Equity</t>
  </si>
  <si>
    <t>Simmons First National Corp</t>
  </si>
  <si>
    <t>SSD UN Equity</t>
  </si>
  <si>
    <t>Simpson Manufacturing Co Inc</t>
  </si>
  <si>
    <t>SBGI UQ Equity</t>
  </si>
  <si>
    <t>Sinclair Broadcast Group Inc</t>
  </si>
  <si>
    <t>FSCI UQ Equity</t>
  </si>
  <si>
    <t>Sinclair Television of Seattle Inc</t>
  </si>
  <si>
    <t>SIPX UQ Equity</t>
  </si>
  <si>
    <t>Sipex Corp</t>
  </si>
  <si>
    <t>SIRI UQ Equity</t>
  </si>
  <si>
    <t>Sirius XM Holdings Inc</t>
  </si>
  <si>
    <t>SWW UN Equity</t>
  </si>
  <si>
    <t>Sitel Corp</t>
  </si>
  <si>
    <t>0062761Q UN Equity</t>
  </si>
  <si>
    <t>Sizeler Property Investors Inc</t>
  </si>
  <si>
    <t>SJW UA Equity</t>
  </si>
  <si>
    <t>SJW Group</t>
  </si>
  <si>
    <t>SKX UN Equity</t>
  </si>
  <si>
    <t>Skechers U.S.A. Inc</t>
  </si>
  <si>
    <t>SKY UN Equity</t>
  </si>
  <si>
    <t>Skyline Corp</t>
  </si>
  <si>
    <t>SWKS UQ Equity</t>
  </si>
  <si>
    <t>Skyworks Solutions Inc</t>
  </si>
  <si>
    <t>SLG UN Equity</t>
  </si>
  <si>
    <t>SL Green Realty Corp</t>
  </si>
  <si>
    <t>SM UN Equity</t>
  </si>
  <si>
    <t>SM Energy Co</t>
  </si>
  <si>
    <t>8272573Q UN Equity</t>
  </si>
  <si>
    <t>Smart &amp; Final LLC</t>
  </si>
  <si>
    <t>LNCE UQ Equity</t>
  </si>
  <si>
    <t>Snyder's-Lance Inc</t>
  </si>
  <si>
    <t>2483998Q UN Equity</t>
  </si>
  <si>
    <t>Sola International Inc</t>
  </si>
  <si>
    <t>SOLUQ UN Equity</t>
  </si>
  <si>
    <t>Solutia Inc/Old</t>
  </si>
  <si>
    <t>SMRA UQ Equity</t>
  </si>
  <si>
    <t>Somera Communications Inc</t>
  </si>
  <si>
    <t>SONC UQ Equity</t>
  </si>
  <si>
    <t>Sonic Corp</t>
  </si>
  <si>
    <t>SBLUQ UR Equity</t>
  </si>
  <si>
    <t>SONICblue Inc</t>
  </si>
  <si>
    <t>SNWL UQ Equity</t>
  </si>
  <si>
    <t>SonicWALL Inc</t>
  </si>
  <si>
    <t>LNETQ UQ Equity</t>
  </si>
  <si>
    <t>SONIFI Solutions Inc</t>
  </si>
  <si>
    <t>SONS UQ Equity</t>
  </si>
  <si>
    <t>Sonus Networks Inc</t>
  </si>
  <si>
    <t>SYNM UQ Equity</t>
  </si>
  <si>
    <t>Sooner Holdings Inc</t>
  </si>
  <si>
    <t>BID UN Equity</t>
  </si>
  <si>
    <t>Sotheby's</t>
  </si>
  <si>
    <t>SNDV UQ Equity</t>
  </si>
  <si>
    <t>SoundView Technology Group Inc</t>
  </si>
  <si>
    <t>3541244Q UQ Equity</t>
  </si>
  <si>
    <t>SOURCECORP Inc</t>
  </si>
  <si>
    <t>TSFG UQ Equity</t>
  </si>
  <si>
    <t>South Financial Group Inc/The</t>
  </si>
  <si>
    <t>SJI UN Equity</t>
  </si>
  <si>
    <t>South Jersey Industries Inc</t>
  </si>
  <si>
    <t>SSB UA Equity</t>
  </si>
  <si>
    <t>South State Corp</t>
  </si>
  <si>
    <t>GAS UN Equity</t>
  </si>
  <si>
    <t>Southern Co Gas</t>
  </si>
  <si>
    <t>SCCO UN Equity</t>
  </si>
  <si>
    <t>Southern Copper Corp</t>
  </si>
  <si>
    <t>SUG UN Equity</t>
  </si>
  <si>
    <t>Southern Union Co</t>
  </si>
  <si>
    <t>OKSB UQ Equity</t>
  </si>
  <si>
    <t>Southwest Bancorp Inc</t>
  </si>
  <si>
    <t>SWX UN Equity</t>
  </si>
  <si>
    <t>Southwest Gas Holdings Inc</t>
  </si>
  <si>
    <t>SWWC UQ Equity</t>
  </si>
  <si>
    <t>Southwest Water Co</t>
  </si>
  <si>
    <t>SWN UN Equity</t>
  </si>
  <si>
    <t>Southwestern Energy Co</t>
  </si>
  <si>
    <t>SPAR UQ Equity</t>
  </si>
  <si>
    <t>Spartan Motors Inc</t>
  </si>
  <si>
    <t>SEH UN Equity</t>
  </si>
  <si>
    <t>Spartech Corp</t>
  </si>
  <si>
    <t>0911013D UN Equity</t>
  </si>
  <si>
    <t>Specialty Laboratories Inc</t>
  </si>
  <si>
    <t>SLNK UQ Equity</t>
  </si>
  <si>
    <t>Spectralink Corp</t>
  </si>
  <si>
    <t>SPCBQ UN Equity</t>
  </si>
  <si>
    <t>Spectrum Brands Inc/Old</t>
  </si>
  <si>
    <t>SPWX UQ Equity</t>
  </si>
  <si>
    <t>SpeechWorks International Inc</t>
  </si>
  <si>
    <t>TRK UN Equity</t>
  </si>
  <si>
    <t>Speedway Motorsports Inc</t>
  </si>
  <si>
    <t>2740997Q UN Equity</t>
  </si>
  <si>
    <t>Spinnaker Exploration Co</t>
  </si>
  <si>
    <t>SR UN Equity</t>
  </si>
  <si>
    <t>Spire Inc</t>
  </si>
  <si>
    <t>231111Q UN Equity</t>
  </si>
  <si>
    <t>Sports Authority Inc/Old</t>
  </si>
  <si>
    <t>TSA UQ Equity</t>
  </si>
  <si>
    <t>Sports Authority Inc/The</t>
  </si>
  <si>
    <t>SPRI UR Equity</t>
  </si>
  <si>
    <t>Sports Resorts International Inc</t>
  </si>
  <si>
    <t>3503846Q UN Equity</t>
  </si>
  <si>
    <t>SPS Technologies LLC</t>
  </si>
  <si>
    <t>SPSS UQ Equity</t>
  </si>
  <si>
    <t>SPSS Inc</t>
  </si>
  <si>
    <t>1001179Q UQ Equity</t>
  </si>
  <si>
    <t>SS&amp;C Technologies Inc</t>
  </si>
  <si>
    <t>STFR UQ Equity</t>
  </si>
  <si>
    <t>St Francis Capital Corp</t>
  </si>
  <si>
    <t>SSI UQ Equity</t>
  </si>
  <si>
    <t>Stage Stores Inc</t>
  </si>
  <si>
    <t>STMP UQ Equity</t>
  </si>
  <si>
    <t>Stamps.com Inc</t>
  </si>
  <si>
    <t>STW UN Equity</t>
  </si>
  <si>
    <t>Standard Commercial Corp</t>
  </si>
  <si>
    <t>SMSC UQ Equity</t>
  </si>
  <si>
    <t>Standard Microsystems Corp</t>
  </si>
  <si>
    <t>SMP UN Equity</t>
  </si>
  <si>
    <t>Standard Motor Products Inc</t>
  </si>
  <si>
    <t>SRCTQ UN Equity</t>
  </si>
  <si>
    <t>Standard Register Co/The</t>
  </si>
  <si>
    <t>SXI UN Equity</t>
  </si>
  <si>
    <t>Standex International Corp</t>
  </si>
  <si>
    <t>STLY UQ Equity</t>
  </si>
  <si>
    <t>Stanley Furniture Co Inc</t>
  </si>
  <si>
    <t>SRT UN Equity</t>
  </si>
  <si>
    <t>StarTek Inc</t>
  </si>
  <si>
    <t>STFC UQ Equity</t>
  </si>
  <si>
    <t>State Auto Financial Corp</t>
  </si>
  <si>
    <t>STBC UA Equity</t>
  </si>
  <si>
    <t>State Bancorp Inc/NY</t>
  </si>
  <si>
    <t>SIB UN Equity</t>
  </si>
  <si>
    <t>Staten Island Bancorp Inc</t>
  </si>
  <si>
    <t>2914808Q UN Equity</t>
  </si>
  <si>
    <t>Station Casinos Inc</t>
  </si>
  <si>
    <t>STEC UQ Equity</t>
  </si>
  <si>
    <t>sTec Inc</t>
  </si>
  <si>
    <t>STLD UQ Equity</t>
  </si>
  <si>
    <t>Steel Dynamics Inc</t>
  </si>
  <si>
    <t>SMRT UQ Equity</t>
  </si>
  <si>
    <t>Stein Mart Inc</t>
  </si>
  <si>
    <t>LVB UN Equity</t>
  </si>
  <si>
    <t>Steinway Musical Instruments Inc</t>
  </si>
  <si>
    <t>STEL UQ Equity</t>
  </si>
  <si>
    <t>StellarOne Corp</t>
  </si>
  <si>
    <t>SCL UN Equity</t>
  </si>
  <si>
    <t>Stepan Co</t>
  </si>
  <si>
    <t>SRCL UQ Equity</t>
  </si>
  <si>
    <t>Stericycle Inc</t>
  </si>
  <si>
    <t>STL UQ Equity</t>
  </si>
  <si>
    <t>Sterling Bancorp/DE</t>
  </si>
  <si>
    <t>0891179D UN Equity</t>
  </si>
  <si>
    <t>Sterling Bancorp/Old</t>
  </si>
  <si>
    <t>SBIB UQ Equity</t>
  </si>
  <si>
    <t>Sterling Bancshares Inc/TX</t>
  </si>
  <si>
    <t>SLFI UQ Equity</t>
  </si>
  <si>
    <t>Sterling Financial Corp/PA</t>
  </si>
  <si>
    <t>STSA UQ Equity</t>
  </si>
  <si>
    <t>Sterling Financial Corp/WA</t>
  </si>
  <si>
    <t>SHOO UQ Equity</t>
  </si>
  <si>
    <t>Steven Madden Ltd</t>
  </si>
  <si>
    <t>3026356Q UN Equity</t>
  </si>
  <si>
    <t>Stewart &amp; Stevenson Services Inc</t>
  </si>
  <si>
    <t>STEI UQ Equity</t>
  </si>
  <si>
    <t>Stewart Enterprises Inc</t>
  </si>
  <si>
    <t>STC UN Equity</t>
  </si>
  <si>
    <t>Stewart Information Services Corp</t>
  </si>
  <si>
    <t>SWC UN Equity</t>
  </si>
  <si>
    <t>Stillwater Mining Co</t>
  </si>
  <si>
    <t>SYBT UA Equity</t>
  </si>
  <si>
    <t>Stock Yards Bancorp Inc</t>
  </si>
  <si>
    <t>9999997D UN Equity</t>
  </si>
  <si>
    <t>Stone Energy Corp</t>
  </si>
  <si>
    <t>SRI UN Equity</t>
  </si>
  <si>
    <t>Stoneridge Inc</t>
  </si>
  <si>
    <t>1121454D UQ Equity</t>
  </si>
  <si>
    <t>StorageNetworks Inc</t>
  </si>
  <si>
    <t>STLW UQ Equity</t>
  </si>
  <si>
    <t>Stratos International LLC</t>
  </si>
  <si>
    <t>STRT UQ Equity</t>
  </si>
  <si>
    <t>Strattec Security Corp</t>
  </si>
  <si>
    <t>STRA UQ Equity</t>
  </si>
  <si>
    <t>Strayer Education Inc</t>
  </si>
  <si>
    <t>SRR UN Equity</t>
  </si>
  <si>
    <t>Stride Rite Corp/The</t>
  </si>
  <si>
    <t>RGR UN Equity</t>
  </si>
  <si>
    <t>Sturm Ruger &amp; Co Inc</t>
  </si>
  <si>
    <t>SCNB UQ Equity</t>
  </si>
  <si>
    <t>Suffolk Bancorp</t>
  </si>
  <si>
    <t>SBIT UQ Equity</t>
  </si>
  <si>
    <t>Summit Bancshares Inc/TX</t>
  </si>
  <si>
    <t>3671834Q UN Equity</t>
  </si>
  <si>
    <t>Summit Properties Inc</t>
  </si>
  <si>
    <t>SNBC UQ Equity</t>
  </si>
  <si>
    <t>Sun Bancorp Inc/NJ</t>
  </si>
  <si>
    <t>SUBI UQ Equity</t>
  </si>
  <si>
    <t>Sun Bancorp Inc/PA</t>
  </si>
  <si>
    <t>SUI UN Equity</t>
  </si>
  <si>
    <t>Sun Communities Inc</t>
  </si>
  <si>
    <t>SUTMQ UN Equity</t>
  </si>
  <si>
    <t>Sun-Times Media Group Inc</t>
  </si>
  <si>
    <t>3289091Q UN Equity</t>
  </si>
  <si>
    <t>SunCom Wireless Holdings Inc</t>
  </si>
  <si>
    <t>SUNEQ UN Equity</t>
  </si>
  <si>
    <t>SunEdison Inc</t>
  </si>
  <si>
    <t>SEPR UQ Equity</t>
  </si>
  <si>
    <t>Sunovion Pharmaceuticals Inc</t>
  </si>
  <si>
    <t>SRZ UN Equity</t>
  </si>
  <si>
    <t>Sunrise Senior Living LLC</t>
  </si>
  <si>
    <t>SUNN UQ Equity</t>
  </si>
  <si>
    <t>Suntron Corp</t>
  </si>
  <si>
    <t>SUPR UQ Equity</t>
  </si>
  <si>
    <t>Superior Bancorp</t>
  </si>
  <si>
    <t>SPN UN Equity</t>
  </si>
  <si>
    <t>Superior Energy Services Inc</t>
  </si>
  <si>
    <t>SUFI UQ Equity</t>
  </si>
  <si>
    <t>Superior Financial Corp</t>
  </si>
  <si>
    <t>SUP UN Equity</t>
  </si>
  <si>
    <t>Superior Industries International Inc</t>
  </si>
  <si>
    <t>SUPX UQ Equity</t>
  </si>
  <si>
    <t>Supertex Inc</t>
  </si>
  <si>
    <t>8283846Q UQ Equity</t>
  </si>
  <si>
    <t>Surebeam Corp</t>
  </si>
  <si>
    <t>SURW UQ Equity</t>
  </si>
  <si>
    <t>SureWest Communications</t>
  </si>
  <si>
    <t>SRDX UQ Equity</t>
  </si>
  <si>
    <t>Surmodics Inc</t>
  </si>
  <si>
    <t>SUSQ UQ Equity</t>
  </si>
  <si>
    <t>Susquehanna Bancshares Inc</t>
  </si>
  <si>
    <t>SFYWQ UN Equity</t>
  </si>
  <si>
    <t>Swift Energy Co/Texas</t>
  </si>
  <si>
    <t>SWS UN Equity</t>
  </si>
  <si>
    <t>SWS Group Inc</t>
  </si>
  <si>
    <t>SYD UN Equity</t>
  </si>
  <si>
    <t>Sybron Dental Specialties Inc</t>
  </si>
  <si>
    <t>SCMR UQ Equity</t>
  </si>
  <si>
    <t>Sycamore Networks Inc</t>
  </si>
  <si>
    <t>SYKE UQ Equity</t>
  </si>
  <si>
    <t>Sykes Enterprises Inc</t>
  </si>
  <si>
    <t>SMMX UQ Equity</t>
  </si>
  <si>
    <t>Symyx Technologies Inc</t>
  </si>
  <si>
    <t>GEVA UQ Equity</t>
  </si>
  <si>
    <t>Synageva BioPharma Corp</t>
  </si>
  <si>
    <t>SYNA UQ Equity</t>
  </si>
  <si>
    <t>Synaptics Inc</t>
  </si>
  <si>
    <t>SYNP UQ Equity</t>
  </si>
  <si>
    <t>Synplicity Inc</t>
  </si>
  <si>
    <t>SYNT UQ Equity</t>
  </si>
  <si>
    <t>Syntel Inc</t>
  </si>
  <si>
    <t>SYPR UQ Equity</t>
  </si>
  <si>
    <t>Sypris Solutions Inc</t>
  </si>
  <si>
    <t>546628Q UQ Equity</t>
  </si>
  <si>
    <t>Systems &amp; Computer Technology Corp</t>
  </si>
  <si>
    <t>TWRAQ UN Equity</t>
  </si>
  <si>
    <t>TA Delaware Inc</t>
  </si>
  <si>
    <t>TTWO UQ Equity</t>
  </si>
  <si>
    <t>Take-Two Interactive Software Inc</t>
  </si>
  <si>
    <t>0700610D UQ Equity</t>
  </si>
  <si>
    <t>Talk America Holdings Inc</t>
  </si>
  <si>
    <t>TALX UQ Equity</t>
  </si>
  <si>
    <t>TALX Corp</t>
  </si>
  <si>
    <t>SKT UN Equity</t>
  </si>
  <si>
    <t>Tanger Factory Outlet Centers Inc</t>
  </si>
  <si>
    <t>TNOX UQ Equity</t>
  </si>
  <si>
    <t>Tanox Inc</t>
  </si>
  <si>
    <t>TPPHQ UQ Equity</t>
  </si>
  <si>
    <t>Tapestry Pharmaceuticals Inc</t>
  </si>
  <si>
    <t>TSTY UN Equity</t>
  </si>
  <si>
    <t>Tasty Baking Co</t>
  </si>
  <si>
    <t>TCO UN Equity</t>
  </si>
  <si>
    <t>Taubman Centers Inc</t>
  </si>
  <si>
    <t>7771787Q UQ Equity</t>
  </si>
  <si>
    <t>TBC Corp</t>
  </si>
  <si>
    <t>AMTD UQ Equity</t>
  </si>
  <si>
    <t>TD Ameritrade Holding Corp</t>
  </si>
  <si>
    <t>1290105D UQ Equity</t>
  </si>
  <si>
    <t>Technip USA Inc</t>
  </si>
  <si>
    <t>TECUA UQ Equity</t>
  </si>
  <si>
    <t>Tecumseh Products Co</t>
  </si>
  <si>
    <t>TRC UN Equity</t>
  </si>
  <si>
    <t>Tejon Ranch Co</t>
  </si>
  <si>
    <t>TKLC UQ Equity</t>
  </si>
  <si>
    <t>Tekelec Global Inc</t>
  </si>
  <si>
    <t>LCRY UQ Equity</t>
  </si>
  <si>
    <t>Teledyne LeCroy Inc</t>
  </si>
  <si>
    <t>TDY UN Equity</t>
  </si>
  <si>
    <t>Teledyne Technologies Inc</t>
  </si>
  <si>
    <t>TTEC UQ Equity</t>
  </si>
  <si>
    <t>TeleTech Holdings Inc</t>
  </si>
  <si>
    <t>TNC UN Equity</t>
  </si>
  <si>
    <t>Tennant Co</t>
  </si>
  <si>
    <t>TEN UN Equity</t>
  </si>
  <si>
    <t>Tenneco Inc</t>
  </si>
  <si>
    <t>TERN UQ Equity</t>
  </si>
  <si>
    <t>Terayon Communication Systems Inc</t>
  </si>
  <si>
    <t>TEX UN Equity</t>
  </si>
  <si>
    <t>Terex Corp</t>
  </si>
  <si>
    <t>TRA UN Equity</t>
  </si>
  <si>
    <t>Terra Industries Inc</t>
  </si>
  <si>
    <t>TSO UN Equity</t>
  </si>
  <si>
    <t>Tesoro Corp</t>
  </si>
  <si>
    <t>TTEK UQ Equity</t>
  </si>
  <si>
    <t>Tetra Tech Inc</t>
  </si>
  <si>
    <t>TTI UN Equity</t>
  </si>
  <si>
    <t>TETRA Technologies Inc</t>
  </si>
  <si>
    <t>TXI UN Equity</t>
  </si>
  <si>
    <t>Texas Industries Inc</t>
  </si>
  <si>
    <t>TRBS UQ Equity</t>
  </si>
  <si>
    <t>Texas Regional Bancshares Inc</t>
  </si>
  <si>
    <t>TGX UN Equity</t>
  </si>
  <si>
    <t>Theragenics Corp</t>
  </si>
  <si>
    <t>2982007Q UQ Equity</t>
  </si>
  <si>
    <t>TheraSense Inc</t>
  </si>
  <si>
    <t>2679945Q UQ Equity</t>
  </si>
  <si>
    <t>Therma-Wave Inc</t>
  </si>
  <si>
    <t>TNB UN Equity</t>
  </si>
  <si>
    <t>Thomas &amp; Betts Corp</t>
  </si>
  <si>
    <t>2844270Q UN Equity</t>
  </si>
  <si>
    <t>Thomas Industries Inc</t>
  </si>
  <si>
    <t>THO UN Equity</t>
  </si>
  <si>
    <t>Thor Industries Inc</t>
  </si>
  <si>
    <t>Automobiles</t>
  </si>
  <si>
    <t>THOR UQ Equity</t>
  </si>
  <si>
    <t>Thoratec LLC</t>
  </si>
  <si>
    <t>THQIQ UQ Equity</t>
  </si>
  <si>
    <t>THQ Inc</t>
  </si>
  <si>
    <t>TFSIQ UN Equity</t>
  </si>
  <si>
    <t>Three-Five Systems Inc</t>
  </si>
  <si>
    <t>TIBX UQ Equity</t>
  </si>
  <si>
    <t>TIBCO Software Inc</t>
  </si>
  <si>
    <t>TVTY UQ Equity</t>
  </si>
  <si>
    <t>Tivity Health Inc</t>
  </si>
  <si>
    <t>1437361D UQ Equity</t>
  </si>
  <si>
    <t>TiVo Solutions Inc</t>
  </si>
  <si>
    <t>THMRQ UN Equity</t>
  </si>
  <si>
    <t>TMST Inc</t>
  </si>
  <si>
    <t>TLGD UQ Equity</t>
  </si>
  <si>
    <t>Tollgrade Communications Inc</t>
  </si>
  <si>
    <t>ATRX UQ Equity</t>
  </si>
  <si>
    <t>Tolmar Therapeutics Inc</t>
  </si>
  <si>
    <t>753393Q UN Equity</t>
  </si>
  <si>
    <t>Tom Brown Inc</t>
  </si>
  <si>
    <t>TMP UA Equity</t>
  </si>
  <si>
    <t>Tompkins Financial Corp</t>
  </si>
  <si>
    <t>RCRC UQ Equity</t>
  </si>
  <si>
    <t>TOMY Holdings Inc</t>
  </si>
  <si>
    <t>DPMI UQ Equity</t>
  </si>
  <si>
    <t>Toppan Photomasks Inc</t>
  </si>
  <si>
    <t>TOPP UQ Equity</t>
  </si>
  <si>
    <t>Topps Co Inc/The</t>
  </si>
  <si>
    <t>TTC UN Equity</t>
  </si>
  <si>
    <t>Toro Co/The</t>
  </si>
  <si>
    <t>TCAHQ UN Equity</t>
  </si>
  <si>
    <t>Touch America Holdings Inc</t>
  </si>
  <si>
    <t>TOUSQ UQ Equity</t>
  </si>
  <si>
    <t>TOUSA Inc</t>
  </si>
  <si>
    <t>TW UN Equity</t>
  </si>
  <si>
    <t>Towers Watson &amp; Co</t>
  </si>
  <si>
    <t>TCT UN Equity</t>
  </si>
  <si>
    <t>Town &amp; Country Trust/The</t>
  </si>
  <si>
    <t>RGCIQ UQ Equity</t>
  </si>
  <si>
    <t>Townsquare Media 2010 Inc</t>
  </si>
  <si>
    <t>TSCO UQ Equity</t>
  </si>
  <si>
    <t>Tractor Supply Co</t>
  </si>
  <si>
    <t>3307381Q UN Equity</t>
  </si>
  <si>
    <t>Trammell Crow Co</t>
  </si>
  <si>
    <t>TWMC UQ Equity</t>
  </si>
  <si>
    <t>Trans World Entertainment Corp</t>
  </si>
  <si>
    <t>TCI UN Equity</t>
  </si>
  <si>
    <t>Transcontinental Realty Investors Inc</t>
  </si>
  <si>
    <t>TMTA UQ Equity</t>
  </si>
  <si>
    <t>Transmeta Corp</t>
  </si>
  <si>
    <t>0601151D UA Equity</t>
  </si>
  <si>
    <t>TransMontaigne Inc</t>
  </si>
  <si>
    <t>TRR UN Equity</t>
  </si>
  <si>
    <t>TRC Cos Inc</t>
  </si>
  <si>
    <t>TG UN Equity</t>
  </si>
  <si>
    <t>Tredegar Corp</t>
  </si>
  <si>
    <t>RAH UN Equity</t>
  </si>
  <si>
    <t>TreeHouse Private Brands Inc</t>
  </si>
  <si>
    <t>567002Q UN Equity</t>
  </si>
  <si>
    <t>Tremont Corp</t>
  </si>
  <si>
    <t>TREX UN Equity</t>
  </si>
  <si>
    <t>Trex Co Inc</t>
  </si>
  <si>
    <t>TGICQ UQ Equity</t>
  </si>
  <si>
    <t>Triad Guaranty Inc</t>
  </si>
  <si>
    <t>TCBK UQ Equity</t>
  </si>
  <si>
    <t>TriCo Bancshares</t>
  </si>
  <si>
    <t>TMARQ UQ Equity</t>
  </si>
  <si>
    <t>Trico Marine Services Inc/Old</t>
  </si>
  <si>
    <t>TRMB UQ Equity</t>
  </si>
  <si>
    <t>Trimble Inc</t>
  </si>
  <si>
    <t>TRN UN Equity</t>
  </si>
  <si>
    <t>Trinity Industries Inc</t>
  </si>
  <si>
    <t>TPTH UQ Equity</t>
  </si>
  <si>
    <t>TriPath Imaging Inc</t>
  </si>
  <si>
    <t>TRPS UQ Equity</t>
  </si>
  <si>
    <t>Tripos Inc</t>
  </si>
  <si>
    <t>TGI UN Equity</t>
  </si>
  <si>
    <t>Triumph Group Inc</t>
  </si>
  <si>
    <t>TZIX UQ Equity</t>
  </si>
  <si>
    <t>TriZetto Corp</t>
  </si>
  <si>
    <t>TSICQ UQ Equity</t>
  </si>
  <si>
    <t>Tropical Sportswear International Corp</t>
  </si>
  <si>
    <t>696500Q UQ Equity</t>
  </si>
  <si>
    <t>Troy Financial Corp</t>
  </si>
  <si>
    <t>TBI UN Equity</t>
  </si>
  <si>
    <t>TrueBlue Inc</t>
  </si>
  <si>
    <t>TCNJ UQ Equity</t>
  </si>
  <si>
    <t>Trust Co of New Jersey/The</t>
  </si>
  <si>
    <t>TRST UQ Equity</t>
  </si>
  <si>
    <t>TrustCo Bank Corp NY</t>
  </si>
  <si>
    <t>TSY UN Equity</t>
  </si>
  <si>
    <t>Trustreet Properties Inc</t>
  </si>
  <si>
    <t>TRKN UQ Equity</t>
  </si>
  <si>
    <t>TTI Liquidating Inc</t>
  </si>
  <si>
    <t>TTMI UQ Equity</t>
  </si>
  <si>
    <t>TTM Technologies Inc</t>
  </si>
  <si>
    <t>TUES UQ Equity</t>
  </si>
  <si>
    <t>Tuesday Morning Corp</t>
  </si>
  <si>
    <t>TLRK UQ Equity</t>
  </si>
  <si>
    <t>Tularik Inc</t>
  </si>
  <si>
    <t>TUP UN Equity</t>
  </si>
  <si>
    <t>Tupperware Brands Corp</t>
  </si>
  <si>
    <t>0618171D UQ Equity</t>
  </si>
  <si>
    <t>Turnstone Systems Inc</t>
  </si>
  <si>
    <t>TWTC UQ Equity</t>
  </si>
  <si>
    <t>tw telecom inc</t>
  </si>
  <si>
    <t>TWB UN Equity</t>
  </si>
  <si>
    <t>Tween Brands Inc</t>
  </si>
  <si>
    <t>THEGQ UQ Equity</t>
  </si>
  <si>
    <t>Tweeter Home Entertainment Group Inc</t>
  </si>
  <si>
    <t>TYL UN Equity</t>
  </si>
  <si>
    <t>Tyler Technologies Inc</t>
  </si>
  <si>
    <t>UALAQ UN Equity</t>
  </si>
  <si>
    <t>UAL Corp/Old</t>
  </si>
  <si>
    <t>UPCS UR Equity</t>
  </si>
  <si>
    <t>UbiquiTel Inc</t>
  </si>
  <si>
    <t>UCBHQ UQ Equity</t>
  </si>
  <si>
    <t>UCBH Holdings Inc</t>
  </si>
  <si>
    <t>UGI UN Equity</t>
  </si>
  <si>
    <t>UGI Corp</t>
  </si>
  <si>
    <t>UIL UN Equity</t>
  </si>
  <si>
    <t>UIL Holdings Corp/Old</t>
  </si>
  <si>
    <t>ULCM UQ Equity</t>
  </si>
  <si>
    <t>Ulticom Inc</t>
  </si>
  <si>
    <t>ULTEQ UQ Equity</t>
  </si>
  <si>
    <t>Ultimate Electronics Inc</t>
  </si>
  <si>
    <t>UTEK UQ Equity</t>
  </si>
  <si>
    <t>Ultratech Inc</t>
  </si>
  <si>
    <t>UMBF UQ Equity</t>
  </si>
  <si>
    <t>UMB Financial Corp</t>
  </si>
  <si>
    <t>UMPQ UQ Equity</t>
  </si>
  <si>
    <t>Umpqua Holdings Corp</t>
  </si>
  <si>
    <t>UFI UN Equity</t>
  </si>
  <si>
    <t>Unifi Inc</t>
  </si>
  <si>
    <t>UNF UN Equity</t>
  </si>
  <si>
    <t>UniFirst Corp/MA</t>
  </si>
  <si>
    <t>ULAB UQ Equity</t>
  </si>
  <si>
    <t>Unilab Corp</t>
  </si>
  <si>
    <t>UBSH UQ Equity</t>
  </si>
  <si>
    <t>Union Bankshares Corp</t>
  </si>
  <si>
    <t>UNT UN Equity</t>
  </si>
  <si>
    <t>Unit Corp</t>
  </si>
  <si>
    <t>UBSI UQ Equity</t>
  </si>
  <si>
    <t>United Bankshares Inc/WV</t>
  </si>
  <si>
    <t>UCBI UQ Equity</t>
  </si>
  <si>
    <t>United Community Banks Inc/GA</t>
  </si>
  <si>
    <t>UCFC UQ Equity</t>
  </si>
  <si>
    <t>United Community Financial Corp/OH</t>
  </si>
  <si>
    <t>UFCS UQ Equity</t>
  </si>
  <si>
    <t>United Fire Group Inc</t>
  </si>
  <si>
    <t>UIC UN Equity</t>
  </si>
  <si>
    <t>United Industrial Corp/MD</t>
  </si>
  <si>
    <t>UNBJ UQ Equity</t>
  </si>
  <si>
    <t>United National Bancorp/NJ</t>
  </si>
  <si>
    <t>UNFI UQ Equity</t>
  </si>
  <si>
    <t>United Natural Foods Inc</t>
  </si>
  <si>
    <t>UNTD UQ Equity</t>
  </si>
  <si>
    <t>United Online Inc</t>
  </si>
  <si>
    <t>0623514D UQ Equity</t>
  </si>
  <si>
    <t>United Surgical Partners International I</t>
  </si>
  <si>
    <t>UTHR UQ Equity</t>
  </si>
  <si>
    <t>United Therapeutics Corp</t>
  </si>
  <si>
    <t>UTL UA Equity</t>
  </si>
  <si>
    <t>Unitil Corp</t>
  </si>
  <si>
    <t>UAM UQ Equity</t>
  </si>
  <si>
    <t>Universal American Corp</t>
  </si>
  <si>
    <t>3109386Q UN Equity</t>
  </si>
  <si>
    <t>Universal Compression Holdings Inc</t>
  </si>
  <si>
    <t>UVV UN Equity</t>
  </si>
  <si>
    <t>Universal Corp/VA</t>
  </si>
  <si>
    <t>OLED UQ Equity</t>
  </si>
  <si>
    <t>Universal Display Corp</t>
  </si>
  <si>
    <t>UEIC UQ Equity</t>
  </si>
  <si>
    <t>Universal Electronics Inc</t>
  </si>
  <si>
    <t>UFPI UQ Equity</t>
  </si>
  <si>
    <t>Universal Forest Products Inc</t>
  </si>
  <si>
    <t>UHT UN Equity</t>
  </si>
  <si>
    <t>Universal Health Realty Income Trust</t>
  </si>
  <si>
    <t>UNIZ UQ Equity</t>
  </si>
  <si>
    <t>Unizan Financial Corp</t>
  </si>
  <si>
    <t>UNS UN Equity</t>
  </si>
  <si>
    <t>UNS Energy Corp</t>
  </si>
  <si>
    <t>URBN UQ Equity</t>
  </si>
  <si>
    <t>Urban Outfitters Inc</t>
  </si>
  <si>
    <t>ULGX UQ Equity</t>
  </si>
  <si>
    <t>Urologix Inc</t>
  </si>
  <si>
    <t>URS UN Equity</t>
  </si>
  <si>
    <t>URS Corp</t>
  </si>
  <si>
    <t>UBA UN Equity</t>
  </si>
  <si>
    <t>Urstadt Biddle Properties Inc</t>
  </si>
  <si>
    <t>RMIXQ UQ Equity</t>
  </si>
  <si>
    <t>US Concrete Inc/Old</t>
  </si>
  <si>
    <t>USON UQ Equity</t>
  </si>
  <si>
    <t>US Oncology Inc</t>
  </si>
  <si>
    <t>USPH UQ Equity</t>
  </si>
  <si>
    <t>US Physical Therapy Inc</t>
  </si>
  <si>
    <t>UNWR UQ Equity</t>
  </si>
  <si>
    <t>US Unwired Inc</t>
  </si>
  <si>
    <t>XPRSA UQ Equity</t>
  </si>
  <si>
    <t>US Xpress Enterprises Inc</t>
  </si>
  <si>
    <t>UBH UN Equity</t>
  </si>
  <si>
    <t>USB Holding Co Inc</t>
  </si>
  <si>
    <t>3542013Q UQ Equity</t>
  </si>
  <si>
    <t>USF Corp</t>
  </si>
  <si>
    <t>USG UN Equity</t>
  </si>
  <si>
    <t>USG Corp</t>
  </si>
  <si>
    <t>MTN UN Equity</t>
  </si>
  <si>
    <t>Vail Resorts Inc</t>
  </si>
  <si>
    <t>AD UN Equity</t>
  </si>
  <si>
    <t>Valassis Direct Mail Inc</t>
  </si>
  <si>
    <t>VHI UN Equity</t>
  </si>
  <si>
    <t>Valhi Inc</t>
  </si>
  <si>
    <t>VMI UN Equity</t>
  </si>
  <si>
    <t>Valmont Industries Inc</t>
  </si>
  <si>
    <t>VALU UQ Equity</t>
  </si>
  <si>
    <t>Value Line Inc</t>
  </si>
  <si>
    <t>VANS UQ Equity</t>
  </si>
  <si>
    <t>Vans Inc</t>
  </si>
  <si>
    <t>VARI UQ Equity</t>
  </si>
  <si>
    <t>Varian Inc</t>
  </si>
  <si>
    <t>VSEA UQ Equity</t>
  </si>
  <si>
    <t>Varian Semiconductor Equipment Associate</t>
  </si>
  <si>
    <t>WOOF UQ Equity</t>
  </si>
  <si>
    <t>VCA Inc</t>
  </si>
  <si>
    <t>VGR UN Equity</t>
  </si>
  <si>
    <t>Vector Group Ltd</t>
  </si>
  <si>
    <t>VECO UQ Equity</t>
  </si>
  <si>
    <t>Veeco Instruments Inc</t>
  </si>
  <si>
    <t>VMSI UQ Equity</t>
  </si>
  <si>
    <t>Ventana Medical Systems Inc</t>
  </si>
  <si>
    <t>VTR UN Equity</t>
  </si>
  <si>
    <t>Ventas Inc</t>
  </si>
  <si>
    <t>VTS UN Equity</t>
  </si>
  <si>
    <t>Veritas DGC Inc</t>
  </si>
  <si>
    <t>0772374D UQ Equity</t>
  </si>
  <si>
    <t>Verity Inc</t>
  </si>
  <si>
    <t>VRMLQ UQ Equity</t>
  </si>
  <si>
    <t>Vermillion Inc/Old</t>
  </si>
  <si>
    <t>VTRU UQ Equity</t>
  </si>
  <si>
    <t>Vertrue Inc</t>
  </si>
  <si>
    <t>VTAIQ UN Equity</t>
  </si>
  <si>
    <t>Vesta Insurance Group Inc</t>
  </si>
  <si>
    <t>VSAT UQ Equity</t>
  </si>
  <si>
    <t>ViaSat Inc</t>
  </si>
  <si>
    <t>MERX UQ Equity</t>
  </si>
  <si>
    <t>Viasystems Corp</t>
  </si>
  <si>
    <t>VICL UQ Equity</t>
  </si>
  <si>
    <t>Vical Inc</t>
  </si>
  <si>
    <t>VICR UQ Equity</t>
  </si>
  <si>
    <t>Vicor Corp</t>
  </si>
  <si>
    <t>MICU UQ Equity</t>
  </si>
  <si>
    <t>Vicuron Pharmaceuticals Inc</t>
  </si>
  <si>
    <t>VIGN UQ Equity</t>
  </si>
  <si>
    <t>Vignette Corp</t>
  </si>
  <si>
    <t>VPI UN Equity</t>
  </si>
  <si>
    <t>Vintage Petroleum Inc</t>
  </si>
  <si>
    <t>VIRL UQ Equity</t>
  </si>
  <si>
    <t>Virage Logic Corp</t>
  </si>
  <si>
    <t>VBAC UQ Equity</t>
  </si>
  <si>
    <t>Virbac Corp</t>
  </si>
  <si>
    <t>VIRC UA Equity</t>
  </si>
  <si>
    <t>Virco Manufacturing Corp</t>
  </si>
  <si>
    <t>575887Q UN Equity</t>
  </si>
  <si>
    <t>Visx Inc</t>
  </si>
  <si>
    <t>VITL UQ Equity</t>
  </si>
  <si>
    <t>Vital Signs Inc</t>
  </si>
  <si>
    <t>VITR UQ Equity</t>
  </si>
  <si>
    <t>Vitria Technology Inc</t>
  </si>
  <si>
    <t>VVUS UQ Equity</t>
  </si>
  <si>
    <t>VIVUS Inc</t>
  </si>
  <si>
    <t>VISI UN Equity</t>
  </si>
  <si>
    <t>Volt Information Sciences Inc</t>
  </si>
  <si>
    <t>VOXX UQ Equity</t>
  </si>
  <si>
    <t>VOXX International Corp</t>
  </si>
  <si>
    <t>VLCY UN Equity</t>
  </si>
  <si>
    <t>Voyager Learning Co</t>
  </si>
  <si>
    <t>WHCI UN Equity</t>
  </si>
  <si>
    <t>W Holding Co Inc</t>
  </si>
  <si>
    <t>WHQA UQ Equity</t>
  </si>
  <si>
    <t>W-H Energy Services LLC</t>
  </si>
  <si>
    <t>WNC UN Equity</t>
  </si>
  <si>
    <t>Wabash National Corp</t>
  </si>
  <si>
    <t>WAB UN Equity</t>
  </si>
  <si>
    <t>Wabtec Corp/DE</t>
  </si>
  <si>
    <t>597902Q UN Equity</t>
  </si>
  <si>
    <t>Wallace Computer Services Inc</t>
  </si>
  <si>
    <t>WLTGQ UN Equity</t>
  </si>
  <si>
    <t>Walter Energy Inc</t>
  </si>
  <si>
    <t>WSBI UQ Equity</t>
  </si>
  <si>
    <t>Warwick Community Bancorp Inc</t>
  </si>
  <si>
    <t>WRE UN Equity</t>
  </si>
  <si>
    <t>Washington Real Estate Investment Trust</t>
  </si>
  <si>
    <t>WASH UQ Equity</t>
  </si>
  <si>
    <t>Washington Trust Bancorp Inc</t>
  </si>
  <si>
    <t>9999900D UN Equity</t>
  </si>
  <si>
    <t>Waste Connections US Inc</t>
  </si>
  <si>
    <t>WGRD UQ Equity</t>
  </si>
  <si>
    <t>WatchGuard Technologies Inc</t>
  </si>
  <si>
    <t>WSO UN Equity</t>
  </si>
  <si>
    <t>Watsco Inc</t>
  </si>
  <si>
    <t>WTS UN Equity</t>
  </si>
  <si>
    <t>Watts Water Technologies Inc</t>
  </si>
  <si>
    <t>WPP UN Equity</t>
  </si>
  <si>
    <t>Wausau Paper Corp</t>
  </si>
  <si>
    <t>WYPT UQ Equity</t>
  </si>
  <si>
    <t>Waypoint Financial Corp</t>
  </si>
  <si>
    <t>WDFC UQ Equity</t>
  </si>
  <si>
    <t>WD-40 Co</t>
  </si>
  <si>
    <t>2847452Q UQ Equity</t>
  </si>
  <si>
    <t>Web.com Holding Co Inc</t>
  </si>
  <si>
    <t>WEBX UQ Equity</t>
  </si>
  <si>
    <t>WebEx Communications Inc</t>
  </si>
  <si>
    <t>3208542Q UQ Equity</t>
  </si>
  <si>
    <t>webMethods Inc</t>
  </si>
  <si>
    <t>WBSN UQ Equity</t>
  </si>
  <si>
    <t>Websense LLC</t>
  </si>
  <si>
    <t>WMK UN Equity</t>
  </si>
  <si>
    <t>Weis Markets Inc</t>
  </si>
  <si>
    <t>WMANQ UN Equity</t>
  </si>
  <si>
    <t>Wellman Inc</t>
  </si>
  <si>
    <t>HCN UN Equity</t>
  </si>
  <si>
    <t>Welltower Inc</t>
  </si>
  <si>
    <t>WEN UN Equity</t>
  </si>
  <si>
    <t>Wendy's Co/The</t>
  </si>
  <si>
    <t>WERN UQ Equity</t>
  </si>
  <si>
    <t>Werner Enterprises Inc</t>
  </si>
  <si>
    <t>WSBC UQ Equity</t>
  </si>
  <si>
    <t>WesBanco Inc</t>
  </si>
  <si>
    <t>WCC UN Equity</t>
  </si>
  <si>
    <t>WESCO International Inc</t>
  </si>
  <si>
    <t>WCBO UQ Equity</t>
  </si>
  <si>
    <t>West Coast Bancorp/OR</t>
  </si>
  <si>
    <t>WMAR UQ Equity</t>
  </si>
  <si>
    <t>West Marine Inc</t>
  </si>
  <si>
    <t>WST UN Equity</t>
  </si>
  <si>
    <t>West Pharmaceutical Services Inc</t>
  </si>
  <si>
    <t>TRDO UQ Equity</t>
  </si>
  <si>
    <t>West Safety Services Inc</t>
  </si>
  <si>
    <t>WR UN Equity</t>
  </si>
  <si>
    <t>Westar Energy Inc</t>
  </si>
  <si>
    <t>2266132Q UN Equity</t>
  </si>
  <si>
    <t>Westcorp</t>
  </si>
  <si>
    <t>WDC UN Equity</t>
  </si>
  <si>
    <t>Western Digital Corp</t>
  </si>
  <si>
    <t>WGR UN Equity</t>
  </si>
  <si>
    <t>Western Gas Resources Inc</t>
  </si>
  <si>
    <t>WNEB UA Equity</t>
  </si>
  <si>
    <t>Western New England Bancorp Inc</t>
  </si>
  <si>
    <t>3242107Q UQ Equity</t>
  </si>
  <si>
    <t>Western Wireless Corp</t>
  </si>
  <si>
    <t>649848Q UN Equity</t>
  </si>
  <si>
    <t>Westport Resources Corp</t>
  </si>
  <si>
    <t>RKT UN Equity</t>
  </si>
  <si>
    <t>WestRock RKT Co</t>
  </si>
  <si>
    <t>WFSI UQ Equity</t>
  </si>
  <si>
    <t>WFS Financial Inc</t>
  </si>
  <si>
    <t>WGL UN Equity</t>
  </si>
  <si>
    <t>WGL Holdings Inc</t>
  </si>
  <si>
    <t>JWLR UN Equity</t>
  </si>
  <si>
    <t>Whitehall Jewelers Inc</t>
  </si>
  <si>
    <t>OATS UQ Equity</t>
  </si>
  <si>
    <t>Wild Oats Markets Inc</t>
  </si>
  <si>
    <t>3623583Q UN Equity</t>
  </si>
  <si>
    <t>William Lyon Homes/Old</t>
  </si>
  <si>
    <t>WFBC UQ Equity</t>
  </si>
  <si>
    <t>Willow Financial Bancorp Inc</t>
  </si>
  <si>
    <t>WBR UA Equity</t>
  </si>
  <si>
    <t>Wind International Inc/Texas</t>
  </si>
  <si>
    <t>3499164Q UQ Equity</t>
  </si>
  <si>
    <t>Wind River Systems Inc</t>
  </si>
  <si>
    <t>WGO UN Equity</t>
  </si>
  <si>
    <t>Winnebago Industries Inc</t>
  </si>
  <si>
    <t>WXH UN Equity</t>
  </si>
  <si>
    <t>Winston Hotels Inc</t>
  </si>
  <si>
    <t>WTFC UQ Equity</t>
  </si>
  <si>
    <t>Wintrust Financial Corp</t>
  </si>
  <si>
    <t>WITS UQ Equity</t>
  </si>
  <si>
    <t>Witness Systems Inc</t>
  </si>
  <si>
    <t>0966576D UN Equity</t>
  </si>
  <si>
    <t>WMS Industries Inc</t>
  </si>
  <si>
    <t>WWW UN Equity</t>
  </si>
  <si>
    <t>Wolverine World Wide Inc</t>
  </si>
  <si>
    <t>WFHCQ UQ Equity</t>
  </si>
  <si>
    <t>Women First Healthcare Inc</t>
  </si>
  <si>
    <t>WDHD UQ Equity</t>
  </si>
  <si>
    <t>Woodhead Industries Inc</t>
  </si>
  <si>
    <t>WWD UQ Equity</t>
  </si>
  <si>
    <t>Woodward Inc</t>
  </si>
  <si>
    <t>WRLD UQ Equity</t>
  </si>
  <si>
    <t>World Acceptance Corp</t>
  </si>
  <si>
    <t>INT UN Equity</t>
  </si>
  <si>
    <t>World Fuel Services Corp</t>
  </si>
  <si>
    <t>WWE UN Equity</t>
  </si>
  <si>
    <t>World Wrestling Entertainment Inc</t>
  </si>
  <si>
    <t>WOR UN Equity</t>
  </si>
  <si>
    <t>Worthington Industries Inc</t>
  </si>
  <si>
    <t>GRA UN Equity</t>
  </si>
  <si>
    <t>WR Grace &amp; Co</t>
  </si>
  <si>
    <t>1321686D UQ Equity</t>
  </si>
  <si>
    <t>Wright Medical Group Inc</t>
  </si>
  <si>
    <t>WSFS UQ Equity</t>
  </si>
  <si>
    <t>WSFS Financial Corp</t>
  </si>
  <si>
    <t>XRIT UQ Equity</t>
  </si>
  <si>
    <t>X-Rite Inc</t>
  </si>
  <si>
    <t>XCRA UQ Equity</t>
  </si>
  <si>
    <t>Xcerra Corp</t>
  </si>
  <si>
    <t>XICO UQ Equity</t>
  </si>
  <si>
    <t>Xicor Inc</t>
  </si>
  <si>
    <t>XMSR UQ Equity</t>
  </si>
  <si>
    <t>XM Satellite Radio Holdings Inc</t>
  </si>
  <si>
    <t>YCC UN Equity</t>
  </si>
  <si>
    <t>Yankee Candle Co Inc/The</t>
  </si>
  <si>
    <t>YANB UQ Equity</t>
  </si>
  <si>
    <t>Yardville National Bancorp</t>
  </si>
  <si>
    <t>YBTVQ UQ Equity</t>
  </si>
  <si>
    <t>Young Broadcasting Inc</t>
  </si>
  <si>
    <t>YDNT UQ Equity</t>
  </si>
  <si>
    <t>Young Innovations Inc</t>
  </si>
  <si>
    <t>YRCW UQ Equity</t>
  </si>
  <si>
    <t>YRC Worldwide Inc</t>
  </si>
  <si>
    <t>ZNT UN Equity</t>
  </si>
  <si>
    <t>Zenith National Insurance Corp</t>
  </si>
  <si>
    <t>3527570Q UN Equity</t>
  </si>
  <si>
    <t>Zoetis Products LLC</t>
  </si>
  <si>
    <t>ZOLL UQ Equity</t>
  </si>
  <si>
    <t>Zoll Medical Corp</t>
  </si>
  <si>
    <t>ZOMX UQ Equity</t>
  </si>
  <si>
    <t>Zomax Inc/OH</t>
  </si>
  <si>
    <t>ZRAN UQ Equity</t>
  </si>
  <si>
    <t>Zoran Corp</t>
  </si>
  <si>
    <t>ZIGO UQ Equity</t>
  </si>
  <si>
    <t>Zygo Corp</t>
  </si>
  <si>
    <t>ZGEN UQ Equity</t>
  </si>
  <si>
    <t>ZymoGenetics Inc</t>
  </si>
  <si>
    <t>Debt/Assets Change</t>
  </si>
  <si>
    <t>ROA Change</t>
  </si>
  <si>
    <t>FCF</t>
  </si>
  <si>
    <t>EPS Change</t>
  </si>
  <si>
    <t>Shares Outstanding no Change</t>
  </si>
  <si>
    <t>ROA Pos</t>
  </si>
  <si>
    <t>GM Change</t>
  </si>
  <si>
    <t>ROIC+EY</t>
  </si>
  <si>
    <t>Buy/Sell</t>
  </si>
  <si>
    <t>ROIC+EY top 25 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</si>
</sst>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/>
  </cellStyleXfs>
  <cellXfs count="2">
    <xf numFmtId="0" fontId="0" fillId="0" borderId="0" xfId="0"/>
    <xf numFmtId="0" fontId="1" fillId="2" borderId="0" xfId="1" applyNumberFormat="1" applyFont="1" applyFill="1" applyBorder="1" applyAlignment="1" applyProtection="1"/>
  </cellXfs>
  <cellStyles count="2">
    <cellStyle name="blp_column_header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I1915"/>
  <sheetViews>
    <sheetView tabSelected="1" topLeftCell="F1" workbookViewId="0">
      <selection activeCell="V7" sqref="V7"/>
    </sheetView>
  </sheetViews>
  <sheetFormatPr baseColWidth="10" defaultColWidth="8.83203125" defaultRowHeight="14" x14ac:dyDescent="0"/>
  <cols>
    <col min="1" max="1" width="19.1640625" bestFit="1" customWidth="1"/>
    <col min="2" max="2" width="11.83203125" bestFit="1" customWidth="1"/>
    <col min="3" max="3" width="4.1640625" bestFit="1" customWidth="1"/>
    <col min="4" max="4" width="11.1640625" bestFit="1" customWidth="1"/>
    <col min="5" max="5" width="28.5" bestFit="1" customWidth="1"/>
    <col min="7" max="7" width="11.33203125" bestFit="1" customWidth="1"/>
    <col min="8" max="8" width="22" bestFit="1" customWidth="1"/>
    <col min="20" max="21" width="16.83203125" bestFit="1" customWidth="1"/>
    <col min="25" max="27" width="18.5" bestFit="1" customWidth="1"/>
    <col min="28" max="28" width="9" customWidth="1"/>
    <col min="29" max="29" width="8.33203125" customWidth="1"/>
    <col min="31" max="31" width="11.1640625" bestFit="1" customWidth="1"/>
    <col min="32" max="33" width="17" bestFit="1" customWidth="1"/>
    <col min="34" max="34" width="15.5" bestFit="1" customWidth="1"/>
    <col min="35" max="35" width="16.83203125" bestFit="1" customWidth="1"/>
  </cols>
  <sheetData>
    <row r="1" spans="1:35">
      <c r="A1" s="1" t="s">
        <v>3931</v>
      </c>
      <c r="B1" s="1" t="s">
        <v>3932</v>
      </c>
      <c r="C1" s="1" t="s">
        <v>3933</v>
      </c>
      <c r="D1" s="1" t="s">
        <v>3934</v>
      </c>
      <c r="E1" s="1" t="s">
        <v>3935</v>
      </c>
      <c r="F1" s="1" t="s">
        <v>3936</v>
      </c>
      <c r="G1" s="1" t="s">
        <v>3937</v>
      </c>
      <c r="H1" s="1" t="s">
        <v>3940</v>
      </c>
      <c r="I1" s="1" t="s">
        <v>3939</v>
      </c>
      <c r="J1" s="1" t="s">
        <v>3938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9</v>
      </c>
      <c r="U1" s="1" t="s">
        <v>10</v>
      </c>
      <c r="V1" s="1" t="s">
        <v>11</v>
      </c>
      <c r="W1" s="1" t="s">
        <v>12</v>
      </c>
      <c r="X1" s="1" t="s">
        <v>13</v>
      </c>
      <c r="Y1" s="1" t="s">
        <v>14</v>
      </c>
      <c r="Z1" s="1" t="s">
        <v>15</v>
      </c>
      <c r="AA1" s="1" t="s">
        <v>16</v>
      </c>
      <c r="AB1" s="1" t="s">
        <v>17</v>
      </c>
      <c r="AC1" s="1" t="s">
        <v>18</v>
      </c>
      <c r="AD1" s="1" t="s">
        <v>19</v>
      </c>
      <c r="AE1" s="1" t="s">
        <v>20</v>
      </c>
      <c r="AF1" s="1" t="s">
        <v>21</v>
      </c>
      <c r="AG1" s="1" t="s">
        <v>22</v>
      </c>
      <c r="AH1" s="1" t="s">
        <v>23</v>
      </c>
      <c r="AI1" s="1" t="s">
        <v>24</v>
      </c>
    </row>
    <row r="2" spans="1:35">
      <c r="A2">
        <f>IF(AH2&lt;T2,1,0)</f>
        <v>1</v>
      </c>
      <c r="B2">
        <f>IF(AI2&gt;W2,1,0)</f>
        <v>1</v>
      </c>
      <c r="C2">
        <f>IF(V2&gt;0,1,0)</f>
        <v>0</v>
      </c>
      <c r="D2">
        <f>IF(AD2&gt;X2,1,0)</f>
        <v>1</v>
      </c>
      <c r="E2">
        <f>IF(AA2=AG2,1,0)</f>
        <v>0</v>
      </c>
      <c r="F2">
        <f>IF(AI2&gt;0,1,0)</f>
        <v>0</v>
      </c>
      <c r="G2">
        <f>IF(AE2&gt;U2,1,0)</f>
        <v>1</v>
      </c>
      <c r="H2">
        <v>0</v>
      </c>
      <c r="I2">
        <f>IF(((O2-R2)/R2)&gt;0.075,1,0)</f>
        <v>0</v>
      </c>
      <c r="J2">
        <v>0</v>
      </c>
      <c r="K2" t="s">
        <v>28</v>
      </c>
      <c r="L2" t="s">
        <v>29</v>
      </c>
      <c r="M2" t="s">
        <v>27</v>
      </c>
      <c r="N2" t="s">
        <v>27</v>
      </c>
      <c r="O2">
        <v>6.54</v>
      </c>
      <c r="P2" t="s">
        <v>27</v>
      </c>
      <c r="Q2" t="s">
        <v>27</v>
      </c>
      <c r="R2">
        <v>13.050000190734901</v>
      </c>
      <c r="S2">
        <v>6.375</v>
      </c>
      <c r="T2">
        <v>8.7822589874267596</v>
      </c>
      <c r="U2">
        <v>37.819240570068402</v>
      </c>
      <c r="V2">
        <v>-15641000</v>
      </c>
      <c r="W2">
        <v>-32.840618133544901</v>
      </c>
      <c r="X2">
        <v>-0.34999999403953602</v>
      </c>
      <c r="Y2">
        <v>-20.062696456909201</v>
      </c>
      <c r="Z2">
        <v>-3.3996679782867401</v>
      </c>
      <c r="AA2">
        <v>64185996</v>
      </c>
      <c r="AB2" t="s">
        <v>30</v>
      </c>
      <c r="AC2" t="s">
        <v>31</v>
      </c>
      <c r="AD2">
        <v>-0.140000000596046</v>
      </c>
      <c r="AE2">
        <v>39.5255737304688</v>
      </c>
      <c r="AF2">
        <v>28.172280491730199</v>
      </c>
      <c r="AG2">
        <v>64361000</v>
      </c>
      <c r="AH2">
        <v>8.5187015533447301</v>
      </c>
      <c r="AI2">
        <v>-19.681446075439499</v>
      </c>
    </row>
    <row r="3" spans="1:35">
      <c r="A3">
        <f t="shared" ref="A3:A60" si="0">IF(AH3&lt;T3,1,0)</f>
        <v>0</v>
      </c>
      <c r="B3">
        <f t="shared" ref="B3:B60" si="1">IF(AI3&gt;W3,1,0)</f>
        <v>0</v>
      </c>
      <c r="C3">
        <f t="shared" ref="C3:C60" si="2">IF(V3&gt;0,1,0)</f>
        <v>0</v>
      </c>
      <c r="D3">
        <f t="shared" ref="D3:D60" si="3">IF(AD3&gt;X3,1,0)</f>
        <v>1</v>
      </c>
      <c r="E3">
        <f t="shared" ref="E3:E60" si="4">IF(AA3=AG3,1,0)</f>
        <v>0</v>
      </c>
      <c r="F3">
        <f t="shared" ref="F3:F60" si="5">IF(AI3&gt;0,1,0)</f>
        <v>0</v>
      </c>
      <c r="G3">
        <f t="shared" ref="G3:G60" si="6">IF(AE3&gt;U3,1,0)</f>
        <v>1</v>
      </c>
      <c r="H3">
        <v>0</v>
      </c>
      <c r="I3">
        <f t="shared" ref="I3:I60" si="7">IF(((O3-R3)/R3)&gt;0.075,1,0)</f>
        <v>0</v>
      </c>
      <c r="J3">
        <v>0</v>
      </c>
      <c r="K3" t="s">
        <v>48</v>
      </c>
      <c r="L3" t="s">
        <v>49</v>
      </c>
      <c r="M3" t="s">
        <v>27</v>
      </c>
      <c r="N3" t="s">
        <v>27</v>
      </c>
      <c r="O3">
        <v>5.0199999999999996</v>
      </c>
      <c r="P3" t="s">
        <v>27</v>
      </c>
      <c r="Q3" t="s">
        <v>27</v>
      </c>
      <c r="R3">
        <v>6.4800000190734899</v>
      </c>
      <c r="S3">
        <v>5.625</v>
      </c>
      <c r="T3">
        <v>0</v>
      </c>
      <c r="U3">
        <v>-19.403465270996101</v>
      </c>
      <c r="V3">
        <v>-8562000</v>
      </c>
      <c r="W3">
        <v>-52.711997985839801</v>
      </c>
      <c r="X3">
        <v>-2.1300001144409202</v>
      </c>
      <c r="Y3" t="s">
        <v>27</v>
      </c>
      <c r="Z3">
        <v>-42.028984069824197</v>
      </c>
      <c r="AA3">
        <v>46042728</v>
      </c>
      <c r="AB3" t="s">
        <v>27</v>
      </c>
      <c r="AC3" t="s">
        <v>27</v>
      </c>
      <c r="AD3">
        <v>-0.20000000298023199</v>
      </c>
      <c r="AE3">
        <v>2.9482090473175</v>
      </c>
      <c r="AF3" t="s">
        <v>27</v>
      </c>
      <c r="AG3">
        <v>46186000</v>
      </c>
      <c r="AH3">
        <v>0</v>
      </c>
      <c r="AI3">
        <v>-62.347400665283203</v>
      </c>
    </row>
    <row r="4" spans="1:35">
      <c r="A4">
        <f t="shared" si="0"/>
        <v>1</v>
      </c>
      <c r="B4">
        <f t="shared" si="1"/>
        <v>0</v>
      </c>
      <c r="C4">
        <f t="shared" si="2"/>
        <v>1</v>
      </c>
      <c r="D4">
        <f t="shared" si="3"/>
        <v>0</v>
      </c>
      <c r="E4">
        <f t="shared" si="4"/>
        <v>0</v>
      </c>
      <c r="F4">
        <f t="shared" si="5"/>
        <v>0</v>
      </c>
      <c r="G4">
        <f t="shared" si="6"/>
        <v>0</v>
      </c>
      <c r="H4">
        <v>0</v>
      </c>
      <c r="I4">
        <f t="shared" si="7"/>
        <v>0</v>
      </c>
      <c r="J4">
        <v>0</v>
      </c>
      <c r="K4" t="s">
        <v>54</v>
      </c>
      <c r="L4" t="s">
        <v>55</v>
      </c>
      <c r="M4" t="s">
        <v>27</v>
      </c>
      <c r="N4" t="s">
        <v>27</v>
      </c>
      <c r="O4">
        <v>4.34</v>
      </c>
      <c r="P4" t="s">
        <v>27</v>
      </c>
      <c r="Q4" t="s">
        <v>27</v>
      </c>
      <c r="R4">
        <v>9.1000003814697301</v>
      </c>
      <c r="S4">
        <v>9.1499996185302699</v>
      </c>
      <c r="T4">
        <v>37.935234069824197</v>
      </c>
      <c r="U4">
        <v>29.522373199462901</v>
      </c>
      <c r="V4">
        <v>51893000</v>
      </c>
      <c r="W4">
        <v>1.99563896656036</v>
      </c>
      <c r="X4">
        <v>0.10000000149011599</v>
      </c>
      <c r="Y4" t="s">
        <v>27</v>
      </c>
      <c r="Z4">
        <v>-5.06024122238159</v>
      </c>
      <c r="AA4">
        <v>14061000</v>
      </c>
      <c r="AB4" t="s">
        <v>52</v>
      </c>
      <c r="AC4" t="s">
        <v>56</v>
      </c>
      <c r="AD4">
        <v>-0.15000000596046401</v>
      </c>
      <c r="AE4">
        <v>29.333763122558601</v>
      </c>
      <c r="AF4">
        <v>42.326406338989401</v>
      </c>
      <c r="AG4">
        <v>14111000</v>
      </c>
      <c r="AH4">
        <v>35.1764526367188</v>
      </c>
      <c r="AI4">
        <v>-0.40255099534988398</v>
      </c>
    </row>
    <row r="5" spans="1:35">
      <c r="A5">
        <f t="shared" si="0"/>
        <v>0</v>
      </c>
      <c r="B5">
        <f t="shared" si="1"/>
        <v>0</v>
      </c>
      <c r="C5">
        <f t="shared" si="2"/>
        <v>1</v>
      </c>
      <c r="D5">
        <f t="shared" si="3"/>
        <v>0</v>
      </c>
      <c r="E5">
        <f t="shared" si="4"/>
        <v>0</v>
      </c>
      <c r="F5">
        <f t="shared" si="5"/>
        <v>1</v>
      </c>
      <c r="G5">
        <f t="shared" si="6"/>
        <v>0</v>
      </c>
      <c r="H5">
        <v>0</v>
      </c>
      <c r="I5">
        <f t="shared" si="7"/>
        <v>0</v>
      </c>
      <c r="J5">
        <v>0</v>
      </c>
      <c r="K5" t="s">
        <v>63</v>
      </c>
      <c r="L5" t="s">
        <v>64</v>
      </c>
      <c r="M5" t="s">
        <v>27</v>
      </c>
      <c r="N5" t="s">
        <v>27</v>
      </c>
      <c r="O5">
        <v>4.76</v>
      </c>
      <c r="P5">
        <v>5.9487671852111799</v>
      </c>
      <c r="Q5" t="s">
        <v>27</v>
      </c>
      <c r="R5">
        <v>8.6000003814697301</v>
      </c>
      <c r="S5">
        <v>15.189999580383301</v>
      </c>
      <c r="T5">
        <v>31.5485935211182</v>
      </c>
      <c r="U5">
        <v>16.720848083496101</v>
      </c>
      <c r="V5">
        <v>6045000</v>
      </c>
      <c r="W5">
        <v>4.80169677734375</v>
      </c>
      <c r="X5">
        <v>0.15999999642372101</v>
      </c>
      <c r="Y5">
        <v>8.4819278717040998</v>
      </c>
      <c r="Z5">
        <v>4.0490798950195304</v>
      </c>
      <c r="AA5">
        <v>26932000</v>
      </c>
      <c r="AB5" t="s">
        <v>61</v>
      </c>
      <c r="AC5" t="s">
        <v>65</v>
      </c>
      <c r="AD5">
        <v>-2.0299999713897701</v>
      </c>
      <c r="AE5">
        <v>14.154290199279799</v>
      </c>
      <c r="AF5">
        <v>13.789225894305799</v>
      </c>
      <c r="AG5">
        <v>26876000</v>
      </c>
      <c r="AH5">
        <v>36.529273986816399</v>
      </c>
      <c r="AI5">
        <v>2.5740520954132098</v>
      </c>
    </row>
    <row r="6" spans="1:35">
      <c r="A6">
        <f t="shared" si="0"/>
        <v>1</v>
      </c>
      <c r="B6">
        <f t="shared" si="1"/>
        <v>1</v>
      </c>
      <c r="C6">
        <f t="shared" si="2"/>
        <v>0</v>
      </c>
      <c r="D6">
        <f t="shared" si="3"/>
        <v>0</v>
      </c>
      <c r="E6">
        <f t="shared" si="4"/>
        <v>0</v>
      </c>
      <c r="F6">
        <f t="shared" si="5"/>
        <v>0</v>
      </c>
      <c r="G6">
        <f t="shared" si="6"/>
        <v>0</v>
      </c>
      <c r="H6">
        <v>0</v>
      </c>
      <c r="I6">
        <f t="shared" si="7"/>
        <v>0</v>
      </c>
      <c r="J6">
        <v>0</v>
      </c>
      <c r="K6" t="s">
        <v>69</v>
      </c>
      <c r="L6" t="s">
        <v>70</v>
      </c>
      <c r="M6" t="s">
        <v>27</v>
      </c>
      <c r="N6" t="s">
        <v>27</v>
      </c>
      <c r="O6">
        <v>5.53</v>
      </c>
      <c r="P6" t="s">
        <v>27</v>
      </c>
      <c r="Q6" t="s">
        <v>27</v>
      </c>
      <c r="R6">
        <v>23.829999923706101</v>
      </c>
      <c r="S6">
        <v>42</v>
      </c>
      <c r="T6">
        <v>0.124090000987053</v>
      </c>
      <c r="U6" t="s">
        <v>27</v>
      </c>
      <c r="V6">
        <v>-36358000</v>
      </c>
      <c r="W6">
        <v>-23.731050491333001</v>
      </c>
      <c r="X6">
        <v>1.9999999552965199E-2</v>
      </c>
      <c r="Y6">
        <v>-9.5900997519493103E-2</v>
      </c>
      <c r="Z6">
        <v>-2.5110130310058598</v>
      </c>
      <c r="AA6">
        <v>81607000</v>
      </c>
      <c r="AB6" t="s">
        <v>27</v>
      </c>
      <c r="AC6" t="s">
        <v>27</v>
      </c>
      <c r="AD6">
        <v>-0.259999990463257</v>
      </c>
      <c r="AE6" t="s">
        <v>27</v>
      </c>
      <c r="AF6" t="s">
        <v>27</v>
      </c>
      <c r="AG6">
        <v>86181000</v>
      </c>
      <c r="AH6">
        <v>0</v>
      </c>
      <c r="AI6">
        <v>-1.6203199625015301</v>
      </c>
    </row>
    <row r="7" spans="1:35">
      <c r="A7">
        <f t="shared" si="0"/>
        <v>1</v>
      </c>
      <c r="B7">
        <f t="shared" si="1"/>
        <v>0</v>
      </c>
      <c r="C7">
        <f t="shared" si="2"/>
        <v>0</v>
      </c>
      <c r="D7">
        <f t="shared" si="3"/>
        <v>1</v>
      </c>
      <c r="E7">
        <f t="shared" si="4"/>
        <v>0</v>
      </c>
      <c r="F7">
        <f t="shared" si="5"/>
        <v>0</v>
      </c>
      <c r="G7">
        <f t="shared" si="6"/>
        <v>1</v>
      </c>
      <c r="H7">
        <v>0</v>
      </c>
      <c r="I7">
        <f t="shared" si="7"/>
        <v>0</v>
      </c>
      <c r="J7">
        <v>0</v>
      </c>
      <c r="K7" t="s">
        <v>71</v>
      </c>
      <c r="L7" t="s">
        <v>72</v>
      </c>
      <c r="M7" t="s">
        <v>27</v>
      </c>
      <c r="N7" t="s">
        <v>27</v>
      </c>
      <c r="O7">
        <v>5</v>
      </c>
      <c r="P7" t="s">
        <v>27</v>
      </c>
      <c r="Q7" t="s">
        <v>27</v>
      </c>
      <c r="R7">
        <v>14.8500003814697</v>
      </c>
      <c r="S7">
        <v>22.5625</v>
      </c>
      <c r="T7">
        <v>0.19307400286197701</v>
      </c>
      <c r="U7">
        <v>72.739593505859403</v>
      </c>
      <c r="V7">
        <v>-4619000</v>
      </c>
      <c r="W7">
        <v>-13.508991241455099</v>
      </c>
      <c r="X7">
        <v>-0.46500000357627902</v>
      </c>
      <c r="Y7">
        <v>-2.70091700553894</v>
      </c>
      <c r="Z7">
        <v>-5.1516890525817898</v>
      </c>
      <c r="AA7">
        <v>20622000</v>
      </c>
      <c r="AB7" t="s">
        <v>73</v>
      </c>
      <c r="AC7" t="s">
        <v>74</v>
      </c>
      <c r="AD7">
        <v>-0.270000010728836</v>
      </c>
      <c r="AE7">
        <v>73.578834533691406</v>
      </c>
      <c r="AF7" t="s">
        <v>27</v>
      </c>
      <c r="AG7">
        <v>20897910</v>
      </c>
      <c r="AH7">
        <v>7.4423998594284099E-2</v>
      </c>
      <c r="AI7">
        <v>-16.321311950683601</v>
      </c>
    </row>
    <row r="8" spans="1:35">
      <c r="A8">
        <f t="shared" si="0"/>
        <v>1</v>
      </c>
      <c r="B8">
        <f t="shared" si="1"/>
        <v>1</v>
      </c>
      <c r="C8">
        <f t="shared" si="2"/>
        <v>0</v>
      </c>
      <c r="D8">
        <f t="shared" si="3"/>
        <v>1</v>
      </c>
      <c r="E8">
        <f t="shared" si="4"/>
        <v>0</v>
      </c>
      <c r="F8">
        <f t="shared" si="5"/>
        <v>1</v>
      </c>
      <c r="G8">
        <f t="shared" si="6"/>
        <v>0</v>
      </c>
      <c r="H8">
        <v>0</v>
      </c>
      <c r="I8">
        <f t="shared" si="7"/>
        <v>0</v>
      </c>
      <c r="J8">
        <v>0</v>
      </c>
      <c r="K8" t="s">
        <v>85</v>
      </c>
      <c r="L8" t="s">
        <v>86</v>
      </c>
      <c r="M8" t="s">
        <v>27</v>
      </c>
      <c r="N8" t="s">
        <v>27</v>
      </c>
      <c r="O8">
        <v>0.54</v>
      </c>
      <c r="P8" t="s">
        <v>27</v>
      </c>
      <c r="Q8" t="s">
        <v>27</v>
      </c>
      <c r="R8">
        <v>4.4000000953674299</v>
      </c>
      <c r="S8">
        <v>1.46875</v>
      </c>
      <c r="T8">
        <v>69.534378051757798</v>
      </c>
      <c r="U8">
        <v>66.604202270507798</v>
      </c>
      <c r="V8">
        <v>-12506000</v>
      </c>
      <c r="W8">
        <v>-85.035087585449205</v>
      </c>
      <c r="X8">
        <v>0.18999999761581399</v>
      </c>
      <c r="Y8">
        <v>-213.714279174805</v>
      </c>
      <c r="Z8">
        <v>4.5703840255737296</v>
      </c>
      <c r="AA8">
        <v>56722000</v>
      </c>
      <c r="AB8" t="s">
        <v>27</v>
      </c>
      <c r="AC8" t="s">
        <v>27</v>
      </c>
      <c r="AD8">
        <v>0.21999999880790699</v>
      </c>
      <c r="AE8">
        <v>63.940700531005902</v>
      </c>
      <c r="AF8">
        <v>14.5068445019098</v>
      </c>
      <c r="AG8">
        <v>78425000</v>
      </c>
      <c r="AH8">
        <v>49.5451850891113</v>
      </c>
      <c r="AI8">
        <v>18.141096115112301</v>
      </c>
    </row>
    <row r="9" spans="1:35">
      <c r="A9">
        <f t="shared" si="0"/>
        <v>0</v>
      </c>
      <c r="B9">
        <f t="shared" si="1"/>
        <v>0</v>
      </c>
      <c r="C9">
        <f t="shared" si="2"/>
        <v>0</v>
      </c>
      <c r="D9">
        <f t="shared" si="3"/>
        <v>0</v>
      </c>
      <c r="E9">
        <f t="shared" si="4"/>
        <v>0</v>
      </c>
      <c r="F9">
        <f t="shared" si="5"/>
        <v>0</v>
      </c>
      <c r="G9">
        <f t="shared" si="6"/>
        <v>1</v>
      </c>
      <c r="H9">
        <v>0</v>
      </c>
      <c r="I9">
        <f t="shared" si="7"/>
        <v>0</v>
      </c>
      <c r="J9">
        <v>0</v>
      </c>
      <c r="K9" t="s">
        <v>87</v>
      </c>
      <c r="L9" t="s">
        <v>88</v>
      </c>
      <c r="M9" t="s">
        <v>27</v>
      </c>
      <c r="N9" t="s">
        <v>27</v>
      </c>
      <c r="O9">
        <v>6.75</v>
      </c>
      <c r="P9">
        <v>0.43256500363349898</v>
      </c>
      <c r="Q9" t="s">
        <v>27</v>
      </c>
      <c r="R9">
        <v>10.7399997711182</v>
      </c>
      <c r="S9">
        <v>11.4375</v>
      </c>
      <c r="T9">
        <v>5.7331171035766602</v>
      </c>
      <c r="U9">
        <v>62.413429260253899</v>
      </c>
      <c r="V9">
        <v>-1865000</v>
      </c>
      <c r="W9">
        <v>0.64000999927520796</v>
      </c>
      <c r="X9">
        <v>2.9999999329447701E-2</v>
      </c>
      <c r="Y9">
        <v>1.9692310094833401</v>
      </c>
      <c r="Z9">
        <v>-23.7261142730713</v>
      </c>
      <c r="AA9">
        <v>31625000</v>
      </c>
      <c r="AB9" t="s">
        <v>38</v>
      </c>
      <c r="AC9" t="s">
        <v>89</v>
      </c>
      <c r="AD9">
        <v>-0.91000002622604403</v>
      </c>
      <c r="AE9">
        <v>64.058853149414105</v>
      </c>
      <c r="AF9" t="s">
        <v>27</v>
      </c>
      <c r="AG9">
        <v>35191000</v>
      </c>
      <c r="AH9">
        <v>25.417852401733398</v>
      </c>
      <c r="AI9">
        <v>-26.574504852294901</v>
      </c>
    </row>
    <row r="10" spans="1:35">
      <c r="A10">
        <f t="shared" si="0"/>
        <v>0</v>
      </c>
      <c r="B10">
        <f t="shared" si="1"/>
        <v>0</v>
      </c>
      <c r="C10">
        <f t="shared" si="2"/>
        <v>1</v>
      </c>
      <c r="D10">
        <f t="shared" si="3"/>
        <v>0</v>
      </c>
      <c r="E10">
        <f t="shared" si="4"/>
        <v>0</v>
      </c>
      <c r="F10">
        <f t="shared" si="5"/>
        <v>1</v>
      </c>
      <c r="G10">
        <f t="shared" si="6"/>
        <v>0</v>
      </c>
      <c r="H10">
        <v>0</v>
      </c>
      <c r="I10">
        <f t="shared" si="7"/>
        <v>1</v>
      </c>
      <c r="J10">
        <v>0</v>
      </c>
      <c r="K10" t="s">
        <v>90</v>
      </c>
      <c r="L10" t="s">
        <v>91</v>
      </c>
      <c r="M10" t="s">
        <v>27</v>
      </c>
      <c r="N10" t="s">
        <v>27</v>
      </c>
      <c r="O10">
        <v>7.55</v>
      </c>
      <c r="P10" t="s">
        <v>27</v>
      </c>
      <c r="Q10" t="s">
        <v>27</v>
      </c>
      <c r="R10">
        <v>6.75</v>
      </c>
      <c r="S10">
        <v>11.875</v>
      </c>
      <c r="T10">
        <v>53.244148254394503</v>
      </c>
      <c r="U10">
        <v>26.829832077026399</v>
      </c>
      <c r="V10">
        <v>1249000.125</v>
      </c>
      <c r="W10" t="s">
        <v>27</v>
      </c>
      <c r="X10" t="s">
        <v>27</v>
      </c>
      <c r="Y10" t="s">
        <v>27</v>
      </c>
      <c r="Z10" t="s">
        <v>27</v>
      </c>
      <c r="AA10" t="s">
        <v>27</v>
      </c>
      <c r="AB10" t="s">
        <v>30</v>
      </c>
      <c r="AC10" t="s">
        <v>92</v>
      </c>
      <c r="AD10">
        <v>-0.31999999284744302</v>
      </c>
      <c r="AE10">
        <v>26.240564346313501</v>
      </c>
      <c r="AF10" t="s">
        <v>27</v>
      </c>
      <c r="AG10">
        <v>16750000</v>
      </c>
      <c r="AH10">
        <v>59.895851135253899</v>
      </c>
      <c r="AI10" t="s">
        <v>27</v>
      </c>
    </row>
    <row r="11" spans="1:35">
      <c r="A11">
        <f t="shared" si="0"/>
        <v>0</v>
      </c>
      <c r="B11">
        <f t="shared" si="1"/>
        <v>0</v>
      </c>
      <c r="C11">
        <f t="shared" si="2"/>
        <v>1</v>
      </c>
      <c r="D11">
        <f t="shared" si="3"/>
        <v>0</v>
      </c>
      <c r="E11">
        <f t="shared" si="4"/>
        <v>0</v>
      </c>
      <c r="F11">
        <f t="shared" si="5"/>
        <v>0</v>
      </c>
      <c r="G11">
        <f t="shared" si="6"/>
        <v>1</v>
      </c>
      <c r="H11">
        <v>0</v>
      </c>
      <c r="I11">
        <f t="shared" si="7"/>
        <v>0</v>
      </c>
      <c r="J11">
        <v>0</v>
      </c>
      <c r="K11" t="s">
        <v>95</v>
      </c>
      <c r="L11" t="s">
        <v>96</v>
      </c>
      <c r="M11" t="s">
        <v>27</v>
      </c>
      <c r="N11" t="s">
        <v>27</v>
      </c>
      <c r="O11">
        <v>0.15</v>
      </c>
      <c r="P11" t="s">
        <v>27</v>
      </c>
      <c r="Q11" t="s">
        <v>27</v>
      </c>
      <c r="R11">
        <v>2.4300000667571999</v>
      </c>
      <c r="S11">
        <v>21</v>
      </c>
      <c r="T11">
        <v>81.334457397460895</v>
      </c>
      <c r="U11">
        <v>51.040374755859403</v>
      </c>
      <c r="V11">
        <v>37755000</v>
      </c>
      <c r="W11">
        <v>1.5760040283203101</v>
      </c>
      <c r="X11">
        <v>-0.270000010728836</v>
      </c>
      <c r="Y11">
        <v>0.23045299947261799</v>
      </c>
      <c r="Z11">
        <v>-11.3207540512085</v>
      </c>
      <c r="AA11">
        <v>190170000</v>
      </c>
      <c r="AB11" t="s">
        <v>27</v>
      </c>
      <c r="AC11" t="s">
        <v>27</v>
      </c>
      <c r="AD11">
        <v>-0.769999980926514</v>
      </c>
      <c r="AE11">
        <v>54.679733276367202</v>
      </c>
      <c r="AF11" t="s">
        <v>27</v>
      </c>
      <c r="AG11">
        <v>192106000</v>
      </c>
      <c r="AH11">
        <v>86.735008239746094</v>
      </c>
      <c r="AI11">
        <v>-19.113958358764599</v>
      </c>
    </row>
    <row r="12" spans="1:35">
      <c r="A12">
        <f t="shared" si="0"/>
        <v>1</v>
      </c>
      <c r="B12">
        <f t="shared" si="1"/>
        <v>1</v>
      </c>
      <c r="C12">
        <f t="shared" si="2"/>
        <v>1</v>
      </c>
      <c r="D12">
        <f t="shared" si="3"/>
        <v>1</v>
      </c>
      <c r="E12">
        <f t="shared" si="4"/>
        <v>0</v>
      </c>
      <c r="F12">
        <f t="shared" si="5"/>
        <v>1</v>
      </c>
      <c r="G12">
        <f t="shared" si="6"/>
        <v>1</v>
      </c>
      <c r="H12">
        <v>0</v>
      </c>
      <c r="I12">
        <f t="shared" si="7"/>
        <v>0</v>
      </c>
      <c r="J12">
        <v>0</v>
      </c>
      <c r="K12" t="s">
        <v>97</v>
      </c>
      <c r="L12" t="s">
        <v>98</v>
      </c>
      <c r="M12" t="s">
        <v>27</v>
      </c>
      <c r="N12" t="s">
        <v>27</v>
      </c>
      <c r="O12">
        <v>17.62</v>
      </c>
      <c r="P12" t="s">
        <v>27</v>
      </c>
      <c r="Q12" t="s">
        <v>27</v>
      </c>
      <c r="R12">
        <v>40.150001525878899</v>
      </c>
      <c r="S12">
        <v>5.5625</v>
      </c>
      <c r="T12">
        <v>42.7005615234375</v>
      </c>
      <c r="U12">
        <v>-7.1926088333129901</v>
      </c>
      <c r="V12">
        <v>29543000</v>
      </c>
      <c r="W12">
        <v>-19.6351318359375</v>
      </c>
      <c r="X12">
        <v>-1.7300000190734901</v>
      </c>
      <c r="Y12">
        <v>-20.654544830322301</v>
      </c>
      <c r="Z12">
        <v>7.2487640380859402</v>
      </c>
      <c r="AA12">
        <v>16372000</v>
      </c>
      <c r="AB12" t="s">
        <v>27</v>
      </c>
      <c r="AC12" t="s">
        <v>27</v>
      </c>
      <c r="AD12">
        <v>0.769999980926514</v>
      </c>
      <c r="AE12">
        <v>36.214546203613303</v>
      </c>
      <c r="AF12">
        <v>2.8907413182116999</v>
      </c>
      <c r="AG12">
        <v>17170000</v>
      </c>
      <c r="AH12">
        <v>20.584112167358398</v>
      </c>
      <c r="AI12">
        <v>11.941593170166</v>
      </c>
    </row>
    <row r="13" spans="1:35">
      <c r="A13">
        <f t="shared" si="0"/>
        <v>0</v>
      </c>
      <c r="B13">
        <f t="shared" si="1"/>
        <v>0</v>
      </c>
      <c r="C13">
        <f t="shared" si="2"/>
        <v>1</v>
      </c>
      <c r="D13">
        <f t="shared" si="3"/>
        <v>1</v>
      </c>
      <c r="E13">
        <f t="shared" si="4"/>
        <v>0</v>
      </c>
      <c r="F13">
        <f t="shared" si="5"/>
        <v>1</v>
      </c>
      <c r="G13">
        <f t="shared" si="6"/>
        <v>0</v>
      </c>
      <c r="H13">
        <v>0</v>
      </c>
      <c r="I13">
        <f t="shared" si="7"/>
        <v>0</v>
      </c>
      <c r="J13">
        <v>0</v>
      </c>
      <c r="K13" t="s">
        <v>102</v>
      </c>
      <c r="L13" t="s">
        <v>103</v>
      </c>
      <c r="M13" t="s">
        <v>27</v>
      </c>
      <c r="N13" t="s">
        <v>27</v>
      </c>
      <c r="O13">
        <v>2.25</v>
      </c>
      <c r="P13" t="s">
        <v>27</v>
      </c>
      <c r="Q13" t="s">
        <v>27</v>
      </c>
      <c r="R13">
        <v>6.5999999046325701</v>
      </c>
      <c r="S13">
        <v>22.984375</v>
      </c>
      <c r="T13">
        <v>0</v>
      </c>
      <c r="U13">
        <v>85.843452453613295</v>
      </c>
      <c r="V13">
        <v>6943000</v>
      </c>
      <c r="W13" t="s">
        <v>27</v>
      </c>
      <c r="X13">
        <v>1.9999999552965199E-2</v>
      </c>
      <c r="Y13" t="s">
        <v>27</v>
      </c>
      <c r="Z13" t="s">
        <v>27</v>
      </c>
      <c r="AA13">
        <v>55476000</v>
      </c>
      <c r="AB13" t="s">
        <v>38</v>
      </c>
      <c r="AC13" t="s">
        <v>89</v>
      </c>
      <c r="AD13">
        <v>3.9999999105930301E-2</v>
      </c>
      <c r="AE13">
        <v>78.923744201660199</v>
      </c>
      <c r="AF13" t="s">
        <v>27</v>
      </c>
      <c r="AG13">
        <v>57893000</v>
      </c>
      <c r="AH13">
        <v>2.0676960945129399</v>
      </c>
      <c r="AI13" t="s">
        <v>27</v>
      </c>
    </row>
    <row r="14" spans="1:35">
      <c r="A14">
        <f t="shared" si="0"/>
        <v>1</v>
      </c>
      <c r="B14">
        <f t="shared" si="1"/>
        <v>0</v>
      </c>
      <c r="C14">
        <f t="shared" si="2"/>
        <v>1</v>
      </c>
      <c r="D14">
        <f t="shared" si="3"/>
        <v>0</v>
      </c>
      <c r="E14">
        <f t="shared" si="4"/>
        <v>0</v>
      </c>
      <c r="F14">
        <f t="shared" si="5"/>
        <v>1</v>
      </c>
      <c r="G14">
        <f t="shared" si="6"/>
        <v>0</v>
      </c>
      <c r="H14">
        <v>0</v>
      </c>
      <c r="I14">
        <f t="shared" si="7"/>
        <v>0</v>
      </c>
      <c r="J14">
        <v>0</v>
      </c>
      <c r="K14" t="s">
        <v>104</v>
      </c>
      <c r="L14" t="s">
        <v>105</v>
      </c>
      <c r="M14" t="s">
        <v>27</v>
      </c>
      <c r="N14" t="s">
        <v>27</v>
      </c>
      <c r="O14">
        <v>13.25</v>
      </c>
      <c r="P14" t="s">
        <v>27</v>
      </c>
      <c r="Q14" t="s">
        <v>27</v>
      </c>
      <c r="R14">
        <v>13.050000190734901</v>
      </c>
      <c r="S14" t="s">
        <v>27</v>
      </c>
      <c r="T14" t="s">
        <v>27</v>
      </c>
      <c r="U14" t="s">
        <v>27</v>
      </c>
      <c r="V14">
        <v>14569000</v>
      </c>
      <c r="W14" t="s">
        <v>27</v>
      </c>
      <c r="X14" t="s">
        <v>27</v>
      </c>
      <c r="Y14" t="s">
        <v>27</v>
      </c>
      <c r="Z14" t="s">
        <v>27</v>
      </c>
      <c r="AA14" t="s">
        <v>27</v>
      </c>
      <c r="AB14" t="s">
        <v>61</v>
      </c>
      <c r="AC14" t="s">
        <v>106</v>
      </c>
      <c r="AD14">
        <v>0.28000000119209301</v>
      </c>
      <c r="AE14">
        <v>40.795864105224602</v>
      </c>
      <c r="AF14">
        <v>6.5716491465269602</v>
      </c>
      <c r="AG14">
        <v>41311000</v>
      </c>
      <c r="AH14">
        <v>47.252445220947301</v>
      </c>
      <c r="AI14">
        <v>2.9419760704040501</v>
      </c>
    </row>
    <row r="15" spans="1:35">
      <c r="A15">
        <f t="shared" si="0"/>
        <v>0</v>
      </c>
      <c r="B15">
        <f t="shared" si="1"/>
        <v>1</v>
      </c>
      <c r="C15">
        <f t="shared" si="2"/>
        <v>1</v>
      </c>
      <c r="D15">
        <f t="shared" si="3"/>
        <v>0</v>
      </c>
      <c r="E15">
        <f t="shared" si="4"/>
        <v>0</v>
      </c>
      <c r="F15">
        <f t="shared" si="5"/>
        <v>1</v>
      </c>
      <c r="G15">
        <f t="shared" si="6"/>
        <v>0</v>
      </c>
      <c r="H15">
        <v>0</v>
      </c>
      <c r="I15">
        <f t="shared" si="7"/>
        <v>0</v>
      </c>
      <c r="J15">
        <v>0</v>
      </c>
      <c r="K15" t="s">
        <v>107</v>
      </c>
      <c r="L15" t="s">
        <v>108</v>
      </c>
      <c r="M15" t="s">
        <v>27</v>
      </c>
      <c r="N15" t="s">
        <v>27</v>
      </c>
      <c r="O15">
        <v>6.02</v>
      </c>
      <c r="P15" t="s">
        <v>27</v>
      </c>
      <c r="Q15" t="s">
        <v>27</v>
      </c>
      <c r="R15">
        <v>10.2700004577637</v>
      </c>
      <c r="S15">
        <v>16.25</v>
      </c>
      <c r="T15">
        <v>8.6675214767456108</v>
      </c>
      <c r="U15">
        <v>49.448692321777301</v>
      </c>
      <c r="V15">
        <v>147000.078125</v>
      </c>
      <c r="W15">
        <v>-14.2836198806763</v>
      </c>
      <c r="X15">
        <v>9.9999997764825804E-3</v>
      </c>
      <c r="Y15">
        <v>-3.41258692741394</v>
      </c>
      <c r="Z15">
        <v>-1.0526319742202801</v>
      </c>
      <c r="AA15">
        <v>13507000</v>
      </c>
      <c r="AB15" t="s">
        <v>27</v>
      </c>
      <c r="AC15" t="s">
        <v>27</v>
      </c>
      <c r="AD15">
        <v>-1.0700000524520901</v>
      </c>
      <c r="AE15">
        <v>37.339115142822301</v>
      </c>
      <c r="AF15" t="s">
        <v>27</v>
      </c>
      <c r="AG15">
        <v>13624000</v>
      </c>
      <c r="AH15">
        <v>9.1632022857665998</v>
      </c>
      <c r="AI15">
        <v>0.363406002521515</v>
      </c>
    </row>
    <row r="16" spans="1:35">
      <c r="A16">
        <f t="shared" si="0"/>
        <v>1</v>
      </c>
      <c r="B16">
        <f t="shared" si="1"/>
        <v>1</v>
      </c>
      <c r="C16">
        <f t="shared" si="2"/>
        <v>0</v>
      </c>
      <c r="D16">
        <f t="shared" si="3"/>
        <v>0</v>
      </c>
      <c r="E16">
        <f t="shared" si="4"/>
        <v>0</v>
      </c>
      <c r="F16">
        <f t="shared" si="5"/>
        <v>0</v>
      </c>
      <c r="G16">
        <f t="shared" si="6"/>
        <v>0</v>
      </c>
      <c r="H16">
        <v>0</v>
      </c>
      <c r="I16">
        <f t="shared" si="7"/>
        <v>0</v>
      </c>
      <c r="J16">
        <v>0</v>
      </c>
      <c r="K16" t="s">
        <v>109</v>
      </c>
      <c r="L16" t="s">
        <v>110</v>
      </c>
      <c r="M16" t="s">
        <v>27</v>
      </c>
      <c r="N16" t="s">
        <v>27</v>
      </c>
      <c r="O16">
        <v>13.06</v>
      </c>
      <c r="P16" t="s">
        <v>27</v>
      </c>
      <c r="Q16" t="s">
        <v>27</v>
      </c>
      <c r="R16">
        <v>14.050000190734901</v>
      </c>
      <c r="S16">
        <v>21.375</v>
      </c>
      <c r="T16" t="s">
        <v>27</v>
      </c>
      <c r="U16" t="s">
        <v>27</v>
      </c>
      <c r="V16">
        <v>-9869000</v>
      </c>
      <c r="W16">
        <v>-112.242538452148</v>
      </c>
      <c r="X16" t="s">
        <v>27</v>
      </c>
      <c r="Y16" t="s">
        <v>27</v>
      </c>
      <c r="Z16" t="s">
        <v>27</v>
      </c>
      <c r="AA16" t="s">
        <v>27</v>
      </c>
      <c r="AB16" t="s">
        <v>27</v>
      </c>
      <c r="AC16" t="s">
        <v>27</v>
      </c>
      <c r="AD16">
        <v>-0.44999998807907099</v>
      </c>
      <c r="AE16" t="s">
        <v>27</v>
      </c>
      <c r="AF16" t="s">
        <v>27</v>
      </c>
      <c r="AG16">
        <v>31079774</v>
      </c>
      <c r="AH16">
        <v>0.214976996183395</v>
      </c>
      <c r="AI16">
        <v>-29.941917419433601</v>
      </c>
    </row>
    <row r="17" spans="1:35">
      <c r="A17">
        <f t="shared" si="0"/>
        <v>1</v>
      </c>
      <c r="B17">
        <f t="shared" si="1"/>
        <v>0</v>
      </c>
      <c r="C17">
        <f t="shared" si="2"/>
        <v>0</v>
      </c>
      <c r="D17">
        <f t="shared" si="3"/>
        <v>0</v>
      </c>
      <c r="E17">
        <f t="shared" si="4"/>
        <v>0</v>
      </c>
      <c r="F17">
        <f t="shared" si="5"/>
        <v>0</v>
      </c>
      <c r="G17">
        <f t="shared" si="6"/>
        <v>0</v>
      </c>
      <c r="H17">
        <v>0</v>
      </c>
      <c r="I17">
        <f t="shared" si="7"/>
        <v>0</v>
      </c>
      <c r="J17">
        <v>0</v>
      </c>
      <c r="K17" t="s">
        <v>114</v>
      </c>
      <c r="L17" t="s">
        <v>115</v>
      </c>
      <c r="M17" t="s">
        <v>27</v>
      </c>
      <c r="N17" t="s">
        <v>27</v>
      </c>
      <c r="O17">
        <v>6.85</v>
      </c>
      <c r="P17" t="s">
        <v>27</v>
      </c>
      <c r="Q17" t="s">
        <v>27</v>
      </c>
      <c r="R17">
        <v>16.75</v>
      </c>
      <c r="S17">
        <v>23.375</v>
      </c>
      <c r="T17">
        <v>1.64836096763611</v>
      </c>
      <c r="U17">
        <v>38.2340698242188</v>
      </c>
      <c r="V17">
        <v>-293000.21875</v>
      </c>
      <c r="W17">
        <v>22.3989372253418</v>
      </c>
      <c r="X17">
        <v>0.28000000119209301</v>
      </c>
      <c r="Y17">
        <v>4</v>
      </c>
      <c r="Z17">
        <v>1.9410979747772199</v>
      </c>
      <c r="AA17">
        <v>59028292</v>
      </c>
      <c r="AB17" t="s">
        <v>27</v>
      </c>
      <c r="AC17" t="s">
        <v>27</v>
      </c>
      <c r="AD17">
        <v>-9.00000035762787E-2</v>
      </c>
      <c r="AE17">
        <v>27.2455024719238</v>
      </c>
      <c r="AF17" t="s">
        <v>27</v>
      </c>
      <c r="AG17">
        <v>61934276</v>
      </c>
      <c r="AH17">
        <v>1.29428899288177</v>
      </c>
      <c r="AI17">
        <v>-2.71269607543945</v>
      </c>
    </row>
    <row r="18" spans="1:35">
      <c r="A18">
        <f t="shared" si="0"/>
        <v>0</v>
      </c>
      <c r="B18">
        <f t="shared" si="1"/>
        <v>1</v>
      </c>
      <c r="C18">
        <f t="shared" si="2"/>
        <v>0</v>
      </c>
      <c r="D18">
        <f t="shared" si="3"/>
        <v>0</v>
      </c>
      <c r="E18">
        <f t="shared" si="4"/>
        <v>0</v>
      </c>
      <c r="F18">
        <f t="shared" si="5"/>
        <v>1</v>
      </c>
      <c r="G18">
        <f t="shared" si="6"/>
        <v>0</v>
      </c>
      <c r="H18">
        <v>0</v>
      </c>
      <c r="I18">
        <f t="shared" si="7"/>
        <v>0</v>
      </c>
      <c r="J18">
        <v>0</v>
      </c>
      <c r="K18" t="s">
        <v>116</v>
      </c>
      <c r="L18" t="s">
        <v>117</v>
      </c>
      <c r="M18" t="s">
        <v>27</v>
      </c>
      <c r="N18" t="s">
        <v>27</v>
      </c>
      <c r="O18">
        <v>10.6</v>
      </c>
      <c r="P18" t="s">
        <v>27</v>
      </c>
      <c r="Q18" t="s">
        <v>27</v>
      </c>
      <c r="R18">
        <v>25.700000762939499</v>
      </c>
      <c r="S18">
        <v>30.6875</v>
      </c>
      <c r="T18">
        <v>35.555534362792997</v>
      </c>
      <c r="U18">
        <v>48.615509033203097</v>
      </c>
      <c r="V18">
        <v>-6325000</v>
      </c>
      <c r="W18">
        <v>8.9413499832153303</v>
      </c>
      <c r="X18">
        <v>0.519999980926514</v>
      </c>
      <c r="Y18">
        <v>4.6666669845581099</v>
      </c>
      <c r="Z18">
        <v>2.2248950004577601</v>
      </c>
      <c r="AA18">
        <v>31516000</v>
      </c>
      <c r="AB18" t="s">
        <v>38</v>
      </c>
      <c r="AC18" t="s">
        <v>118</v>
      </c>
      <c r="AD18">
        <v>-0.239999994635582</v>
      </c>
      <c r="AE18">
        <v>28.5005912780762</v>
      </c>
      <c r="AF18" t="s">
        <v>27</v>
      </c>
      <c r="AG18">
        <v>31795000</v>
      </c>
      <c r="AH18">
        <v>44.538970947265597</v>
      </c>
      <c r="AI18">
        <v>19.6838264465332</v>
      </c>
    </row>
    <row r="19" spans="1:35">
      <c r="A19">
        <f t="shared" si="0"/>
        <v>1</v>
      </c>
      <c r="B19">
        <f t="shared" si="1"/>
        <v>0</v>
      </c>
      <c r="C19">
        <f t="shared" si="2"/>
        <v>1</v>
      </c>
      <c r="D19">
        <f t="shared" si="3"/>
        <v>0</v>
      </c>
      <c r="E19">
        <f t="shared" si="4"/>
        <v>0</v>
      </c>
      <c r="F19">
        <f t="shared" si="5"/>
        <v>0</v>
      </c>
      <c r="G19">
        <f t="shared" si="6"/>
        <v>0</v>
      </c>
      <c r="H19">
        <v>0</v>
      </c>
      <c r="I19">
        <f t="shared" si="7"/>
        <v>0</v>
      </c>
      <c r="J19">
        <v>0</v>
      </c>
      <c r="K19" t="s">
        <v>125</v>
      </c>
      <c r="L19" t="s">
        <v>126</v>
      </c>
      <c r="M19" t="s">
        <v>27</v>
      </c>
      <c r="N19" t="s">
        <v>27</v>
      </c>
      <c r="O19">
        <v>8.76</v>
      </c>
      <c r="P19" t="s">
        <v>27</v>
      </c>
      <c r="Q19" t="s">
        <v>27</v>
      </c>
      <c r="R19">
        <v>8.3586874008178693</v>
      </c>
      <c r="S19">
        <v>11.875</v>
      </c>
      <c r="T19">
        <v>24.554500579833999</v>
      </c>
      <c r="U19" t="s">
        <v>27</v>
      </c>
      <c r="V19">
        <v>16814000</v>
      </c>
      <c r="W19">
        <v>1.3584920167923</v>
      </c>
      <c r="X19">
        <v>0.62000000476837203</v>
      </c>
      <c r="Y19">
        <v>13.389635086059601</v>
      </c>
      <c r="Z19">
        <v>14.7486028671265</v>
      </c>
      <c r="AA19">
        <v>27222000</v>
      </c>
      <c r="AB19" t="s">
        <v>27</v>
      </c>
      <c r="AC19" t="s">
        <v>27</v>
      </c>
      <c r="AD19">
        <v>-1.6100000143051101</v>
      </c>
      <c r="AE19" t="s">
        <v>27</v>
      </c>
      <c r="AF19">
        <v>3.9388007688385001</v>
      </c>
      <c r="AG19">
        <v>27024000</v>
      </c>
      <c r="AH19">
        <v>18.914659500122099</v>
      </c>
      <c r="AI19">
        <v>-4.9101610183715803</v>
      </c>
    </row>
    <row r="20" spans="1:35">
      <c r="A20">
        <f t="shared" si="0"/>
        <v>0</v>
      </c>
      <c r="B20">
        <f t="shared" si="1"/>
        <v>0</v>
      </c>
      <c r="C20">
        <f t="shared" si="2"/>
        <v>1</v>
      </c>
      <c r="D20">
        <f t="shared" si="3"/>
        <v>0</v>
      </c>
      <c r="E20">
        <f t="shared" si="4"/>
        <v>1</v>
      </c>
      <c r="F20">
        <f t="shared" si="5"/>
        <v>0</v>
      </c>
      <c r="G20">
        <f t="shared" si="6"/>
        <v>0</v>
      </c>
      <c r="H20">
        <v>0</v>
      </c>
      <c r="I20">
        <f t="shared" si="7"/>
        <v>0</v>
      </c>
      <c r="J20">
        <v>0</v>
      </c>
      <c r="K20" t="s">
        <v>127</v>
      </c>
      <c r="L20" t="s">
        <v>128</v>
      </c>
      <c r="M20" t="s">
        <v>27</v>
      </c>
      <c r="N20" t="s">
        <v>27</v>
      </c>
      <c r="O20">
        <v>29.08</v>
      </c>
      <c r="P20" t="s">
        <v>27</v>
      </c>
      <c r="Q20" t="s">
        <v>27</v>
      </c>
      <c r="R20">
        <v>32.779998779296903</v>
      </c>
      <c r="S20" t="s">
        <v>27</v>
      </c>
      <c r="T20" t="s">
        <v>27</v>
      </c>
      <c r="U20" t="s">
        <v>27</v>
      </c>
      <c r="V20" t="s">
        <v>27</v>
      </c>
      <c r="W20" t="s">
        <v>27</v>
      </c>
      <c r="X20" t="s">
        <v>27</v>
      </c>
      <c r="Y20" t="s">
        <v>27</v>
      </c>
      <c r="Z20" t="s">
        <v>27</v>
      </c>
      <c r="AA20" t="s">
        <v>27</v>
      </c>
      <c r="AB20" t="s">
        <v>61</v>
      </c>
      <c r="AC20" t="s">
        <v>80</v>
      </c>
      <c r="AD20" t="s">
        <v>27</v>
      </c>
      <c r="AE20" t="s">
        <v>27</v>
      </c>
      <c r="AF20" t="s">
        <v>27</v>
      </c>
      <c r="AG20" t="s">
        <v>27</v>
      </c>
      <c r="AH20" t="s">
        <v>27</v>
      </c>
      <c r="AI20">
        <v>-1.6993609666824301</v>
      </c>
    </row>
    <row r="21" spans="1:35">
      <c r="A21">
        <f t="shared" si="0"/>
        <v>1</v>
      </c>
      <c r="B21">
        <f t="shared" si="1"/>
        <v>0</v>
      </c>
      <c r="C21">
        <f t="shared" si="2"/>
        <v>1</v>
      </c>
      <c r="D21">
        <f t="shared" si="3"/>
        <v>1</v>
      </c>
      <c r="E21">
        <f t="shared" si="4"/>
        <v>0</v>
      </c>
      <c r="F21">
        <f t="shared" si="5"/>
        <v>0</v>
      </c>
      <c r="G21">
        <f t="shared" si="6"/>
        <v>1</v>
      </c>
      <c r="H21">
        <v>0</v>
      </c>
      <c r="I21">
        <f t="shared" si="7"/>
        <v>0</v>
      </c>
      <c r="J21">
        <v>0</v>
      </c>
      <c r="K21" t="s">
        <v>132</v>
      </c>
      <c r="L21" t="s">
        <v>133</v>
      </c>
      <c r="M21" t="s">
        <v>27</v>
      </c>
      <c r="N21" t="s">
        <v>27</v>
      </c>
      <c r="O21">
        <v>6.7</v>
      </c>
      <c r="P21" t="s">
        <v>27</v>
      </c>
      <c r="Q21" t="s">
        <v>27</v>
      </c>
      <c r="R21">
        <v>27.420000076293899</v>
      </c>
      <c r="S21">
        <v>37.625</v>
      </c>
      <c r="T21">
        <v>59.611610412597699</v>
      </c>
      <c r="U21">
        <v>19.062538146972699</v>
      </c>
      <c r="V21">
        <v>13049000</v>
      </c>
      <c r="W21">
        <v>-0.82073098421096802</v>
      </c>
      <c r="X21">
        <v>-2.9999999329447701E-2</v>
      </c>
      <c r="Y21">
        <v>-1.1594200134277299</v>
      </c>
      <c r="Z21">
        <v>0.84788000583648704</v>
      </c>
      <c r="AA21">
        <v>7540000</v>
      </c>
      <c r="AB21" t="s">
        <v>52</v>
      </c>
      <c r="AC21" t="s">
        <v>134</v>
      </c>
      <c r="AD21">
        <v>3.9999999105930301E-2</v>
      </c>
      <c r="AE21">
        <v>20.818311691284201</v>
      </c>
      <c r="AF21">
        <v>6.3898294088176399</v>
      </c>
      <c r="AG21">
        <v>7794000</v>
      </c>
      <c r="AH21">
        <v>55.883480072021499</v>
      </c>
      <c r="AI21">
        <v>-0.95940500497818004</v>
      </c>
    </row>
    <row r="22" spans="1:35">
      <c r="A22">
        <f t="shared" si="0"/>
        <v>1</v>
      </c>
      <c r="B22">
        <f t="shared" si="1"/>
        <v>0</v>
      </c>
      <c r="C22">
        <f t="shared" si="2"/>
        <v>1</v>
      </c>
      <c r="D22">
        <f t="shared" si="3"/>
        <v>0</v>
      </c>
      <c r="E22">
        <f t="shared" si="4"/>
        <v>0</v>
      </c>
      <c r="F22">
        <f t="shared" si="5"/>
        <v>1</v>
      </c>
      <c r="G22">
        <f t="shared" si="6"/>
        <v>1</v>
      </c>
      <c r="H22">
        <v>0</v>
      </c>
      <c r="I22">
        <f t="shared" si="7"/>
        <v>0</v>
      </c>
      <c r="J22">
        <v>0</v>
      </c>
      <c r="K22" t="s">
        <v>135</v>
      </c>
      <c r="L22" t="s">
        <v>136</v>
      </c>
      <c r="M22" t="s">
        <v>27</v>
      </c>
      <c r="N22" t="s">
        <v>27</v>
      </c>
      <c r="O22">
        <v>8</v>
      </c>
      <c r="P22" t="s">
        <v>27</v>
      </c>
      <c r="Q22" t="s">
        <v>27</v>
      </c>
      <c r="R22">
        <v>17.180000305175799</v>
      </c>
      <c r="S22">
        <v>26</v>
      </c>
      <c r="T22" t="s">
        <v>27</v>
      </c>
      <c r="U22">
        <v>39.176746368408203</v>
      </c>
      <c r="V22">
        <v>12427000</v>
      </c>
      <c r="W22" t="s">
        <v>27</v>
      </c>
      <c r="X22">
        <v>0.112000000476837</v>
      </c>
      <c r="Y22" t="s">
        <v>27</v>
      </c>
      <c r="Z22" t="s">
        <v>27</v>
      </c>
      <c r="AA22" t="s">
        <v>27</v>
      </c>
      <c r="AB22" t="s">
        <v>27</v>
      </c>
      <c r="AC22" t="s">
        <v>27</v>
      </c>
      <c r="AD22">
        <v>7.0000000298023196E-2</v>
      </c>
      <c r="AE22">
        <v>40.105812072753899</v>
      </c>
      <c r="AF22" t="s">
        <v>27</v>
      </c>
      <c r="AG22">
        <v>59670000</v>
      </c>
      <c r="AH22">
        <v>4.2974739074706996</v>
      </c>
      <c r="AI22" t="s">
        <v>27</v>
      </c>
    </row>
    <row r="23" spans="1:35">
      <c r="A23">
        <f t="shared" si="0"/>
        <v>0</v>
      </c>
      <c r="B23">
        <f t="shared" si="1"/>
        <v>0</v>
      </c>
      <c r="C23">
        <f t="shared" si="2"/>
        <v>0</v>
      </c>
      <c r="D23">
        <f t="shared" si="3"/>
        <v>0</v>
      </c>
      <c r="E23">
        <f t="shared" si="4"/>
        <v>0</v>
      </c>
      <c r="F23">
        <f t="shared" si="5"/>
        <v>0</v>
      </c>
      <c r="G23">
        <f t="shared" si="6"/>
        <v>0</v>
      </c>
      <c r="H23">
        <v>0</v>
      </c>
      <c r="I23">
        <f t="shared" si="7"/>
        <v>0</v>
      </c>
      <c r="J23">
        <v>0</v>
      </c>
      <c r="K23" t="s">
        <v>139</v>
      </c>
      <c r="L23" t="s">
        <v>140</v>
      </c>
      <c r="M23" t="s">
        <v>27</v>
      </c>
      <c r="N23" t="s">
        <v>27</v>
      </c>
      <c r="O23">
        <v>9.5399999999999991</v>
      </c>
      <c r="P23" t="s">
        <v>27</v>
      </c>
      <c r="Q23" t="s">
        <v>27</v>
      </c>
      <c r="R23">
        <v>13.949999809265099</v>
      </c>
      <c r="S23">
        <v>15.75</v>
      </c>
      <c r="T23">
        <v>2.1133959293365501</v>
      </c>
      <c r="U23" t="s">
        <v>27</v>
      </c>
      <c r="V23">
        <v>-11651000</v>
      </c>
      <c r="W23">
        <v>-43.862739562988303</v>
      </c>
      <c r="X23">
        <v>-0.18999999761581399</v>
      </c>
      <c r="Y23" t="s">
        <v>27</v>
      </c>
      <c r="Z23">
        <v>-12.549019813537599</v>
      </c>
      <c r="AA23">
        <v>24807580</v>
      </c>
      <c r="AB23" t="s">
        <v>73</v>
      </c>
      <c r="AC23" t="s">
        <v>141</v>
      </c>
      <c r="AD23">
        <v>-1.5299999713897701</v>
      </c>
      <c r="AE23">
        <v>86.523933410644503</v>
      </c>
      <c r="AF23" t="s">
        <v>27</v>
      </c>
      <c r="AG23">
        <v>28997000</v>
      </c>
      <c r="AH23">
        <v>6.2691740989685103</v>
      </c>
      <c r="AI23">
        <v>-50.800674438476598</v>
      </c>
    </row>
    <row r="24" spans="1:35">
      <c r="A24">
        <f t="shared" si="0"/>
        <v>1</v>
      </c>
      <c r="B24">
        <f t="shared" si="1"/>
        <v>0</v>
      </c>
      <c r="C24">
        <f t="shared" si="2"/>
        <v>0</v>
      </c>
      <c r="D24">
        <f t="shared" si="3"/>
        <v>1</v>
      </c>
      <c r="E24">
        <f t="shared" si="4"/>
        <v>0</v>
      </c>
      <c r="F24">
        <f t="shared" si="5"/>
        <v>0</v>
      </c>
      <c r="G24">
        <f t="shared" si="6"/>
        <v>0</v>
      </c>
      <c r="H24">
        <v>0</v>
      </c>
      <c r="I24">
        <f t="shared" si="7"/>
        <v>0</v>
      </c>
      <c r="J24">
        <v>0</v>
      </c>
      <c r="K24" t="s">
        <v>142</v>
      </c>
      <c r="L24" t="s">
        <v>143</v>
      </c>
      <c r="M24" t="s">
        <v>27</v>
      </c>
      <c r="N24" t="s">
        <v>27</v>
      </c>
      <c r="O24">
        <v>6.98</v>
      </c>
      <c r="P24" t="s">
        <v>27</v>
      </c>
      <c r="Q24" t="s">
        <v>27</v>
      </c>
      <c r="R24">
        <v>14.5900001525879</v>
      </c>
      <c r="S24">
        <v>49.25</v>
      </c>
      <c r="T24">
        <v>0.20192599296569799</v>
      </c>
      <c r="U24">
        <v>82.070533752441406</v>
      </c>
      <c r="V24">
        <v>-4077000</v>
      </c>
      <c r="W24">
        <v>-15.684938430786101</v>
      </c>
      <c r="X24">
        <v>-0.31000000238418601</v>
      </c>
      <c r="Y24">
        <v>-0.11940299719572101</v>
      </c>
      <c r="Z24">
        <v>-2.20588207244873</v>
      </c>
      <c r="AA24">
        <v>47008000</v>
      </c>
      <c r="AB24" t="s">
        <v>27</v>
      </c>
      <c r="AC24" t="s">
        <v>27</v>
      </c>
      <c r="AD24">
        <v>-9.00000035762787E-2</v>
      </c>
      <c r="AE24">
        <v>79.6256103515625</v>
      </c>
      <c r="AF24" t="s">
        <v>27</v>
      </c>
      <c r="AG24">
        <v>47920000</v>
      </c>
      <c r="AH24">
        <v>3.6253999918699299E-2</v>
      </c>
      <c r="AI24">
        <v>-31.8924350738525</v>
      </c>
    </row>
    <row r="25" spans="1:35">
      <c r="A25">
        <f t="shared" si="0"/>
        <v>1</v>
      </c>
      <c r="B25">
        <f t="shared" si="1"/>
        <v>0</v>
      </c>
      <c r="C25">
        <f t="shared" si="2"/>
        <v>1</v>
      </c>
      <c r="D25">
        <f t="shared" si="3"/>
        <v>1</v>
      </c>
      <c r="E25">
        <f t="shared" si="4"/>
        <v>0</v>
      </c>
      <c r="F25">
        <f t="shared" si="5"/>
        <v>1</v>
      </c>
      <c r="G25">
        <f t="shared" si="6"/>
        <v>1</v>
      </c>
      <c r="H25">
        <v>0</v>
      </c>
      <c r="I25">
        <f t="shared" si="7"/>
        <v>0</v>
      </c>
      <c r="J25">
        <v>0</v>
      </c>
      <c r="K25" t="s">
        <v>147</v>
      </c>
      <c r="L25" t="s">
        <v>148</v>
      </c>
      <c r="M25" t="s">
        <v>27</v>
      </c>
      <c r="N25" t="s">
        <v>27</v>
      </c>
      <c r="O25">
        <v>15.39</v>
      </c>
      <c r="P25">
        <v>3.83509397506714</v>
      </c>
      <c r="Q25" t="s">
        <v>27</v>
      </c>
      <c r="R25">
        <v>15.449999809265099</v>
      </c>
      <c r="S25">
        <v>13.6099996566772</v>
      </c>
      <c r="T25">
        <v>23.466810226440401</v>
      </c>
      <c r="U25">
        <v>10.128405570983899</v>
      </c>
      <c r="V25">
        <v>25779002</v>
      </c>
      <c r="W25">
        <v>5.8000640869140598</v>
      </c>
      <c r="X25">
        <v>-0.109999999403954</v>
      </c>
      <c r="Y25">
        <v>7.85276079177856</v>
      </c>
      <c r="Z25">
        <v>-9.3193721771240199</v>
      </c>
      <c r="AA25">
        <v>48035000</v>
      </c>
      <c r="AB25" t="s">
        <v>27</v>
      </c>
      <c r="AC25" t="s">
        <v>27</v>
      </c>
      <c r="AD25">
        <v>3.9999999105930301E-2</v>
      </c>
      <c r="AE25">
        <v>11.309045791626</v>
      </c>
      <c r="AF25">
        <v>3.8138105047399402</v>
      </c>
      <c r="AG25">
        <v>48104000</v>
      </c>
      <c r="AH25">
        <v>19.022161483764599</v>
      </c>
      <c r="AI25">
        <v>1.6813559532165501</v>
      </c>
    </row>
    <row r="26" spans="1:35">
      <c r="A26">
        <f t="shared" si="0"/>
        <v>0</v>
      </c>
      <c r="B26">
        <f t="shared" si="1"/>
        <v>0</v>
      </c>
      <c r="C26">
        <f t="shared" si="2"/>
        <v>0</v>
      </c>
      <c r="D26">
        <f t="shared" si="3"/>
        <v>1</v>
      </c>
      <c r="E26">
        <f t="shared" si="4"/>
        <v>0</v>
      </c>
      <c r="F26">
        <f t="shared" si="5"/>
        <v>0</v>
      </c>
      <c r="G26">
        <f t="shared" si="6"/>
        <v>1</v>
      </c>
      <c r="H26">
        <v>0</v>
      </c>
      <c r="I26">
        <f t="shared" si="7"/>
        <v>0</v>
      </c>
      <c r="J26">
        <v>0</v>
      </c>
      <c r="K26" t="s">
        <v>151</v>
      </c>
      <c r="L26" t="s">
        <v>152</v>
      </c>
      <c r="M26" t="s">
        <v>27</v>
      </c>
      <c r="N26" t="s">
        <v>27</v>
      </c>
      <c r="O26">
        <v>0.49</v>
      </c>
      <c r="P26" t="s">
        <v>27</v>
      </c>
      <c r="Q26" t="s">
        <v>27</v>
      </c>
      <c r="R26">
        <v>20.399999618530298</v>
      </c>
      <c r="S26">
        <v>45.75</v>
      </c>
      <c r="T26">
        <v>67.19775390625</v>
      </c>
      <c r="U26">
        <v>5.1753821372985804</v>
      </c>
      <c r="V26">
        <v>-14470000</v>
      </c>
      <c r="W26">
        <v>-27.742601394653299</v>
      </c>
      <c r="X26">
        <v>-2.2999999523162802</v>
      </c>
      <c r="Y26">
        <v>-14.5960998535156</v>
      </c>
      <c r="Z26">
        <v>-19.135524749755898</v>
      </c>
      <c r="AA26">
        <v>12817000</v>
      </c>
      <c r="AB26" t="s">
        <v>27</v>
      </c>
      <c r="AC26" t="s">
        <v>27</v>
      </c>
      <c r="AD26">
        <v>-1.87999999523163</v>
      </c>
      <c r="AE26">
        <v>24.0262145996094</v>
      </c>
      <c r="AF26" t="s">
        <v>27</v>
      </c>
      <c r="AG26">
        <v>13365000</v>
      </c>
      <c r="AH26">
        <v>94.774559020996094</v>
      </c>
      <c r="AI26">
        <v>-40.363082885742202</v>
      </c>
    </row>
    <row r="27" spans="1:35">
      <c r="A27">
        <f t="shared" si="0"/>
        <v>0</v>
      </c>
      <c r="B27">
        <f t="shared" si="1"/>
        <v>0</v>
      </c>
      <c r="C27">
        <f t="shared" si="2"/>
        <v>0</v>
      </c>
      <c r="D27">
        <f t="shared" si="3"/>
        <v>1</v>
      </c>
      <c r="E27">
        <f t="shared" si="4"/>
        <v>0</v>
      </c>
      <c r="F27">
        <f t="shared" si="5"/>
        <v>0</v>
      </c>
      <c r="G27">
        <f t="shared" si="6"/>
        <v>1</v>
      </c>
      <c r="H27">
        <v>0</v>
      </c>
      <c r="I27">
        <f t="shared" si="7"/>
        <v>0</v>
      </c>
      <c r="J27">
        <v>0</v>
      </c>
      <c r="K27" t="s">
        <v>155</v>
      </c>
      <c r="L27" t="s">
        <v>156</v>
      </c>
      <c r="M27" t="s">
        <v>27</v>
      </c>
      <c r="N27" t="s">
        <v>27</v>
      </c>
      <c r="O27">
        <v>1.33</v>
      </c>
      <c r="P27" t="s">
        <v>27</v>
      </c>
      <c r="Q27" t="s">
        <v>27</v>
      </c>
      <c r="R27">
        <v>4.6100001335143999</v>
      </c>
      <c r="S27">
        <v>29.0625</v>
      </c>
      <c r="T27">
        <v>10.8034782409668</v>
      </c>
      <c r="U27">
        <v>56.333904266357401</v>
      </c>
      <c r="V27">
        <v>-40860000</v>
      </c>
      <c r="W27">
        <v>-37.173133850097699</v>
      </c>
      <c r="X27">
        <v>-3.1600000858306898</v>
      </c>
      <c r="Y27">
        <v>-9.5905046463012695</v>
      </c>
      <c r="Z27">
        <v>-28.787879943847699</v>
      </c>
      <c r="AA27">
        <v>108203000</v>
      </c>
      <c r="AB27" t="s">
        <v>38</v>
      </c>
      <c r="AC27" t="s">
        <v>157</v>
      </c>
      <c r="AD27">
        <v>-0.60000002384185802</v>
      </c>
      <c r="AE27">
        <v>67.803825378417997</v>
      </c>
      <c r="AF27" t="s">
        <v>27</v>
      </c>
      <c r="AG27">
        <v>115099000</v>
      </c>
      <c r="AH27">
        <v>71.300994873046903</v>
      </c>
      <c r="AI27">
        <v>-57.3028373718262</v>
      </c>
    </row>
    <row r="28" spans="1:35">
      <c r="A28">
        <f t="shared" si="0"/>
        <v>0</v>
      </c>
      <c r="B28">
        <f t="shared" si="1"/>
        <v>0</v>
      </c>
      <c r="C28">
        <f t="shared" si="2"/>
        <v>0</v>
      </c>
      <c r="D28">
        <f t="shared" si="3"/>
        <v>0</v>
      </c>
      <c r="E28">
        <f t="shared" si="4"/>
        <v>0</v>
      </c>
      <c r="F28">
        <f t="shared" si="5"/>
        <v>0</v>
      </c>
      <c r="G28">
        <f t="shared" si="6"/>
        <v>0</v>
      </c>
      <c r="H28">
        <v>0</v>
      </c>
      <c r="I28">
        <f t="shared" si="7"/>
        <v>1</v>
      </c>
      <c r="J28">
        <v>0</v>
      </c>
      <c r="K28" t="s">
        <v>158</v>
      </c>
      <c r="L28" t="s">
        <v>159</v>
      </c>
      <c r="M28" t="s">
        <v>27</v>
      </c>
      <c r="N28" t="s">
        <v>27</v>
      </c>
      <c r="O28">
        <v>5.61</v>
      </c>
      <c r="P28" t="s">
        <v>27</v>
      </c>
      <c r="Q28" t="s">
        <v>27</v>
      </c>
      <c r="R28">
        <v>4.8600001335143999</v>
      </c>
      <c r="S28">
        <v>13.875</v>
      </c>
      <c r="T28">
        <v>0</v>
      </c>
      <c r="U28" t="s">
        <v>27</v>
      </c>
      <c r="V28">
        <v>-3403000</v>
      </c>
      <c r="W28">
        <v>-50.490470886230497</v>
      </c>
      <c r="X28">
        <v>-0.230000004172325</v>
      </c>
      <c r="Y28">
        <v>-7.3454542160034197</v>
      </c>
      <c r="Z28">
        <v>-19.801979064941399</v>
      </c>
      <c r="AA28">
        <v>18117000</v>
      </c>
      <c r="AB28" t="s">
        <v>27</v>
      </c>
      <c r="AC28" t="s">
        <v>27</v>
      </c>
      <c r="AD28">
        <v>-0.259999990463257</v>
      </c>
      <c r="AE28" t="s">
        <v>27</v>
      </c>
      <c r="AF28" t="s">
        <v>27</v>
      </c>
      <c r="AG28">
        <v>18879000</v>
      </c>
      <c r="AH28">
        <v>0</v>
      </c>
      <c r="AI28">
        <v>-76.640892028808594</v>
      </c>
    </row>
    <row r="29" spans="1:35">
      <c r="A29">
        <f t="shared" si="0"/>
        <v>1</v>
      </c>
      <c r="B29">
        <f t="shared" si="1"/>
        <v>1</v>
      </c>
      <c r="C29">
        <f t="shared" si="2"/>
        <v>0</v>
      </c>
      <c r="D29">
        <f t="shared" si="3"/>
        <v>0</v>
      </c>
      <c r="E29">
        <f t="shared" si="4"/>
        <v>0</v>
      </c>
      <c r="F29">
        <f t="shared" si="5"/>
        <v>0</v>
      </c>
      <c r="G29">
        <f t="shared" si="6"/>
        <v>1</v>
      </c>
      <c r="H29">
        <v>0</v>
      </c>
      <c r="I29">
        <f t="shared" si="7"/>
        <v>0</v>
      </c>
      <c r="J29">
        <v>0</v>
      </c>
      <c r="K29" t="s">
        <v>164</v>
      </c>
      <c r="L29" t="s">
        <v>165</v>
      </c>
      <c r="M29" t="s">
        <v>27</v>
      </c>
      <c r="N29" t="s">
        <v>27</v>
      </c>
      <c r="O29">
        <v>0.53</v>
      </c>
      <c r="P29" t="s">
        <v>27</v>
      </c>
      <c r="Q29" t="s">
        <v>27</v>
      </c>
      <c r="R29">
        <v>6.6399998664856001</v>
      </c>
      <c r="S29">
        <v>14.375</v>
      </c>
      <c r="T29">
        <v>50.409942626953097</v>
      </c>
      <c r="U29">
        <v>14.907553672790501</v>
      </c>
      <c r="V29">
        <v>-66611000</v>
      </c>
      <c r="W29">
        <v>-54.650611877441399</v>
      </c>
      <c r="X29">
        <v>-0.28000000119209301</v>
      </c>
      <c r="Y29">
        <v>-6.6100392341613796</v>
      </c>
      <c r="Z29">
        <v>-12.057762145996101</v>
      </c>
      <c r="AA29">
        <v>61355000</v>
      </c>
      <c r="AB29" t="s">
        <v>27</v>
      </c>
      <c r="AC29" t="s">
        <v>27</v>
      </c>
      <c r="AD29">
        <v>-0.40999999642372098</v>
      </c>
      <c r="AE29">
        <v>21.863468170166001</v>
      </c>
      <c r="AF29" t="s">
        <v>27</v>
      </c>
      <c r="AG29">
        <v>92065000</v>
      </c>
      <c r="AH29">
        <v>48.453075408935497</v>
      </c>
      <c r="AI29">
        <v>-28.4914360046387</v>
      </c>
    </row>
    <row r="30" spans="1:35">
      <c r="A30">
        <f t="shared" si="0"/>
        <v>0</v>
      </c>
      <c r="B30">
        <f t="shared" si="1"/>
        <v>0</v>
      </c>
      <c r="C30">
        <f t="shared" si="2"/>
        <v>0</v>
      </c>
      <c r="D30">
        <f t="shared" si="3"/>
        <v>1</v>
      </c>
      <c r="E30">
        <f t="shared" si="4"/>
        <v>0</v>
      </c>
      <c r="F30">
        <f t="shared" si="5"/>
        <v>0</v>
      </c>
      <c r="G30">
        <f t="shared" si="6"/>
        <v>0</v>
      </c>
      <c r="H30">
        <v>0</v>
      </c>
      <c r="I30">
        <f t="shared" si="7"/>
        <v>0</v>
      </c>
      <c r="J30">
        <v>0</v>
      </c>
      <c r="K30" t="s">
        <v>166</v>
      </c>
      <c r="L30" t="s">
        <v>167</v>
      </c>
      <c r="M30" t="s">
        <v>27</v>
      </c>
      <c r="N30" t="s">
        <v>27</v>
      </c>
      <c r="O30">
        <v>19.77</v>
      </c>
      <c r="P30">
        <v>2.8900630474090598</v>
      </c>
      <c r="Q30" t="s">
        <v>27</v>
      </c>
      <c r="R30">
        <v>30.659999847412099</v>
      </c>
      <c r="S30">
        <v>32.340000152587898</v>
      </c>
      <c r="T30">
        <v>20.403770446777301</v>
      </c>
      <c r="U30" t="s">
        <v>27</v>
      </c>
      <c r="V30">
        <v>-157400000</v>
      </c>
      <c r="W30">
        <v>6.8611159324645996</v>
      </c>
      <c r="X30">
        <v>0.60000002384185802</v>
      </c>
      <c r="Y30">
        <v>7.5</v>
      </c>
      <c r="Z30">
        <v>-6.2093138694763201</v>
      </c>
      <c r="AA30">
        <v>26445000</v>
      </c>
      <c r="AB30" t="s">
        <v>61</v>
      </c>
      <c r="AC30" t="s">
        <v>168</v>
      </c>
      <c r="AD30">
        <v>0.94999998807907104</v>
      </c>
      <c r="AE30">
        <v>96.360542297363295</v>
      </c>
      <c r="AF30">
        <v>8.8491497811364592</v>
      </c>
      <c r="AG30">
        <v>26528000</v>
      </c>
      <c r="AH30">
        <v>30.4153957366943</v>
      </c>
      <c r="AI30">
        <v>-2.9230160713195801</v>
      </c>
    </row>
    <row r="31" spans="1:35">
      <c r="A31">
        <f t="shared" si="0"/>
        <v>0</v>
      </c>
      <c r="B31">
        <f t="shared" si="1"/>
        <v>0</v>
      </c>
      <c r="C31">
        <f t="shared" si="2"/>
        <v>1</v>
      </c>
      <c r="D31">
        <f t="shared" si="3"/>
        <v>1</v>
      </c>
      <c r="E31">
        <f t="shared" si="4"/>
        <v>0</v>
      </c>
      <c r="F31">
        <f t="shared" si="5"/>
        <v>0</v>
      </c>
      <c r="G31">
        <f t="shared" si="6"/>
        <v>1</v>
      </c>
      <c r="H31">
        <v>0</v>
      </c>
      <c r="I31">
        <f t="shared" si="7"/>
        <v>0</v>
      </c>
      <c r="J31">
        <v>0</v>
      </c>
      <c r="K31" t="s">
        <v>169</v>
      </c>
      <c r="L31" t="s">
        <v>170</v>
      </c>
      <c r="M31" t="s">
        <v>27</v>
      </c>
      <c r="N31" t="s">
        <v>27</v>
      </c>
      <c r="O31">
        <v>2.2999999999999998</v>
      </c>
      <c r="P31" t="s">
        <v>27</v>
      </c>
      <c r="Q31" t="s">
        <v>27</v>
      </c>
      <c r="R31">
        <v>8</v>
      </c>
      <c r="S31">
        <v>6.9375</v>
      </c>
      <c r="T31">
        <v>65.088432312011705</v>
      </c>
      <c r="U31">
        <v>30.964656829833999</v>
      </c>
      <c r="V31">
        <v>4972000</v>
      </c>
      <c r="W31" t="s">
        <v>27</v>
      </c>
      <c r="X31">
        <v>-0.33000001311302202</v>
      </c>
      <c r="Y31">
        <v>-12.862745285034199</v>
      </c>
      <c r="Z31">
        <v>-5.3876481056213397</v>
      </c>
      <c r="AA31">
        <v>32929000</v>
      </c>
      <c r="AB31" t="s">
        <v>171</v>
      </c>
      <c r="AC31" t="s">
        <v>172</v>
      </c>
      <c r="AD31">
        <v>-3.9999999105930301E-2</v>
      </c>
      <c r="AE31">
        <v>39.163181304931598</v>
      </c>
      <c r="AF31" t="s">
        <v>27</v>
      </c>
      <c r="AG31">
        <v>31552000</v>
      </c>
      <c r="AH31">
        <v>67.637275695800795</v>
      </c>
      <c r="AI31">
        <v>-2.73561811447144</v>
      </c>
    </row>
    <row r="32" spans="1:35">
      <c r="A32">
        <f t="shared" si="0"/>
        <v>0</v>
      </c>
      <c r="B32">
        <f t="shared" si="1"/>
        <v>0</v>
      </c>
      <c r="C32">
        <f t="shared" si="2"/>
        <v>1</v>
      </c>
      <c r="D32">
        <f t="shared" si="3"/>
        <v>0</v>
      </c>
      <c r="E32">
        <f t="shared" si="4"/>
        <v>1</v>
      </c>
      <c r="F32">
        <f t="shared" si="5"/>
        <v>1</v>
      </c>
      <c r="G32">
        <f t="shared" si="6"/>
        <v>0</v>
      </c>
      <c r="H32">
        <v>0</v>
      </c>
      <c r="I32">
        <f t="shared" si="7"/>
        <v>0</v>
      </c>
      <c r="J32">
        <v>0</v>
      </c>
      <c r="K32" t="s">
        <v>178</v>
      </c>
      <c r="L32" t="s">
        <v>179</v>
      </c>
      <c r="M32" t="s">
        <v>27</v>
      </c>
      <c r="N32" t="s">
        <v>27</v>
      </c>
      <c r="O32">
        <v>5.05</v>
      </c>
      <c r="P32" t="s">
        <v>27</v>
      </c>
      <c r="Q32" t="s">
        <v>27</v>
      </c>
      <c r="R32">
        <v>12.949999809265099</v>
      </c>
      <c r="S32" t="s">
        <v>27</v>
      </c>
      <c r="T32" t="s">
        <v>27</v>
      </c>
      <c r="U32" t="s">
        <v>27</v>
      </c>
      <c r="V32" t="s">
        <v>27</v>
      </c>
      <c r="W32" t="s">
        <v>27</v>
      </c>
      <c r="X32" t="s">
        <v>27</v>
      </c>
      <c r="Y32" t="s">
        <v>27</v>
      </c>
      <c r="Z32" t="s">
        <v>27</v>
      </c>
      <c r="AA32" t="s">
        <v>27</v>
      </c>
      <c r="AB32" t="s">
        <v>27</v>
      </c>
      <c r="AC32" t="s">
        <v>27</v>
      </c>
      <c r="AD32" t="s">
        <v>27</v>
      </c>
      <c r="AE32" t="s">
        <v>27</v>
      </c>
      <c r="AF32" t="s">
        <v>27</v>
      </c>
      <c r="AG32" t="s">
        <v>27</v>
      </c>
      <c r="AH32" t="s">
        <v>27</v>
      </c>
      <c r="AI32" t="s">
        <v>27</v>
      </c>
    </row>
    <row r="33" spans="1:35">
      <c r="A33">
        <f t="shared" si="0"/>
        <v>1</v>
      </c>
      <c r="B33">
        <f t="shared" si="1"/>
        <v>0</v>
      </c>
      <c r="C33">
        <f t="shared" si="2"/>
        <v>1</v>
      </c>
      <c r="D33">
        <f t="shared" si="3"/>
        <v>0</v>
      </c>
      <c r="E33">
        <f t="shared" si="4"/>
        <v>0</v>
      </c>
      <c r="F33">
        <f t="shared" si="5"/>
        <v>1</v>
      </c>
      <c r="G33">
        <f t="shared" si="6"/>
        <v>0</v>
      </c>
      <c r="H33">
        <v>0</v>
      </c>
      <c r="I33">
        <f t="shared" si="7"/>
        <v>0</v>
      </c>
      <c r="J33">
        <v>0</v>
      </c>
      <c r="K33" t="s">
        <v>182</v>
      </c>
      <c r="L33" t="s">
        <v>183</v>
      </c>
      <c r="M33" t="s">
        <v>27</v>
      </c>
      <c r="N33" t="s">
        <v>27</v>
      </c>
      <c r="O33">
        <v>16.239999999999998</v>
      </c>
      <c r="P33" t="s">
        <v>27</v>
      </c>
      <c r="Q33" t="s">
        <v>27</v>
      </c>
      <c r="R33">
        <v>24</v>
      </c>
      <c r="S33" t="s">
        <v>27</v>
      </c>
      <c r="T33" t="s">
        <v>27</v>
      </c>
      <c r="U33" t="s">
        <v>27</v>
      </c>
      <c r="V33">
        <v>491403</v>
      </c>
      <c r="W33" t="s">
        <v>27</v>
      </c>
      <c r="X33" t="s">
        <v>27</v>
      </c>
      <c r="Y33" t="s">
        <v>27</v>
      </c>
      <c r="Z33" t="s">
        <v>27</v>
      </c>
      <c r="AA33" t="s">
        <v>27</v>
      </c>
      <c r="AB33" t="s">
        <v>73</v>
      </c>
      <c r="AC33" t="s">
        <v>74</v>
      </c>
      <c r="AD33">
        <v>1.9999999552965199E-2</v>
      </c>
      <c r="AE33">
        <v>45.656665802002003</v>
      </c>
      <c r="AF33">
        <v>23.130544034277701</v>
      </c>
      <c r="AG33">
        <v>6504210</v>
      </c>
      <c r="AH33">
        <v>17.418764114379901</v>
      </c>
      <c r="AI33">
        <v>2.6440470218658398</v>
      </c>
    </row>
    <row r="34" spans="1:35">
      <c r="A34">
        <f t="shared" si="0"/>
        <v>1</v>
      </c>
      <c r="B34">
        <f t="shared" si="1"/>
        <v>0</v>
      </c>
      <c r="C34">
        <f t="shared" si="2"/>
        <v>1</v>
      </c>
      <c r="D34">
        <f t="shared" si="3"/>
        <v>1</v>
      </c>
      <c r="E34">
        <f t="shared" si="4"/>
        <v>1</v>
      </c>
      <c r="F34">
        <f t="shared" si="5"/>
        <v>1</v>
      </c>
      <c r="G34">
        <f t="shared" si="6"/>
        <v>0</v>
      </c>
      <c r="H34">
        <v>0</v>
      </c>
      <c r="I34">
        <f t="shared" si="7"/>
        <v>1</v>
      </c>
      <c r="J34">
        <v>0</v>
      </c>
      <c r="K34" t="s">
        <v>184</v>
      </c>
      <c r="L34" t="s">
        <v>185</v>
      </c>
      <c r="M34" t="s">
        <v>27</v>
      </c>
      <c r="N34" t="s">
        <v>27</v>
      </c>
      <c r="O34">
        <v>64.86</v>
      </c>
      <c r="P34" t="s">
        <v>27</v>
      </c>
      <c r="Q34" t="s">
        <v>27</v>
      </c>
      <c r="R34">
        <v>56.560001373291001</v>
      </c>
      <c r="S34">
        <v>69.900001525878906</v>
      </c>
      <c r="T34">
        <v>92.136291503906307</v>
      </c>
      <c r="U34" t="s">
        <v>27</v>
      </c>
      <c r="V34" t="s">
        <v>27</v>
      </c>
      <c r="W34">
        <v>1.61629402637482</v>
      </c>
      <c r="X34">
        <v>-1.08000004291534</v>
      </c>
      <c r="Y34">
        <v>-0.89296597242355302</v>
      </c>
      <c r="Z34" t="s">
        <v>27</v>
      </c>
      <c r="AA34">
        <v>5000850</v>
      </c>
      <c r="AB34" t="s">
        <v>83</v>
      </c>
      <c r="AC34" t="s">
        <v>84</v>
      </c>
      <c r="AD34" t="s">
        <v>27</v>
      </c>
      <c r="AE34" t="s">
        <v>27</v>
      </c>
      <c r="AF34">
        <v>16.044904801187901</v>
      </c>
      <c r="AG34">
        <v>5000850</v>
      </c>
      <c r="AH34">
        <v>87.596466064453097</v>
      </c>
      <c r="AI34">
        <v>1.35021901130676</v>
      </c>
    </row>
    <row r="35" spans="1:35">
      <c r="A35">
        <f t="shared" si="0"/>
        <v>0</v>
      </c>
      <c r="B35">
        <f t="shared" si="1"/>
        <v>0</v>
      </c>
      <c r="C35">
        <f t="shared" si="2"/>
        <v>0</v>
      </c>
      <c r="D35">
        <f t="shared" si="3"/>
        <v>1</v>
      </c>
      <c r="E35">
        <f t="shared" si="4"/>
        <v>0</v>
      </c>
      <c r="F35">
        <f t="shared" si="5"/>
        <v>1</v>
      </c>
      <c r="G35">
        <f t="shared" si="6"/>
        <v>0</v>
      </c>
      <c r="H35">
        <v>0</v>
      </c>
      <c r="I35">
        <f t="shared" si="7"/>
        <v>0</v>
      </c>
      <c r="J35">
        <v>0</v>
      </c>
      <c r="K35" t="s">
        <v>186</v>
      </c>
      <c r="L35" t="s">
        <v>187</v>
      </c>
      <c r="M35" t="s">
        <v>27</v>
      </c>
      <c r="N35" t="s">
        <v>27</v>
      </c>
      <c r="O35">
        <v>41.35</v>
      </c>
      <c r="P35" t="s">
        <v>27</v>
      </c>
      <c r="Q35" t="s">
        <v>27</v>
      </c>
      <c r="R35">
        <v>40.450000762939503</v>
      </c>
      <c r="S35">
        <v>35.900001525878899</v>
      </c>
      <c r="T35">
        <v>55.981052398681598</v>
      </c>
      <c r="U35" t="s">
        <v>27</v>
      </c>
      <c r="V35">
        <v>-53952000</v>
      </c>
      <c r="W35">
        <v>3.7587759494781499</v>
      </c>
      <c r="X35">
        <v>0.37999999523162797</v>
      </c>
      <c r="Y35">
        <v>4.0528469085693404</v>
      </c>
      <c r="Z35">
        <v>3.9949750900268599</v>
      </c>
      <c r="AA35">
        <v>14396522</v>
      </c>
      <c r="AB35" t="s">
        <v>83</v>
      </c>
      <c r="AC35" t="s">
        <v>84</v>
      </c>
      <c r="AD35">
        <v>0.40000000596046398</v>
      </c>
      <c r="AE35" t="s">
        <v>27</v>
      </c>
      <c r="AF35" t="s">
        <v>27</v>
      </c>
      <c r="AG35">
        <v>16256274</v>
      </c>
      <c r="AH35">
        <v>56.995704650878899</v>
      </c>
      <c r="AI35">
        <v>3.65268802642822</v>
      </c>
    </row>
    <row r="36" spans="1:35">
      <c r="A36">
        <f t="shared" si="0"/>
        <v>1</v>
      </c>
      <c r="B36">
        <f t="shared" si="1"/>
        <v>0</v>
      </c>
      <c r="C36">
        <f t="shared" si="2"/>
        <v>0</v>
      </c>
      <c r="D36">
        <f t="shared" si="3"/>
        <v>1</v>
      </c>
      <c r="E36">
        <f t="shared" si="4"/>
        <v>0</v>
      </c>
      <c r="F36">
        <f t="shared" si="5"/>
        <v>0</v>
      </c>
      <c r="G36">
        <f t="shared" si="6"/>
        <v>0</v>
      </c>
      <c r="H36">
        <v>0</v>
      </c>
      <c r="I36">
        <f t="shared" si="7"/>
        <v>0</v>
      </c>
      <c r="J36">
        <v>0</v>
      </c>
      <c r="K36" t="s">
        <v>188</v>
      </c>
      <c r="L36" t="s">
        <v>189</v>
      </c>
      <c r="M36" t="s">
        <v>27</v>
      </c>
      <c r="N36" t="s">
        <v>27</v>
      </c>
      <c r="O36">
        <v>12.59</v>
      </c>
      <c r="P36" t="s">
        <v>27</v>
      </c>
      <c r="Q36" t="s">
        <v>27</v>
      </c>
      <c r="R36">
        <v>22.299999237060501</v>
      </c>
      <c r="S36">
        <v>52.3125</v>
      </c>
      <c r="T36">
        <v>59.708087921142599</v>
      </c>
      <c r="U36" t="s">
        <v>27</v>
      </c>
      <c r="V36">
        <v>-8470000</v>
      </c>
      <c r="W36">
        <v>-17.063726425170898</v>
      </c>
      <c r="X36">
        <v>-1.9299999475479099</v>
      </c>
      <c r="Y36">
        <v>-1.5284160375595099</v>
      </c>
      <c r="Z36">
        <v>-8.1929111480712908</v>
      </c>
      <c r="AA36">
        <v>15134000</v>
      </c>
      <c r="AB36" t="s">
        <v>73</v>
      </c>
      <c r="AC36" t="s">
        <v>141</v>
      </c>
      <c r="AD36">
        <v>-0.43000000715255698</v>
      </c>
      <c r="AE36" t="s">
        <v>27</v>
      </c>
      <c r="AF36" t="s">
        <v>27</v>
      </c>
      <c r="AG36">
        <v>18111000</v>
      </c>
      <c r="AH36">
        <v>31.450977325439499</v>
      </c>
      <c r="AI36">
        <v>-19.2400512695313</v>
      </c>
    </row>
    <row r="37" spans="1:35">
      <c r="A37">
        <f t="shared" si="0"/>
        <v>1</v>
      </c>
      <c r="B37">
        <f t="shared" si="1"/>
        <v>0</v>
      </c>
      <c r="C37">
        <f t="shared" si="2"/>
        <v>0</v>
      </c>
      <c r="D37">
        <f t="shared" si="3"/>
        <v>0</v>
      </c>
      <c r="E37">
        <f t="shared" si="4"/>
        <v>0</v>
      </c>
      <c r="F37">
        <f t="shared" si="5"/>
        <v>0</v>
      </c>
      <c r="G37">
        <f t="shared" si="6"/>
        <v>0</v>
      </c>
      <c r="H37">
        <v>0</v>
      </c>
      <c r="I37">
        <f t="shared" si="7"/>
        <v>0</v>
      </c>
      <c r="J37">
        <v>0</v>
      </c>
      <c r="K37" t="s">
        <v>196</v>
      </c>
      <c r="L37" t="s">
        <v>197</v>
      </c>
      <c r="M37" t="s">
        <v>27</v>
      </c>
      <c r="N37" t="s">
        <v>27</v>
      </c>
      <c r="O37">
        <v>3.3</v>
      </c>
      <c r="P37" t="s">
        <v>27</v>
      </c>
      <c r="Q37" t="s">
        <v>27</v>
      </c>
      <c r="R37">
        <v>4.8800001144409197</v>
      </c>
      <c r="S37">
        <v>13.5</v>
      </c>
      <c r="T37" t="s">
        <v>27</v>
      </c>
      <c r="U37" t="s">
        <v>27</v>
      </c>
      <c r="V37">
        <v>-15464000</v>
      </c>
      <c r="W37">
        <v>-122.302444458008</v>
      </c>
      <c r="X37" t="s">
        <v>27</v>
      </c>
      <c r="Y37" t="s">
        <v>27</v>
      </c>
      <c r="Z37">
        <v>-286.23855590820301</v>
      </c>
      <c r="AA37" t="s">
        <v>27</v>
      </c>
      <c r="AB37" t="s">
        <v>73</v>
      </c>
      <c r="AC37" t="s">
        <v>74</v>
      </c>
      <c r="AD37">
        <v>-0.5</v>
      </c>
      <c r="AE37">
        <v>12.755572319030801</v>
      </c>
      <c r="AF37" t="s">
        <v>27</v>
      </c>
      <c r="AG37">
        <v>47908000</v>
      </c>
      <c r="AH37">
        <v>1.20700299739838</v>
      </c>
      <c r="AI37">
        <v>-202.50080871582</v>
      </c>
    </row>
    <row r="38" spans="1:35">
      <c r="A38">
        <f t="shared" si="0"/>
        <v>0</v>
      </c>
      <c r="B38">
        <f t="shared" si="1"/>
        <v>0</v>
      </c>
      <c r="C38">
        <f t="shared" si="2"/>
        <v>1</v>
      </c>
      <c r="D38">
        <f t="shared" si="3"/>
        <v>0</v>
      </c>
      <c r="E38">
        <f t="shared" si="4"/>
        <v>0</v>
      </c>
      <c r="F38">
        <f t="shared" si="5"/>
        <v>1</v>
      </c>
      <c r="G38">
        <f t="shared" si="6"/>
        <v>0</v>
      </c>
      <c r="H38">
        <v>0</v>
      </c>
      <c r="I38">
        <f t="shared" si="7"/>
        <v>0</v>
      </c>
      <c r="J38">
        <v>0</v>
      </c>
      <c r="K38" t="s">
        <v>198</v>
      </c>
      <c r="L38" t="s">
        <v>199</v>
      </c>
      <c r="M38" t="s">
        <v>27</v>
      </c>
      <c r="N38" t="s">
        <v>27</v>
      </c>
      <c r="O38">
        <v>3.13</v>
      </c>
      <c r="P38" t="s">
        <v>27</v>
      </c>
      <c r="Q38" t="s">
        <v>27</v>
      </c>
      <c r="R38">
        <v>11.9899997711182</v>
      </c>
      <c r="S38">
        <v>15.9375</v>
      </c>
      <c r="T38">
        <v>0.23802299797534901</v>
      </c>
      <c r="U38">
        <v>36.732215881347699</v>
      </c>
      <c r="V38">
        <v>24211000</v>
      </c>
      <c r="W38">
        <v>35.608451843261697</v>
      </c>
      <c r="X38">
        <v>13.8800001144409</v>
      </c>
      <c r="Y38" t="s">
        <v>27</v>
      </c>
      <c r="Z38" t="s">
        <v>27</v>
      </c>
      <c r="AA38">
        <v>41686000</v>
      </c>
      <c r="AB38" t="s">
        <v>27</v>
      </c>
      <c r="AC38" t="s">
        <v>27</v>
      </c>
      <c r="AD38">
        <v>-8.0500001907348597</v>
      </c>
      <c r="AE38">
        <v>-129.00918579101599</v>
      </c>
      <c r="AF38" t="s">
        <v>27</v>
      </c>
      <c r="AG38">
        <v>41440000</v>
      </c>
      <c r="AH38">
        <v>4.1990528106689498</v>
      </c>
      <c r="AI38">
        <v>28.602043151855501</v>
      </c>
    </row>
    <row r="39" spans="1:35">
      <c r="A39">
        <f t="shared" si="0"/>
        <v>0</v>
      </c>
      <c r="B39">
        <f t="shared" si="1"/>
        <v>1</v>
      </c>
      <c r="C39">
        <f t="shared" si="2"/>
        <v>0</v>
      </c>
      <c r="D39">
        <f t="shared" si="3"/>
        <v>0</v>
      </c>
      <c r="E39">
        <f t="shared" si="4"/>
        <v>0</v>
      </c>
      <c r="F39">
        <f t="shared" si="5"/>
        <v>0</v>
      </c>
      <c r="G39">
        <f t="shared" si="6"/>
        <v>0</v>
      </c>
      <c r="H39">
        <v>0</v>
      </c>
      <c r="I39">
        <f t="shared" si="7"/>
        <v>0</v>
      </c>
      <c r="J39">
        <v>0</v>
      </c>
      <c r="K39" t="s">
        <v>200</v>
      </c>
      <c r="L39" t="s">
        <v>201</v>
      </c>
      <c r="M39" t="s">
        <v>27</v>
      </c>
      <c r="N39" t="s">
        <v>27</v>
      </c>
      <c r="O39">
        <v>7.68</v>
      </c>
      <c r="P39" t="s">
        <v>27</v>
      </c>
      <c r="Q39" t="s">
        <v>27</v>
      </c>
      <c r="R39">
        <v>26.809999465942401</v>
      </c>
      <c r="S39">
        <v>26.5</v>
      </c>
      <c r="T39">
        <v>53.987613677978501</v>
      </c>
      <c r="U39" t="s">
        <v>27</v>
      </c>
      <c r="V39">
        <v>-19416000</v>
      </c>
      <c r="W39">
        <v>-21.690975189208999</v>
      </c>
      <c r="X39">
        <v>-0.18999999761581399</v>
      </c>
      <c r="Y39">
        <v>-2.7055020332336399</v>
      </c>
      <c r="Z39">
        <v>-3.62614893913269</v>
      </c>
      <c r="AA39">
        <v>55286000</v>
      </c>
      <c r="AB39" t="s">
        <v>73</v>
      </c>
      <c r="AC39" t="s">
        <v>141</v>
      </c>
      <c r="AD39">
        <v>-0.20000000298023199</v>
      </c>
      <c r="AE39" t="s">
        <v>27</v>
      </c>
      <c r="AF39" t="s">
        <v>27</v>
      </c>
      <c r="AG39">
        <v>63831000</v>
      </c>
      <c r="AH39">
        <v>59.600784301757798</v>
      </c>
      <c r="AI39">
        <v>-4.1897130012512198</v>
      </c>
    </row>
    <row r="40" spans="1:35">
      <c r="A40">
        <f t="shared" si="0"/>
        <v>0</v>
      </c>
      <c r="B40">
        <f t="shared" si="1"/>
        <v>0</v>
      </c>
      <c r="C40">
        <f t="shared" si="2"/>
        <v>1</v>
      </c>
      <c r="D40">
        <f t="shared" si="3"/>
        <v>0</v>
      </c>
      <c r="E40">
        <f t="shared" si="4"/>
        <v>0</v>
      </c>
      <c r="F40">
        <f t="shared" si="5"/>
        <v>1</v>
      </c>
      <c r="G40">
        <f t="shared" si="6"/>
        <v>1</v>
      </c>
      <c r="H40">
        <v>0</v>
      </c>
      <c r="I40">
        <f t="shared" si="7"/>
        <v>0</v>
      </c>
      <c r="J40">
        <v>0</v>
      </c>
      <c r="K40" t="s">
        <v>202</v>
      </c>
      <c r="L40" t="s">
        <v>203</v>
      </c>
      <c r="M40" t="s">
        <v>27</v>
      </c>
      <c r="N40" t="s">
        <v>27</v>
      </c>
      <c r="O40">
        <v>14.08</v>
      </c>
      <c r="P40">
        <v>5.0675301551818803</v>
      </c>
      <c r="Q40" t="s">
        <v>27</v>
      </c>
      <c r="R40">
        <v>16.200000762939499</v>
      </c>
      <c r="S40">
        <v>11.3999996185303</v>
      </c>
      <c r="T40">
        <v>3.2751939296722399</v>
      </c>
      <c r="U40">
        <v>14.4349632263184</v>
      </c>
      <c r="V40">
        <v>14148000</v>
      </c>
      <c r="W40">
        <v>10.645891189575201</v>
      </c>
      <c r="X40">
        <v>0.15000000596046401</v>
      </c>
      <c r="Y40">
        <v>8.5269460678100604</v>
      </c>
      <c r="Z40">
        <v>-6.1111111640930202</v>
      </c>
      <c r="AA40">
        <v>15589000</v>
      </c>
      <c r="AB40" t="s">
        <v>27</v>
      </c>
      <c r="AC40" t="s">
        <v>27</v>
      </c>
      <c r="AD40">
        <v>5.9999998658895499E-2</v>
      </c>
      <c r="AE40">
        <v>16.5797634124756</v>
      </c>
      <c r="AF40" t="s">
        <v>27</v>
      </c>
      <c r="AG40">
        <v>15916000</v>
      </c>
      <c r="AH40">
        <v>3.96105289459229</v>
      </c>
      <c r="AI40">
        <v>0.743372023105621</v>
      </c>
    </row>
    <row r="41" spans="1:35">
      <c r="A41">
        <f t="shared" si="0"/>
        <v>0</v>
      </c>
      <c r="B41">
        <f t="shared" si="1"/>
        <v>1</v>
      </c>
      <c r="C41">
        <f t="shared" si="2"/>
        <v>0</v>
      </c>
      <c r="D41">
        <f t="shared" si="3"/>
        <v>0</v>
      </c>
      <c r="E41">
        <f t="shared" si="4"/>
        <v>0</v>
      </c>
      <c r="F41">
        <f t="shared" si="5"/>
        <v>0</v>
      </c>
      <c r="G41">
        <f t="shared" si="6"/>
        <v>1</v>
      </c>
      <c r="H41">
        <v>0</v>
      </c>
      <c r="I41">
        <f t="shared" si="7"/>
        <v>0</v>
      </c>
      <c r="J41">
        <v>0</v>
      </c>
      <c r="K41" t="s">
        <v>204</v>
      </c>
      <c r="L41" t="s">
        <v>205</v>
      </c>
      <c r="M41" t="s">
        <v>27</v>
      </c>
      <c r="N41" t="s">
        <v>27</v>
      </c>
      <c r="O41">
        <v>0.47</v>
      </c>
      <c r="P41" t="s">
        <v>27</v>
      </c>
      <c r="Q41" t="s">
        <v>27</v>
      </c>
      <c r="R41">
        <v>5.96000003814697</v>
      </c>
      <c r="S41">
        <v>33.25</v>
      </c>
      <c r="T41">
        <v>31.7237548828125</v>
      </c>
      <c r="U41">
        <v>47.676525115966797</v>
      </c>
      <c r="V41">
        <v>-114120000</v>
      </c>
      <c r="W41">
        <v>-25.69020652771</v>
      </c>
      <c r="X41">
        <v>-0.67000001668930098</v>
      </c>
      <c r="Y41">
        <v>-6.44295310974121</v>
      </c>
      <c r="Z41">
        <v>-116.943519592285</v>
      </c>
      <c r="AA41">
        <v>109107000</v>
      </c>
      <c r="AB41" t="s">
        <v>27</v>
      </c>
      <c r="AC41" t="s">
        <v>27</v>
      </c>
      <c r="AD41">
        <v>-0.93999999761581399</v>
      </c>
      <c r="AE41">
        <v>51.372310638427699</v>
      </c>
      <c r="AF41" t="s">
        <v>27</v>
      </c>
      <c r="AG41">
        <v>114555000</v>
      </c>
      <c r="AH41">
        <v>52.760833740234403</v>
      </c>
      <c r="AI41">
        <v>-20.539871215820298</v>
      </c>
    </row>
    <row r="42" spans="1:35">
      <c r="A42">
        <f t="shared" si="0"/>
        <v>1</v>
      </c>
      <c r="B42">
        <f t="shared" si="1"/>
        <v>1</v>
      </c>
      <c r="C42">
        <f t="shared" si="2"/>
        <v>0</v>
      </c>
      <c r="D42">
        <f t="shared" si="3"/>
        <v>0</v>
      </c>
      <c r="E42">
        <f t="shared" si="4"/>
        <v>0</v>
      </c>
      <c r="F42">
        <f t="shared" si="5"/>
        <v>0</v>
      </c>
      <c r="G42">
        <f t="shared" si="6"/>
        <v>0</v>
      </c>
      <c r="H42">
        <v>0</v>
      </c>
      <c r="I42">
        <f t="shared" si="7"/>
        <v>1</v>
      </c>
      <c r="J42">
        <v>0</v>
      </c>
      <c r="K42" t="s">
        <v>214</v>
      </c>
      <c r="L42" t="s">
        <v>215</v>
      </c>
      <c r="M42" t="s">
        <v>27</v>
      </c>
      <c r="N42" t="s">
        <v>27</v>
      </c>
      <c r="O42">
        <v>7.02</v>
      </c>
      <c r="P42" t="s">
        <v>27</v>
      </c>
      <c r="Q42" t="s">
        <v>27</v>
      </c>
      <c r="R42">
        <v>6</v>
      </c>
      <c r="S42">
        <v>8</v>
      </c>
      <c r="T42">
        <v>9.7278997302055401E-2</v>
      </c>
      <c r="U42" t="s">
        <v>27</v>
      </c>
      <c r="V42">
        <v>-4873022</v>
      </c>
      <c r="W42">
        <v>-109.13629150390599</v>
      </c>
      <c r="X42">
        <v>-0.15999999642372101</v>
      </c>
      <c r="Y42" t="s">
        <v>27</v>
      </c>
      <c r="Z42">
        <v>-14.056224822998001</v>
      </c>
      <c r="AA42">
        <v>22939740</v>
      </c>
      <c r="AB42" t="s">
        <v>27</v>
      </c>
      <c r="AC42" t="s">
        <v>27</v>
      </c>
      <c r="AD42">
        <v>-0.21999999880790699</v>
      </c>
      <c r="AE42" t="s">
        <v>27</v>
      </c>
      <c r="AF42" t="s">
        <v>27</v>
      </c>
      <c r="AG42">
        <v>22964390</v>
      </c>
      <c r="AH42">
        <v>0</v>
      </c>
      <c r="AI42">
        <v>-48.433143615722699</v>
      </c>
    </row>
    <row r="43" spans="1:35">
      <c r="A43">
        <f t="shared" si="0"/>
        <v>0</v>
      </c>
      <c r="B43">
        <f t="shared" si="1"/>
        <v>1</v>
      </c>
      <c r="C43">
        <f t="shared" si="2"/>
        <v>1</v>
      </c>
      <c r="D43">
        <f t="shared" si="3"/>
        <v>1</v>
      </c>
      <c r="E43">
        <f t="shared" si="4"/>
        <v>0</v>
      </c>
      <c r="F43">
        <f t="shared" si="5"/>
        <v>0</v>
      </c>
      <c r="G43">
        <f t="shared" si="6"/>
        <v>1</v>
      </c>
      <c r="H43">
        <v>0</v>
      </c>
      <c r="I43">
        <f t="shared" si="7"/>
        <v>0</v>
      </c>
      <c r="J43">
        <v>0</v>
      </c>
      <c r="K43" t="s">
        <v>216</v>
      </c>
      <c r="L43" t="s">
        <v>217</v>
      </c>
      <c r="M43" t="s">
        <v>27</v>
      </c>
      <c r="N43" t="s">
        <v>27</v>
      </c>
      <c r="O43">
        <v>5.07</v>
      </c>
      <c r="P43" t="s">
        <v>27</v>
      </c>
      <c r="Q43" t="s">
        <v>27</v>
      </c>
      <c r="R43">
        <v>21.5</v>
      </c>
      <c r="S43">
        <v>7.8125</v>
      </c>
      <c r="T43">
        <v>0</v>
      </c>
      <c r="U43">
        <v>55.9820365905762</v>
      </c>
      <c r="V43">
        <v>434999.96875</v>
      </c>
      <c r="W43">
        <v>-120.376457214355</v>
      </c>
      <c r="X43">
        <v>-0.479999989271164</v>
      </c>
      <c r="Y43">
        <v>-15.625</v>
      </c>
      <c r="Z43">
        <v>-2.02247190475464</v>
      </c>
      <c r="AA43">
        <v>20900000</v>
      </c>
      <c r="AB43" t="s">
        <v>27</v>
      </c>
      <c r="AC43" t="s">
        <v>27</v>
      </c>
      <c r="AD43">
        <v>-0.18000000715255701</v>
      </c>
      <c r="AE43">
        <v>59.829521179199197</v>
      </c>
      <c r="AF43">
        <v>5.8040561428318904</v>
      </c>
      <c r="AG43">
        <v>28140000</v>
      </c>
      <c r="AH43">
        <v>0</v>
      </c>
      <c r="AI43">
        <v>-45.698043823242202</v>
      </c>
    </row>
    <row r="44" spans="1:35">
      <c r="A44">
        <f t="shared" si="0"/>
        <v>0</v>
      </c>
      <c r="B44">
        <f t="shared" si="1"/>
        <v>0</v>
      </c>
      <c r="C44">
        <f t="shared" si="2"/>
        <v>1</v>
      </c>
      <c r="D44">
        <f t="shared" si="3"/>
        <v>0</v>
      </c>
      <c r="E44">
        <f t="shared" si="4"/>
        <v>1</v>
      </c>
      <c r="F44">
        <f t="shared" si="5"/>
        <v>0</v>
      </c>
      <c r="G44">
        <f t="shared" si="6"/>
        <v>0</v>
      </c>
      <c r="H44">
        <v>0</v>
      </c>
      <c r="I44">
        <f t="shared" si="7"/>
        <v>0</v>
      </c>
      <c r="J44">
        <v>0</v>
      </c>
      <c r="K44" t="s">
        <v>218</v>
      </c>
      <c r="L44" t="s">
        <v>219</v>
      </c>
      <c r="M44" t="s">
        <v>27</v>
      </c>
      <c r="N44" t="s">
        <v>27</v>
      </c>
      <c r="O44">
        <v>2.0099999999999998</v>
      </c>
      <c r="P44" t="s">
        <v>27</v>
      </c>
      <c r="Q44" t="s">
        <v>27</v>
      </c>
      <c r="R44">
        <v>3.9900000095367401</v>
      </c>
      <c r="S44">
        <v>7.5</v>
      </c>
      <c r="T44" t="s">
        <v>27</v>
      </c>
      <c r="U44" t="s">
        <v>27</v>
      </c>
      <c r="V44" t="s">
        <v>27</v>
      </c>
      <c r="W44" t="s">
        <v>27</v>
      </c>
      <c r="X44" t="s">
        <v>27</v>
      </c>
      <c r="Y44" t="s">
        <v>27</v>
      </c>
      <c r="Z44" t="s">
        <v>27</v>
      </c>
      <c r="AA44" t="s">
        <v>27</v>
      </c>
      <c r="AB44" t="s">
        <v>73</v>
      </c>
      <c r="AC44" t="s">
        <v>220</v>
      </c>
      <c r="AD44" t="s">
        <v>27</v>
      </c>
      <c r="AE44" t="s">
        <v>27</v>
      </c>
      <c r="AF44" t="s">
        <v>27</v>
      </c>
      <c r="AG44" t="s">
        <v>27</v>
      </c>
      <c r="AH44" t="s">
        <v>27</v>
      </c>
      <c r="AI44">
        <v>-30.238197326660199</v>
      </c>
    </row>
    <row r="45" spans="1:35">
      <c r="A45">
        <f t="shared" si="0"/>
        <v>0</v>
      </c>
      <c r="B45">
        <f t="shared" si="1"/>
        <v>1</v>
      </c>
      <c r="C45">
        <f t="shared" si="2"/>
        <v>1</v>
      </c>
      <c r="D45">
        <f t="shared" si="3"/>
        <v>0</v>
      </c>
      <c r="E45">
        <f t="shared" si="4"/>
        <v>0</v>
      </c>
      <c r="F45">
        <f t="shared" si="5"/>
        <v>1</v>
      </c>
      <c r="G45">
        <f t="shared" si="6"/>
        <v>0</v>
      </c>
      <c r="H45">
        <v>0</v>
      </c>
      <c r="I45">
        <f t="shared" si="7"/>
        <v>0</v>
      </c>
      <c r="J45">
        <v>0</v>
      </c>
      <c r="K45" t="s">
        <v>221</v>
      </c>
      <c r="L45" t="s">
        <v>222</v>
      </c>
      <c r="M45" t="s">
        <v>27</v>
      </c>
      <c r="N45" t="s">
        <v>27</v>
      </c>
      <c r="O45">
        <v>8.1</v>
      </c>
      <c r="P45">
        <v>8.9012908935546893</v>
      </c>
      <c r="Q45" t="s">
        <v>27</v>
      </c>
      <c r="R45">
        <v>14.829999923706101</v>
      </c>
      <c r="S45">
        <v>17.389999389648398</v>
      </c>
      <c r="T45">
        <v>15.2380876541138</v>
      </c>
      <c r="U45">
        <v>2.5002269744872998</v>
      </c>
      <c r="V45">
        <v>19275002</v>
      </c>
      <c r="W45">
        <v>2.9557640552520801</v>
      </c>
      <c r="X45">
        <v>0.43999999761581399</v>
      </c>
      <c r="Y45">
        <v>9.3584909439086896</v>
      </c>
      <c r="Z45">
        <v>-5.0058212280273402</v>
      </c>
      <c r="AA45">
        <v>75669072</v>
      </c>
      <c r="AB45" t="s">
        <v>27</v>
      </c>
      <c r="AC45" t="s">
        <v>27</v>
      </c>
      <c r="AD45">
        <v>-0.129999995231628</v>
      </c>
      <c r="AE45">
        <v>-3.6273400783538801</v>
      </c>
      <c r="AF45">
        <v>9.8885973723653198</v>
      </c>
      <c r="AG45">
        <v>74390000</v>
      </c>
      <c r="AH45">
        <v>22.7492160797119</v>
      </c>
      <c r="AI45">
        <v>3.8124570846557599</v>
      </c>
    </row>
    <row r="46" spans="1:35">
      <c r="A46">
        <f t="shared" si="0"/>
        <v>1</v>
      </c>
      <c r="B46">
        <f t="shared" si="1"/>
        <v>0</v>
      </c>
      <c r="C46">
        <f t="shared" si="2"/>
        <v>1</v>
      </c>
      <c r="D46">
        <f t="shared" si="3"/>
        <v>0</v>
      </c>
      <c r="E46">
        <f t="shared" si="4"/>
        <v>1</v>
      </c>
      <c r="F46">
        <f t="shared" si="5"/>
        <v>0</v>
      </c>
      <c r="G46">
        <f t="shared" si="6"/>
        <v>0</v>
      </c>
      <c r="H46">
        <v>0</v>
      </c>
      <c r="I46">
        <f t="shared" si="7"/>
        <v>0</v>
      </c>
      <c r="J46">
        <v>0</v>
      </c>
      <c r="K46" t="s">
        <v>224</v>
      </c>
      <c r="L46" t="s">
        <v>225</v>
      </c>
      <c r="M46" t="s">
        <v>27</v>
      </c>
      <c r="N46" t="s">
        <v>27</v>
      </c>
      <c r="O46">
        <v>8.25</v>
      </c>
      <c r="P46" t="s">
        <v>27</v>
      </c>
      <c r="Q46" t="s">
        <v>27</v>
      </c>
      <c r="R46">
        <v>11.189999580383301</v>
      </c>
      <c r="S46">
        <v>5.5999999046325701</v>
      </c>
      <c r="T46">
        <v>67.475448608398395</v>
      </c>
      <c r="U46">
        <v>36.534458160400398</v>
      </c>
      <c r="V46">
        <v>50267000</v>
      </c>
      <c r="W46">
        <v>-5.0992012023925799</v>
      </c>
      <c r="X46">
        <v>-0.34999999403953602</v>
      </c>
      <c r="Y46">
        <v>-86.909095764160199</v>
      </c>
      <c r="Z46">
        <v>-16.899097442626999</v>
      </c>
      <c r="AA46">
        <v>23469000</v>
      </c>
      <c r="AB46" t="s">
        <v>27</v>
      </c>
      <c r="AC46" t="s">
        <v>27</v>
      </c>
      <c r="AD46">
        <v>-0.72000002861022905</v>
      </c>
      <c r="AE46">
        <v>35.453174591064503</v>
      </c>
      <c r="AF46">
        <v>5.7738018952109798</v>
      </c>
      <c r="AG46">
        <v>23469000</v>
      </c>
      <c r="AH46">
        <v>51.038841247558601</v>
      </c>
      <c r="AI46">
        <v>-9.4707269668579102</v>
      </c>
    </row>
    <row r="47" spans="1:35">
      <c r="A47">
        <f t="shared" si="0"/>
        <v>1</v>
      </c>
      <c r="B47">
        <f t="shared" si="1"/>
        <v>0</v>
      </c>
      <c r="C47">
        <f t="shared" si="2"/>
        <v>1</v>
      </c>
      <c r="D47">
        <f t="shared" si="3"/>
        <v>0</v>
      </c>
      <c r="E47">
        <f t="shared" si="4"/>
        <v>0</v>
      </c>
      <c r="F47">
        <f t="shared" si="5"/>
        <v>1</v>
      </c>
      <c r="G47">
        <f t="shared" si="6"/>
        <v>0</v>
      </c>
      <c r="H47">
        <v>0</v>
      </c>
      <c r="I47">
        <f t="shared" si="7"/>
        <v>0</v>
      </c>
      <c r="J47">
        <v>0</v>
      </c>
      <c r="K47" t="s">
        <v>232</v>
      </c>
      <c r="L47" t="s">
        <v>233</v>
      </c>
      <c r="M47" t="s">
        <v>27</v>
      </c>
      <c r="N47" t="s">
        <v>27</v>
      </c>
      <c r="O47">
        <v>3.85</v>
      </c>
      <c r="P47" t="s">
        <v>27</v>
      </c>
      <c r="Q47" t="s">
        <v>27</v>
      </c>
      <c r="R47">
        <v>17.670000076293899</v>
      </c>
      <c r="S47">
        <v>21</v>
      </c>
      <c r="T47">
        <v>33.885887145996101</v>
      </c>
      <c r="U47" t="s">
        <v>27</v>
      </c>
      <c r="V47">
        <v>33998000</v>
      </c>
      <c r="W47">
        <v>2.1082849502563499</v>
      </c>
      <c r="X47">
        <v>1.7699999809265099</v>
      </c>
      <c r="Y47">
        <v>13.239617347717299</v>
      </c>
      <c r="Z47">
        <v>-13.036304473876999</v>
      </c>
      <c r="AA47">
        <v>22081000</v>
      </c>
      <c r="AB47" t="s">
        <v>61</v>
      </c>
      <c r="AC47" t="s">
        <v>234</v>
      </c>
      <c r="AD47">
        <v>0.82999998331069902</v>
      </c>
      <c r="AE47" t="s">
        <v>27</v>
      </c>
      <c r="AF47" t="s">
        <v>27</v>
      </c>
      <c r="AG47">
        <v>21526000</v>
      </c>
      <c r="AH47">
        <v>31.956836700439499</v>
      </c>
      <c r="AI47">
        <v>2.9924999922514E-2</v>
      </c>
    </row>
    <row r="48" spans="1:35">
      <c r="A48">
        <f t="shared" si="0"/>
        <v>1</v>
      </c>
      <c r="B48">
        <f t="shared" si="1"/>
        <v>0</v>
      </c>
      <c r="C48">
        <f t="shared" si="2"/>
        <v>1</v>
      </c>
      <c r="D48">
        <f t="shared" si="3"/>
        <v>1</v>
      </c>
      <c r="E48">
        <f t="shared" si="4"/>
        <v>0</v>
      </c>
      <c r="F48">
        <f t="shared" si="5"/>
        <v>0</v>
      </c>
      <c r="G48">
        <f t="shared" si="6"/>
        <v>0</v>
      </c>
      <c r="H48">
        <v>0</v>
      </c>
      <c r="I48">
        <f t="shared" si="7"/>
        <v>0</v>
      </c>
      <c r="J48">
        <v>0</v>
      </c>
      <c r="K48" t="s">
        <v>235</v>
      </c>
      <c r="L48" t="s">
        <v>236</v>
      </c>
      <c r="M48" t="s">
        <v>27</v>
      </c>
      <c r="N48" t="s">
        <v>27</v>
      </c>
      <c r="O48">
        <v>23.24</v>
      </c>
      <c r="P48">
        <v>18.550092697143601</v>
      </c>
      <c r="Q48" t="s">
        <v>27</v>
      </c>
      <c r="R48">
        <v>27.129999160766602</v>
      </c>
      <c r="S48">
        <v>25.125</v>
      </c>
      <c r="T48">
        <v>24.0653381347656</v>
      </c>
      <c r="U48" t="s">
        <v>27</v>
      </c>
      <c r="V48">
        <v>10138000</v>
      </c>
      <c r="W48">
        <v>29.2162055969238</v>
      </c>
      <c r="X48">
        <v>-1.12098205089569</v>
      </c>
      <c r="Y48">
        <v>3.8839049339294398</v>
      </c>
      <c r="Z48">
        <v>3.6874771118164098</v>
      </c>
      <c r="AA48">
        <v>24806000</v>
      </c>
      <c r="AB48" t="s">
        <v>34</v>
      </c>
      <c r="AC48" t="s">
        <v>237</v>
      </c>
      <c r="AD48">
        <v>-5.0000000745058101E-2</v>
      </c>
      <c r="AE48" t="s">
        <v>27</v>
      </c>
      <c r="AF48">
        <v>39.967687859818497</v>
      </c>
      <c r="AG48">
        <v>35654000</v>
      </c>
      <c r="AH48">
        <v>20.580001831054702</v>
      </c>
      <c r="AI48">
        <v>-0.866479992866516</v>
      </c>
    </row>
    <row r="49" spans="1:35">
      <c r="A49">
        <f t="shared" si="0"/>
        <v>1</v>
      </c>
      <c r="B49">
        <f t="shared" si="1"/>
        <v>1</v>
      </c>
      <c r="C49">
        <f t="shared" si="2"/>
        <v>1</v>
      </c>
      <c r="D49">
        <f t="shared" si="3"/>
        <v>1</v>
      </c>
      <c r="E49">
        <f t="shared" si="4"/>
        <v>0</v>
      </c>
      <c r="F49">
        <f t="shared" si="5"/>
        <v>1</v>
      </c>
      <c r="G49">
        <f t="shared" si="6"/>
        <v>1</v>
      </c>
      <c r="H49">
        <v>0</v>
      </c>
      <c r="I49">
        <f t="shared" si="7"/>
        <v>1</v>
      </c>
      <c r="J49">
        <v>0</v>
      </c>
      <c r="K49" t="s">
        <v>244</v>
      </c>
      <c r="L49" t="s">
        <v>245</v>
      </c>
      <c r="M49" t="s">
        <v>27</v>
      </c>
      <c r="N49" t="s">
        <v>27</v>
      </c>
      <c r="O49">
        <v>13.84</v>
      </c>
      <c r="P49" t="s">
        <v>27</v>
      </c>
      <c r="Q49" t="s">
        <v>27</v>
      </c>
      <c r="R49">
        <v>11.5200004577637</v>
      </c>
      <c r="S49">
        <v>5.2399997711181596</v>
      </c>
      <c r="T49">
        <v>8.9401836395263707</v>
      </c>
      <c r="U49">
        <v>24.0635471343994</v>
      </c>
      <c r="V49">
        <v>3296000</v>
      </c>
      <c r="W49">
        <v>-5.1797938346862802</v>
      </c>
      <c r="X49">
        <v>-9.00000035762787E-2</v>
      </c>
      <c r="Y49">
        <v>2.95145606994629</v>
      </c>
      <c r="Z49">
        <v>6.1285500526428196</v>
      </c>
      <c r="AA49">
        <v>14530215</v>
      </c>
      <c r="AB49" t="s">
        <v>27</v>
      </c>
      <c r="AC49" t="s">
        <v>27</v>
      </c>
      <c r="AD49">
        <v>0.25</v>
      </c>
      <c r="AE49">
        <v>31.352733612060501</v>
      </c>
      <c r="AF49" t="s">
        <v>27</v>
      </c>
      <c r="AG49">
        <v>13954189</v>
      </c>
      <c r="AH49">
        <v>8.6345930099487305</v>
      </c>
      <c r="AI49">
        <v>0.54747802019119296</v>
      </c>
    </row>
    <row r="50" spans="1:35">
      <c r="A50">
        <f t="shared" si="0"/>
        <v>1</v>
      </c>
      <c r="B50">
        <f t="shared" si="1"/>
        <v>0</v>
      </c>
      <c r="C50">
        <f t="shared" si="2"/>
        <v>1</v>
      </c>
      <c r="D50">
        <f t="shared" si="3"/>
        <v>0</v>
      </c>
      <c r="E50">
        <f t="shared" si="4"/>
        <v>0</v>
      </c>
      <c r="F50">
        <f t="shared" si="5"/>
        <v>1</v>
      </c>
      <c r="G50">
        <f t="shared" si="6"/>
        <v>0</v>
      </c>
      <c r="H50">
        <v>0</v>
      </c>
      <c r="I50">
        <f t="shared" si="7"/>
        <v>0</v>
      </c>
      <c r="J50">
        <v>0</v>
      </c>
      <c r="K50" t="s">
        <v>250</v>
      </c>
      <c r="L50" t="s">
        <v>251</v>
      </c>
      <c r="M50" t="s">
        <v>27</v>
      </c>
      <c r="N50" t="s">
        <v>27</v>
      </c>
      <c r="O50">
        <v>18.66</v>
      </c>
      <c r="P50" t="s">
        <v>27</v>
      </c>
      <c r="Q50" t="s">
        <v>27</v>
      </c>
      <c r="R50">
        <v>21.159999847412099</v>
      </c>
      <c r="S50">
        <v>20</v>
      </c>
      <c r="T50">
        <v>0.94289499521255504</v>
      </c>
      <c r="U50" t="s">
        <v>27</v>
      </c>
      <c r="V50">
        <v>8855000</v>
      </c>
      <c r="W50">
        <v>4.4675879478454599</v>
      </c>
      <c r="X50">
        <v>0.20000000298023199</v>
      </c>
      <c r="Y50" t="s">
        <v>27</v>
      </c>
      <c r="Z50">
        <v>-10.110735893249499</v>
      </c>
      <c r="AA50" t="s">
        <v>27</v>
      </c>
      <c r="AB50" t="s">
        <v>27</v>
      </c>
      <c r="AC50" t="s">
        <v>27</v>
      </c>
      <c r="AD50">
        <v>-3.2599999904632599</v>
      </c>
      <c r="AE50" t="s">
        <v>27</v>
      </c>
      <c r="AF50" t="s">
        <v>27</v>
      </c>
      <c r="AG50">
        <v>10950000</v>
      </c>
      <c r="AH50">
        <v>0</v>
      </c>
      <c r="AI50">
        <v>1.34791600704193</v>
      </c>
    </row>
    <row r="51" spans="1:35">
      <c r="A51">
        <f t="shared" si="0"/>
        <v>0</v>
      </c>
      <c r="B51">
        <f t="shared" si="1"/>
        <v>1</v>
      </c>
      <c r="C51">
        <f t="shared" si="2"/>
        <v>0</v>
      </c>
      <c r="D51">
        <f t="shared" si="3"/>
        <v>0</v>
      </c>
      <c r="E51">
        <f t="shared" si="4"/>
        <v>0</v>
      </c>
      <c r="F51">
        <f t="shared" si="5"/>
        <v>0</v>
      </c>
      <c r="G51">
        <f t="shared" si="6"/>
        <v>0</v>
      </c>
      <c r="H51">
        <v>0</v>
      </c>
      <c r="I51">
        <f t="shared" si="7"/>
        <v>0</v>
      </c>
      <c r="J51">
        <v>0</v>
      </c>
      <c r="K51" t="s">
        <v>256</v>
      </c>
      <c r="L51" t="s">
        <v>257</v>
      </c>
      <c r="M51" t="s">
        <v>27</v>
      </c>
      <c r="N51" t="s">
        <v>27</v>
      </c>
      <c r="O51">
        <v>4.99</v>
      </c>
      <c r="P51" t="s">
        <v>27</v>
      </c>
      <c r="Q51" t="s">
        <v>27</v>
      </c>
      <c r="R51">
        <v>8.4499998092651403</v>
      </c>
      <c r="S51">
        <v>20.6875</v>
      </c>
      <c r="T51">
        <v>0</v>
      </c>
      <c r="U51">
        <v>25.222547531127901</v>
      </c>
      <c r="V51">
        <v>-25497000</v>
      </c>
      <c r="W51">
        <v>-11.8487501144409</v>
      </c>
      <c r="X51">
        <v>-0.25</v>
      </c>
      <c r="Y51">
        <v>-1.9326130151748699</v>
      </c>
      <c r="Z51">
        <v>-16.0599575042725</v>
      </c>
      <c r="AA51">
        <v>20189000</v>
      </c>
      <c r="AB51" t="s">
        <v>61</v>
      </c>
      <c r="AC51" t="s">
        <v>106</v>
      </c>
      <c r="AD51">
        <v>-0.44999998807907099</v>
      </c>
      <c r="AE51">
        <v>-3.74577808380127</v>
      </c>
      <c r="AF51" t="s">
        <v>27</v>
      </c>
      <c r="AG51">
        <v>20376000</v>
      </c>
      <c r="AH51">
        <v>0</v>
      </c>
      <c r="AI51">
        <v>-8.8683052062988299</v>
      </c>
    </row>
    <row r="52" spans="1:35">
      <c r="A52">
        <f t="shared" si="0"/>
        <v>0</v>
      </c>
      <c r="B52">
        <f t="shared" si="1"/>
        <v>0</v>
      </c>
      <c r="C52">
        <f t="shared" si="2"/>
        <v>1</v>
      </c>
      <c r="D52">
        <f t="shared" si="3"/>
        <v>0</v>
      </c>
      <c r="E52">
        <f t="shared" si="4"/>
        <v>1</v>
      </c>
      <c r="F52">
        <f t="shared" si="5"/>
        <v>1</v>
      </c>
      <c r="G52">
        <f t="shared" si="6"/>
        <v>0</v>
      </c>
      <c r="H52">
        <v>0</v>
      </c>
      <c r="I52">
        <f t="shared" si="7"/>
        <v>0</v>
      </c>
      <c r="J52">
        <v>0</v>
      </c>
      <c r="K52" t="s">
        <v>258</v>
      </c>
      <c r="L52" t="s">
        <v>259</v>
      </c>
      <c r="M52" t="s">
        <v>27</v>
      </c>
      <c r="N52" t="s">
        <v>27</v>
      </c>
      <c r="O52">
        <v>5.08</v>
      </c>
      <c r="P52" t="s">
        <v>27</v>
      </c>
      <c r="Q52" t="s">
        <v>27</v>
      </c>
      <c r="R52">
        <v>5.1599998474121103</v>
      </c>
      <c r="S52">
        <v>36.200000762939503</v>
      </c>
      <c r="T52" t="s">
        <v>27</v>
      </c>
      <c r="U52" t="s">
        <v>27</v>
      </c>
      <c r="V52" t="s">
        <v>27</v>
      </c>
      <c r="W52" t="s">
        <v>27</v>
      </c>
      <c r="X52" t="s">
        <v>27</v>
      </c>
      <c r="Y52" t="s">
        <v>27</v>
      </c>
      <c r="Z52" t="s">
        <v>27</v>
      </c>
      <c r="AA52" t="s">
        <v>27</v>
      </c>
      <c r="AB52" t="s">
        <v>83</v>
      </c>
      <c r="AC52" t="s">
        <v>84</v>
      </c>
      <c r="AD52" t="s">
        <v>27</v>
      </c>
      <c r="AE52" t="s">
        <v>27</v>
      </c>
      <c r="AF52" t="s">
        <v>27</v>
      </c>
      <c r="AG52" t="s">
        <v>27</v>
      </c>
      <c r="AH52" t="s">
        <v>27</v>
      </c>
      <c r="AI52" t="s">
        <v>27</v>
      </c>
    </row>
    <row r="53" spans="1:35">
      <c r="A53">
        <f t="shared" si="0"/>
        <v>1</v>
      </c>
      <c r="B53">
        <f t="shared" si="1"/>
        <v>1</v>
      </c>
      <c r="C53">
        <f t="shared" si="2"/>
        <v>1</v>
      </c>
      <c r="D53">
        <f t="shared" si="3"/>
        <v>0</v>
      </c>
      <c r="E53">
        <f t="shared" si="4"/>
        <v>0</v>
      </c>
      <c r="F53">
        <f t="shared" si="5"/>
        <v>1</v>
      </c>
      <c r="G53">
        <f t="shared" si="6"/>
        <v>0</v>
      </c>
      <c r="H53">
        <v>0</v>
      </c>
      <c r="I53">
        <f t="shared" si="7"/>
        <v>1</v>
      </c>
      <c r="J53">
        <v>0</v>
      </c>
      <c r="K53" t="s">
        <v>262</v>
      </c>
      <c r="L53" t="s">
        <v>263</v>
      </c>
      <c r="M53" t="s">
        <v>27</v>
      </c>
      <c r="N53" t="s">
        <v>27</v>
      </c>
      <c r="O53">
        <v>27.9</v>
      </c>
      <c r="P53" t="s">
        <v>27</v>
      </c>
      <c r="Q53" t="s">
        <v>27</v>
      </c>
      <c r="R53">
        <v>22.670000076293899</v>
      </c>
      <c r="S53" t="s">
        <v>27</v>
      </c>
      <c r="T53" t="s">
        <v>27</v>
      </c>
      <c r="U53" t="s">
        <v>27</v>
      </c>
      <c r="V53">
        <v>51580000</v>
      </c>
      <c r="W53">
        <v>7.1534910202026403</v>
      </c>
      <c r="X53" t="s">
        <v>27</v>
      </c>
      <c r="Y53" t="s">
        <v>27</v>
      </c>
      <c r="Z53" t="s">
        <v>27</v>
      </c>
      <c r="AA53" t="s">
        <v>27</v>
      </c>
      <c r="AB53" t="s">
        <v>27</v>
      </c>
      <c r="AC53" t="s">
        <v>27</v>
      </c>
      <c r="AD53">
        <v>7.4699997901916504</v>
      </c>
      <c r="AE53">
        <v>19.491649627685501</v>
      </c>
      <c r="AF53" t="s">
        <v>27</v>
      </c>
      <c r="AG53">
        <v>1049125</v>
      </c>
      <c r="AH53">
        <v>1.41423404216766</v>
      </c>
      <c r="AI53">
        <v>10.640089035034199</v>
      </c>
    </row>
    <row r="54" spans="1:35">
      <c r="A54">
        <f t="shared" si="0"/>
        <v>1</v>
      </c>
      <c r="B54">
        <f t="shared" si="1"/>
        <v>0</v>
      </c>
      <c r="C54">
        <f t="shared" si="2"/>
        <v>1</v>
      </c>
      <c r="D54">
        <f t="shared" si="3"/>
        <v>1</v>
      </c>
      <c r="E54">
        <f t="shared" si="4"/>
        <v>0</v>
      </c>
      <c r="F54">
        <f t="shared" si="5"/>
        <v>1</v>
      </c>
      <c r="G54">
        <f t="shared" si="6"/>
        <v>1</v>
      </c>
      <c r="H54">
        <v>0</v>
      </c>
      <c r="I54">
        <f t="shared" si="7"/>
        <v>0</v>
      </c>
      <c r="J54">
        <v>0</v>
      </c>
      <c r="K54" t="s">
        <v>264</v>
      </c>
      <c r="L54" t="s">
        <v>265</v>
      </c>
      <c r="M54" t="s">
        <v>27</v>
      </c>
      <c r="N54" t="s">
        <v>27</v>
      </c>
      <c r="O54">
        <v>19.61</v>
      </c>
      <c r="P54" t="s">
        <v>27</v>
      </c>
      <c r="Q54" t="s">
        <v>27</v>
      </c>
      <c r="R54">
        <v>29.9799995422363</v>
      </c>
      <c r="S54">
        <v>24.625</v>
      </c>
      <c r="T54">
        <v>36.006023406982401</v>
      </c>
      <c r="U54">
        <v>50.977218627929702</v>
      </c>
      <c r="V54">
        <v>22599000</v>
      </c>
      <c r="W54">
        <v>5.40195989608765</v>
      </c>
      <c r="X54">
        <v>0.30000001192092901</v>
      </c>
      <c r="Y54" t="s">
        <v>27</v>
      </c>
      <c r="Z54">
        <v>4.0365571975707999</v>
      </c>
      <c r="AA54">
        <v>21935000</v>
      </c>
      <c r="AB54" t="s">
        <v>27</v>
      </c>
      <c r="AC54" t="s">
        <v>27</v>
      </c>
      <c r="AD54">
        <v>0.34999999403953602</v>
      </c>
      <c r="AE54">
        <v>51.987590789794901</v>
      </c>
      <c r="AF54">
        <v>6.1212599776536303</v>
      </c>
      <c r="AG54">
        <v>30066000</v>
      </c>
      <c r="AH54">
        <v>33.317714691162102</v>
      </c>
      <c r="AI54">
        <v>2.5151240825653098</v>
      </c>
    </row>
    <row r="55" spans="1:35">
      <c r="A55">
        <f t="shared" si="0"/>
        <v>1</v>
      </c>
      <c r="B55">
        <f t="shared" si="1"/>
        <v>1</v>
      </c>
      <c r="C55">
        <f t="shared" si="2"/>
        <v>1</v>
      </c>
      <c r="D55">
        <f t="shared" si="3"/>
        <v>0</v>
      </c>
      <c r="E55">
        <f t="shared" si="4"/>
        <v>0</v>
      </c>
      <c r="F55">
        <f t="shared" si="5"/>
        <v>1</v>
      </c>
      <c r="G55">
        <f t="shared" si="6"/>
        <v>0</v>
      </c>
      <c r="H55">
        <v>0</v>
      </c>
      <c r="I55">
        <f t="shared" si="7"/>
        <v>1</v>
      </c>
      <c r="J55">
        <v>0</v>
      </c>
      <c r="K55" t="s">
        <v>272</v>
      </c>
      <c r="L55" t="s">
        <v>273</v>
      </c>
      <c r="M55" t="s">
        <v>27</v>
      </c>
      <c r="N55" t="s">
        <v>27</v>
      </c>
      <c r="O55">
        <v>34.5</v>
      </c>
      <c r="P55" t="s">
        <v>27</v>
      </c>
      <c r="Q55" t="s">
        <v>27</v>
      </c>
      <c r="R55">
        <v>30.190000534057599</v>
      </c>
      <c r="S55">
        <v>26.639999389648398</v>
      </c>
      <c r="T55" t="s">
        <v>27</v>
      </c>
      <c r="U55" t="s">
        <v>27</v>
      </c>
      <c r="V55">
        <v>23120000</v>
      </c>
      <c r="W55">
        <v>8.2791595458984393</v>
      </c>
      <c r="X55" t="s">
        <v>27</v>
      </c>
      <c r="Y55" t="s">
        <v>27</v>
      </c>
      <c r="Z55">
        <v>8.2572298049926793</v>
      </c>
      <c r="AA55" t="s">
        <v>27</v>
      </c>
      <c r="AB55" t="s">
        <v>61</v>
      </c>
      <c r="AC55" t="s">
        <v>106</v>
      </c>
      <c r="AD55">
        <v>0.54000002145767201</v>
      </c>
      <c r="AE55">
        <v>25.249382019043001</v>
      </c>
      <c r="AF55">
        <v>9.8699629765655708</v>
      </c>
      <c r="AG55">
        <v>32794998</v>
      </c>
      <c r="AH55">
        <v>44.853557586669901</v>
      </c>
      <c r="AI55">
        <v>8.4236249923706108</v>
      </c>
    </row>
    <row r="56" spans="1:35">
      <c r="A56">
        <f t="shared" si="0"/>
        <v>0</v>
      </c>
      <c r="B56">
        <f t="shared" si="1"/>
        <v>0</v>
      </c>
      <c r="C56">
        <f t="shared" si="2"/>
        <v>1</v>
      </c>
      <c r="D56">
        <f t="shared" si="3"/>
        <v>0</v>
      </c>
      <c r="E56">
        <f t="shared" si="4"/>
        <v>1</v>
      </c>
      <c r="F56">
        <f t="shared" si="5"/>
        <v>1</v>
      </c>
      <c r="G56">
        <f t="shared" si="6"/>
        <v>0</v>
      </c>
      <c r="H56">
        <v>0</v>
      </c>
      <c r="I56">
        <f t="shared" si="7"/>
        <v>0</v>
      </c>
      <c r="J56">
        <v>0</v>
      </c>
      <c r="K56" t="s">
        <v>276</v>
      </c>
      <c r="L56" t="s">
        <v>277</v>
      </c>
      <c r="M56" t="s">
        <v>27</v>
      </c>
      <c r="N56" t="s">
        <v>27</v>
      </c>
      <c r="O56">
        <v>23.32</v>
      </c>
      <c r="P56" t="s">
        <v>27</v>
      </c>
      <c r="Q56" t="s">
        <v>27</v>
      </c>
      <c r="R56">
        <v>23.129999160766602</v>
      </c>
      <c r="S56">
        <v>23.75</v>
      </c>
      <c r="T56" t="s">
        <v>27</v>
      </c>
      <c r="U56" t="s">
        <v>27</v>
      </c>
      <c r="V56" t="s">
        <v>27</v>
      </c>
      <c r="W56" t="s">
        <v>27</v>
      </c>
      <c r="X56" t="s">
        <v>27</v>
      </c>
      <c r="Y56" t="s">
        <v>27</v>
      </c>
      <c r="Z56" t="s">
        <v>27</v>
      </c>
      <c r="AA56" t="s">
        <v>27</v>
      </c>
      <c r="AB56" t="s">
        <v>73</v>
      </c>
      <c r="AC56" t="s">
        <v>210</v>
      </c>
      <c r="AD56" t="s">
        <v>27</v>
      </c>
      <c r="AE56" t="s">
        <v>27</v>
      </c>
      <c r="AF56" t="s">
        <v>27</v>
      </c>
      <c r="AG56" t="s">
        <v>27</v>
      </c>
      <c r="AH56" t="s">
        <v>27</v>
      </c>
      <c r="AI56" t="s">
        <v>27</v>
      </c>
    </row>
    <row r="57" spans="1:35">
      <c r="A57">
        <f t="shared" si="0"/>
        <v>0</v>
      </c>
      <c r="B57">
        <f t="shared" si="1"/>
        <v>1</v>
      </c>
      <c r="C57">
        <f t="shared" si="2"/>
        <v>0</v>
      </c>
      <c r="D57">
        <f t="shared" si="3"/>
        <v>0</v>
      </c>
      <c r="E57">
        <f t="shared" si="4"/>
        <v>0</v>
      </c>
      <c r="F57">
        <f t="shared" si="5"/>
        <v>0</v>
      </c>
      <c r="G57">
        <f t="shared" si="6"/>
        <v>0</v>
      </c>
      <c r="H57">
        <v>0</v>
      </c>
      <c r="I57">
        <f t="shared" si="7"/>
        <v>1</v>
      </c>
      <c r="J57">
        <v>0</v>
      </c>
      <c r="K57" t="s">
        <v>278</v>
      </c>
      <c r="L57" t="s">
        <v>279</v>
      </c>
      <c r="M57" t="s">
        <v>27</v>
      </c>
      <c r="N57" t="s">
        <v>27</v>
      </c>
      <c r="O57">
        <v>17.14</v>
      </c>
      <c r="P57" t="s">
        <v>27</v>
      </c>
      <c r="Q57" t="s">
        <v>27</v>
      </c>
      <c r="R57">
        <v>8.3400001525878906</v>
      </c>
      <c r="S57">
        <v>10.875</v>
      </c>
      <c r="T57">
        <v>50.944744110107401</v>
      </c>
      <c r="U57" t="s">
        <v>27</v>
      </c>
      <c r="V57">
        <v>-19238000</v>
      </c>
      <c r="W57">
        <v>-135.10443115234401</v>
      </c>
      <c r="X57">
        <v>-0.15999999642372101</v>
      </c>
      <c r="Y57">
        <v>-6.4186048507690403</v>
      </c>
      <c r="Z57">
        <v>-18.987342834472699</v>
      </c>
      <c r="AA57">
        <v>63030000</v>
      </c>
      <c r="AB57" t="s">
        <v>27</v>
      </c>
      <c r="AC57" t="s">
        <v>27</v>
      </c>
      <c r="AD57">
        <v>-0.28999999165535001</v>
      </c>
      <c r="AE57" t="s">
        <v>27</v>
      </c>
      <c r="AF57" t="s">
        <v>27</v>
      </c>
      <c r="AG57">
        <v>67352000</v>
      </c>
      <c r="AH57">
        <v>70.966606140136705</v>
      </c>
      <c r="AI57">
        <v>-75.250518798828097</v>
      </c>
    </row>
    <row r="58" spans="1:35">
      <c r="A58">
        <f t="shared" si="0"/>
        <v>0</v>
      </c>
      <c r="B58">
        <f t="shared" si="1"/>
        <v>0</v>
      </c>
      <c r="C58">
        <f t="shared" si="2"/>
        <v>1</v>
      </c>
      <c r="D58">
        <f t="shared" si="3"/>
        <v>0</v>
      </c>
      <c r="E58">
        <f t="shared" si="4"/>
        <v>0</v>
      </c>
      <c r="F58">
        <f t="shared" si="5"/>
        <v>1</v>
      </c>
      <c r="G58">
        <f t="shared" si="6"/>
        <v>0</v>
      </c>
      <c r="H58">
        <v>0</v>
      </c>
      <c r="I58">
        <f t="shared" si="7"/>
        <v>1</v>
      </c>
      <c r="J58">
        <v>0</v>
      </c>
      <c r="K58" t="s">
        <v>296</v>
      </c>
      <c r="L58" t="s">
        <v>297</v>
      </c>
      <c r="M58" t="s">
        <v>27</v>
      </c>
      <c r="N58" t="s">
        <v>27</v>
      </c>
      <c r="O58">
        <v>12.7</v>
      </c>
      <c r="P58" t="s">
        <v>27</v>
      </c>
      <c r="Q58" t="s">
        <v>27</v>
      </c>
      <c r="R58">
        <v>9.0900001525878906</v>
      </c>
      <c r="S58">
        <v>4.8000001907348597</v>
      </c>
      <c r="T58" t="s">
        <v>27</v>
      </c>
      <c r="U58" t="s">
        <v>27</v>
      </c>
      <c r="V58" t="s">
        <v>27</v>
      </c>
      <c r="W58" t="s">
        <v>27</v>
      </c>
      <c r="X58" t="s">
        <v>27</v>
      </c>
      <c r="Y58" t="s">
        <v>27</v>
      </c>
      <c r="Z58" t="s">
        <v>27</v>
      </c>
      <c r="AA58">
        <v>2342000</v>
      </c>
      <c r="AB58" t="s">
        <v>34</v>
      </c>
      <c r="AC58" t="s">
        <v>298</v>
      </c>
      <c r="AD58" t="s">
        <v>27</v>
      </c>
      <c r="AE58" t="s">
        <v>27</v>
      </c>
      <c r="AF58" t="s">
        <v>27</v>
      </c>
      <c r="AG58">
        <v>2397000</v>
      </c>
      <c r="AH58" t="s">
        <v>27</v>
      </c>
      <c r="AI58">
        <v>0.81623899936676003</v>
      </c>
    </row>
    <row r="59" spans="1:35">
      <c r="A59">
        <f t="shared" si="0"/>
        <v>1</v>
      </c>
      <c r="B59">
        <f t="shared" si="1"/>
        <v>1</v>
      </c>
      <c r="C59">
        <f t="shared" si="2"/>
        <v>0</v>
      </c>
      <c r="D59">
        <f t="shared" si="3"/>
        <v>0</v>
      </c>
      <c r="E59">
        <f t="shared" si="4"/>
        <v>0</v>
      </c>
      <c r="F59">
        <f t="shared" si="5"/>
        <v>1</v>
      </c>
      <c r="G59">
        <f t="shared" si="6"/>
        <v>0</v>
      </c>
      <c r="H59">
        <v>0</v>
      </c>
      <c r="I59">
        <f t="shared" si="7"/>
        <v>0</v>
      </c>
      <c r="J59">
        <v>0</v>
      </c>
      <c r="K59" t="s">
        <v>301</v>
      </c>
      <c r="L59" t="s">
        <v>302</v>
      </c>
      <c r="M59" t="s">
        <v>27</v>
      </c>
      <c r="N59" t="s">
        <v>27</v>
      </c>
      <c r="O59">
        <v>2.92</v>
      </c>
      <c r="P59">
        <v>8.9901590347290004</v>
      </c>
      <c r="Q59" t="s">
        <v>27</v>
      </c>
      <c r="R59">
        <v>2.75</v>
      </c>
      <c r="S59">
        <v>4.5</v>
      </c>
      <c r="T59">
        <v>46.609165191650398</v>
      </c>
      <c r="U59">
        <v>21.9325561523438</v>
      </c>
      <c r="V59">
        <v>-4610000</v>
      </c>
      <c r="W59">
        <v>2.2421441078186</v>
      </c>
      <c r="X59">
        <v>9.00000035762787E-2</v>
      </c>
      <c r="Y59">
        <v>5.6470589637756303</v>
      </c>
      <c r="Z59">
        <v>8.5714292526245099</v>
      </c>
      <c r="AA59">
        <v>48758000</v>
      </c>
      <c r="AB59" t="s">
        <v>27</v>
      </c>
      <c r="AC59" t="s">
        <v>27</v>
      </c>
      <c r="AD59">
        <v>5.0000000745058101E-2</v>
      </c>
      <c r="AE59">
        <v>17.880445480346701</v>
      </c>
      <c r="AF59">
        <v>4.0600568813967497</v>
      </c>
      <c r="AG59">
        <v>48971000</v>
      </c>
      <c r="AH59">
        <v>43.684619903564503</v>
      </c>
      <c r="AI59">
        <v>7.3379960060119602</v>
      </c>
    </row>
    <row r="60" spans="1:35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>
        <f t="shared" si="4"/>
        <v>0</v>
      </c>
      <c r="F60">
        <f t="shared" si="5"/>
        <v>0</v>
      </c>
      <c r="G60">
        <f t="shared" si="6"/>
        <v>0</v>
      </c>
      <c r="H60">
        <v>0</v>
      </c>
      <c r="I60">
        <f t="shared" si="7"/>
        <v>0</v>
      </c>
      <c r="J60">
        <v>0</v>
      </c>
      <c r="K60" t="s">
        <v>305</v>
      </c>
      <c r="L60" t="s">
        <v>306</v>
      </c>
      <c r="M60" t="s">
        <v>27</v>
      </c>
      <c r="N60" t="s">
        <v>27</v>
      </c>
      <c r="O60">
        <v>3.78</v>
      </c>
      <c r="P60" t="s">
        <v>27</v>
      </c>
      <c r="Q60" t="s">
        <v>27</v>
      </c>
      <c r="R60">
        <v>13.0100002288818</v>
      </c>
      <c r="S60">
        <v>21.75</v>
      </c>
      <c r="T60">
        <v>0</v>
      </c>
      <c r="U60" t="s">
        <v>27</v>
      </c>
      <c r="V60">
        <v>-8638397</v>
      </c>
      <c r="W60">
        <v>-45.298171997070298</v>
      </c>
      <c r="X60">
        <v>-0.20000000298023199</v>
      </c>
      <c r="Y60">
        <v>-5.1485152244567898</v>
      </c>
      <c r="Z60">
        <v>-5.1666669845581099</v>
      </c>
      <c r="AA60">
        <v>15233000</v>
      </c>
      <c r="AB60" t="s">
        <v>27</v>
      </c>
      <c r="AC60" t="s">
        <v>27</v>
      </c>
      <c r="AD60">
        <v>-0.479999989271164</v>
      </c>
      <c r="AE60" t="s">
        <v>27</v>
      </c>
      <c r="AF60" t="s">
        <v>27</v>
      </c>
      <c r="AG60">
        <v>16198999</v>
      </c>
      <c r="AH60">
        <v>0</v>
      </c>
      <c r="AI60">
        <v>-46.939674377441399</v>
      </c>
    </row>
    <row r="61" spans="1:35">
      <c r="A61">
        <f t="shared" ref="A61:A123" si="8">IF(AH61&lt;T61,1,0)</f>
        <v>1</v>
      </c>
      <c r="B61">
        <f t="shared" ref="B61:B123" si="9">IF(AI61&gt;W61,1,0)</f>
        <v>0</v>
      </c>
      <c r="C61">
        <f t="shared" ref="C61:C123" si="10">IF(V61&gt;0,1,0)</f>
        <v>0</v>
      </c>
      <c r="D61">
        <f t="shared" ref="D61:D123" si="11">IF(AD61&gt;X61,1,0)</f>
        <v>1</v>
      </c>
      <c r="E61">
        <f t="shared" ref="E61:E123" si="12">IF(AA61=AG61,1,0)</f>
        <v>0</v>
      </c>
      <c r="F61">
        <f t="shared" ref="F61:F123" si="13">IF(AI61&gt;0,1,0)</f>
        <v>0</v>
      </c>
      <c r="G61">
        <f t="shared" ref="G61:G123" si="14">IF(AE61&gt;U61,1,0)</f>
        <v>0</v>
      </c>
      <c r="H61">
        <v>0</v>
      </c>
      <c r="I61">
        <f t="shared" ref="I61:I123" si="15">IF(((O61-R61)/R61)&gt;0.075,1,0)</f>
        <v>0</v>
      </c>
      <c r="J61">
        <v>0</v>
      </c>
      <c r="K61" t="s">
        <v>309</v>
      </c>
      <c r="L61" t="s">
        <v>310</v>
      </c>
      <c r="M61" t="s">
        <v>27</v>
      </c>
      <c r="N61" t="s">
        <v>27</v>
      </c>
      <c r="O61">
        <v>4.42</v>
      </c>
      <c r="P61">
        <v>6.8068442344665501</v>
      </c>
      <c r="Q61" t="s">
        <v>27</v>
      </c>
      <c r="R61">
        <v>6.9000000953674299</v>
      </c>
      <c r="S61">
        <v>6.6999998092651403</v>
      </c>
      <c r="T61">
        <v>42.377716064453097</v>
      </c>
      <c r="U61">
        <v>33.474925994872997</v>
      </c>
      <c r="V61">
        <v>-22569000</v>
      </c>
      <c r="W61">
        <v>2.3119359016418501</v>
      </c>
      <c r="X61">
        <v>0.36000001430511502</v>
      </c>
      <c r="Y61">
        <v>17.616161346435501</v>
      </c>
      <c r="Z61">
        <v>2.9585800170898402</v>
      </c>
      <c r="AA61">
        <v>23039000</v>
      </c>
      <c r="AB61" t="s">
        <v>27</v>
      </c>
      <c r="AC61" t="s">
        <v>27</v>
      </c>
      <c r="AD61">
        <v>0.37000000476837203</v>
      </c>
      <c r="AE61">
        <v>30.539218902587901</v>
      </c>
      <c r="AF61">
        <v>5.3696982826104298</v>
      </c>
      <c r="AG61">
        <v>23236000</v>
      </c>
      <c r="AH61">
        <v>38.717613220214801</v>
      </c>
      <c r="AI61">
        <v>-2.9834520816803001</v>
      </c>
    </row>
    <row r="62" spans="1:35">
      <c r="A62">
        <f t="shared" si="8"/>
        <v>0</v>
      </c>
      <c r="B62">
        <f t="shared" si="9"/>
        <v>0</v>
      </c>
      <c r="C62">
        <f t="shared" si="10"/>
        <v>0</v>
      </c>
      <c r="D62">
        <f t="shared" si="11"/>
        <v>0</v>
      </c>
      <c r="E62">
        <f t="shared" si="12"/>
        <v>0</v>
      </c>
      <c r="F62">
        <f t="shared" si="13"/>
        <v>0</v>
      </c>
      <c r="G62">
        <f t="shared" si="14"/>
        <v>1</v>
      </c>
      <c r="H62">
        <v>0</v>
      </c>
      <c r="I62">
        <f t="shared" si="15"/>
        <v>0</v>
      </c>
      <c r="J62">
        <v>0</v>
      </c>
      <c r="K62" t="s">
        <v>311</v>
      </c>
      <c r="L62" t="s">
        <v>312</v>
      </c>
      <c r="M62" t="s">
        <v>27</v>
      </c>
      <c r="N62" t="s">
        <v>27</v>
      </c>
      <c r="O62">
        <v>16.2</v>
      </c>
      <c r="P62" t="s">
        <v>27</v>
      </c>
      <c r="Q62" t="s">
        <v>27</v>
      </c>
      <c r="R62">
        <v>29.100000381469702</v>
      </c>
      <c r="S62">
        <v>16</v>
      </c>
      <c r="T62">
        <v>0</v>
      </c>
      <c r="U62">
        <v>15.1037406921387</v>
      </c>
      <c r="V62">
        <v>-12145000</v>
      </c>
      <c r="W62">
        <v>5.2229480743408203</v>
      </c>
      <c r="X62">
        <v>0.37000000476837203</v>
      </c>
      <c r="Y62">
        <v>3.2073729038238499</v>
      </c>
      <c r="Z62">
        <v>4.65671682357788</v>
      </c>
      <c r="AA62">
        <v>6042000</v>
      </c>
      <c r="AB62" t="s">
        <v>27</v>
      </c>
      <c r="AC62" t="s">
        <v>27</v>
      </c>
      <c r="AD62">
        <v>5.0000000745058101E-2</v>
      </c>
      <c r="AE62">
        <v>25.653755187988299</v>
      </c>
      <c r="AF62" t="s">
        <v>27</v>
      </c>
      <c r="AG62">
        <v>6876000</v>
      </c>
      <c r="AH62">
        <v>3.63031101226807</v>
      </c>
      <c r="AI62">
        <v>-3.3732450008392298</v>
      </c>
    </row>
    <row r="63" spans="1:35">
      <c r="A63">
        <f t="shared" si="8"/>
        <v>1</v>
      </c>
      <c r="B63">
        <f t="shared" si="9"/>
        <v>1</v>
      </c>
      <c r="C63">
        <f t="shared" si="10"/>
        <v>0</v>
      </c>
      <c r="D63">
        <f t="shared" si="11"/>
        <v>1</v>
      </c>
      <c r="E63">
        <f t="shared" si="12"/>
        <v>0</v>
      </c>
      <c r="F63">
        <f t="shared" si="13"/>
        <v>0</v>
      </c>
      <c r="G63">
        <f t="shared" si="14"/>
        <v>0</v>
      </c>
      <c r="H63">
        <v>0</v>
      </c>
      <c r="I63">
        <f t="shared" si="15"/>
        <v>0</v>
      </c>
      <c r="J63">
        <v>0</v>
      </c>
      <c r="K63" t="s">
        <v>316</v>
      </c>
      <c r="L63" t="s">
        <v>317</v>
      </c>
      <c r="M63" t="s">
        <v>27</v>
      </c>
      <c r="N63" t="s">
        <v>27</v>
      </c>
      <c r="O63">
        <v>2.4</v>
      </c>
      <c r="P63" t="s">
        <v>27</v>
      </c>
      <c r="Q63" t="s">
        <v>27</v>
      </c>
      <c r="R63">
        <v>10.710000038146999</v>
      </c>
      <c r="S63">
        <v>13.75</v>
      </c>
      <c r="T63">
        <v>2.01929993927479E-2</v>
      </c>
      <c r="U63" t="s">
        <v>27</v>
      </c>
      <c r="V63">
        <v>-2517000</v>
      </c>
      <c r="W63">
        <v>-77.675483703613295</v>
      </c>
      <c r="X63">
        <v>-0.21999999880790699</v>
      </c>
      <c r="Y63" t="s">
        <v>27</v>
      </c>
      <c r="Z63">
        <v>-8.5250339508056605</v>
      </c>
      <c r="AA63">
        <v>23525000</v>
      </c>
      <c r="AB63" t="s">
        <v>27</v>
      </c>
      <c r="AC63" t="s">
        <v>27</v>
      </c>
      <c r="AD63">
        <v>-0.15000000596046401</v>
      </c>
      <c r="AE63" t="s">
        <v>27</v>
      </c>
      <c r="AF63" t="s">
        <v>27</v>
      </c>
      <c r="AG63">
        <v>22400000</v>
      </c>
      <c r="AH63">
        <v>3.2929999288171499E-3</v>
      </c>
      <c r="AI63">
        <v>-26.899574279785199</v>
      </c>
    </row>
    <row r="64" spans="1:35">
      <c r="A64">
        <f t="shared" si="8"/>
        <v>1</v>
      </c>
      <c r="B64">
        <f t="shared" si="9"/>
        <v>1</v>
      </c>
      <c r="C64">
        <f t="shared" si="10"/>
        <v>0</v>
      </c>
      <c r="D64">
        <f t="shared" si="11"/>
        <v>1</v>
      </c>
      <c r="E64">
        <f t="shared" si="12"/>
        <v>0</v>
      </c>
      <c r="F64">
        <f t="shared" si="13"/>
        <v>0</v>
      </c>
      <c r="G64">
        <f t="shared" si="14"/>
        <v>1</v>
      </c>
      <c r="H64">
        <v>0</v>
      </c>
      <c r="I64">
        <f t="shared" si="15"/>
        <v>1</v>
      </c>
      <c r="J64">
        <v>0</v>
      </c>
      <c r="K64" t="s">
        <v>320</v>
      </c>
      <c r="L64" t="s">
        <v>321</v>
      </c>
      <c r="M64" t="s">
        <v>27</v>
      </c>
      <c r="N64" t="s">
        <v>27</v>
      </c>
      <c r="O64">
        <v>2.9</v>
      </c>
      <c r="P64" t="s">
        <v>27</v>
      </c>
      <c r="Q64" t="s">
        <v>27</v>
      </c>
      <c r="R64">
        <v>2.5899999141693102</v>
      </c>
      <c r="S64">
        <v>2.375</v>
      </c>
      <c r="T64">
        <v>2.94408106803894</v>
      </c>
      <c r="U64">
        <v>20.7750339508057</v>
      </c>
      <c r="V64">
        <v>-1646000</v>
      </c>
      <c r="W64">
        <v>-36.296768188476598</v>
      </c>
      <c r="X64">
        <v>-0.21999999880790699</v>
      </c>
      <c r="Y64" t="s">
        <v>27</v>
      </c>
      <c r="Z64">
        <v>-36.521736145019503</v>
      </c>
      <c r="AA64">
        <v>58309000</v>
      </c>
      <c r="AB64" t="s">
        <v>27</v>
      </c>
      <c r="AC64" t="s">
        <v>27</v>
      </c>
      <c r="AD64">
        <v>-0.109999999403954</v>
      </c>
      <c r="AE64">
        <v>33.253345489502003</v>
      </c>
      <c r="AF64" t="s">
        <v>27</v>
      </c>
      <c r="AG64">
        <v>58092000</v>
      </c>
      <c r="AH64">
        <v>2.77874803543091</v>
      </c>
      <c r="AI64">
        <v>-32.972091674804702</v>
      </c>
    </row>
    <row r="65" spans="1:35">
      <c r="A65">
        <f t="shared" si="8"/>
        <v>0</v>
      </c>
      <c r="B65">
        <f t="shared" si="9"/>
        <v>0</v>
      </c>
      <c r="C65">
        <f t="shared" si="10"/>
        <v>1</v>
      </c>
      <c r="D65">
        <f t="shared" si="11"/>
        <v>0</v>
      </c>
      <c r="E65">
        <f t="shared" si="12"/>
        <v>0</v>
      </c>
      <c r="F65">
        <f t="shared" si="13"/>
        <v>1</v>
      </c>
      <c r="G65">
        <f t="shared" si="14"/>
        <v>0</v>
      </c>
      <c r="H65">
        <v>0</v>
      </c>
      <c r="I65">
        <f t="shared" si="15"/>
        <v>0</v>
      </c>
      <c r="J65">
        <v>0</v>
      </c>
      <c r="K65" t="s">
        <v>324</v>
      </c>
      <c r="L65" t="s">
        <v>325</v>
      </c>
      <c r="M65" t="s">
        <v>27</v>
      </c>
      <c r="N65" t="s">
        <v>27</v>
      </c>
      <c r="O65">
        <v>18.68</v>
      </c>
      <c r="P65">
        <v>5.8448748588562003</v>
      </c>
      <c r="Q65" t="s">
        <v>27</v>
      </c>
      <c r="R65">
        <v>22.399999618530298</v>
      </c>
      <c r="S65">
        <v>20.409999847412099</v>
      </c>
      <c r="T65">
        <v>27.312314987182599</v>
      </c>
      <c r="U65">
        <v>25.179508209228501</v>
      </c>
      <c r="V65">
        <v>19800002</v>
      </c>
      <c r="W65">
        <v>5.6714601516723597</v>
      </c>
      <c r="X65">
        <v>0.20999999344348899</v>
      </c>
      <c r="Y65">
        <v>9.5890407562255895</v>
      </c>
      <c r="Z65">
        <v>3.3920710086822501</v>
      </c>
      <c r="AA65">
        <v>22100000</v>
      </c>
      <c r="AB65" t="s">
        <v>27</v>
      </c>
      <c r="AC65" t="s">
        <v>27</v>
      </c>
      <c r="AD65">
        <v>-0.28999999165535001</v>
      </c>
      <c r="AE65">
        <v>24.892082214355501</v>
      </c>
      <c r="AF65">
        <v>8.1706034255599498</v>
      </c>
      <c r="AG65">
        <v>22200000</v>
      </c>
      <c r="AH65">
        <v>32.452560424804702</v>
      </c>
      <c r="AI65">
        <v>5.4552000015974003E-2</v>
      </c>
    </row>
    <row r="66" spans="1:35">
      <c r="A66">
        <f t="shared" si="8"/>
        <v>0</v>
      </c>
      <c r="B66">
        <f t="shared" si="9"/>
        <v>1</v>
      </c>
      <c r="C66">
        <f t="shared" si="10"/>
        <v>0</v>
      </c>
      <c r="D66">
        <f t="shared" si="11"/>
        <v>0</v>
      </c>
      <c r="E66">
        <f t="shared" si="12"/>
        <v>0</v>
      </c>
      <c r="F66">
        <f t="shared" si="13"/>
        <v>0</v>
      </c>
      <c r="G66">
        <f t="shared" si="14"/>
        <v>0</v>
      </c>
      <c r="H66">
        <v>0</v>
      </c>
      <c r="I66">
        <f t="shared" si="15"/>
        <v>0</v>
      </c>
      <c r="J66">
        <v>0</v>
      </c>
      <c r="K66" t="s">
        <v>326</v>
      </c>
      <c r="L66" t="s">
        <v>327</v>
      </c>
      <c r="M66" t="s">
        <v>27</v>
      </c>
      <c r="N66" t="s">
        <v>27</v>
      </c>
      <c r="O66">
        <v>17.260000000000002</v>
      </c>
      <c r="P66" t="s">
        <v>27</v>
      </c>
      <c r="Q66" t="s">
        <v>27</v>
      </c>
      <c r="R66">
        <v>19.899999618530298</v>
      </c>
      <c r="S66">
        <v>14.3999996185303</v>
      </c>
      <c r="T66">
        <v>52.053020477294901</v>
      </c>
      <c r="U66">
        <v>12.7003221511841</v>
      </c>
      <c r="V66">
        <v>-11674999</v>
      </c>
      <c r="W66">
        <v>-13.190127372741699</v>
      </c>
      <c r="X66">
        <v>0.25</v>
      </c>
      <c r="Y66">
        <v>-2.4070799350738499</v>
      </c>
      <c r="Z66">
        <v>0.792952001094818</v>
      </c>
      <c r="AA66">
        <v>38173188</v>
      </c>
      <c r="AB66" t="s">
        <v>328</v>
      </c>
      <c r="AC66" t="s">
        <v>329</v>
      </c>
      <c r="AD66">
        <v>0.15999999642372101</v>
      </c>
      <c r="AE66">
        <v>3.1967020034789999</v>
      </c>
      <c r="AF66" t="s">
        <v>27</v>
      </c>
      <c r="AG66" t="s">
        <v>27</v>
      </c>
      <c r="AH66" t="s">
        <v>27</v>
      </c>
      <c r="AI66">
        <v>-0.55798602104187001</v>
      </c>
    </row>
    <row r="67" spans="1:35">
      <c r="A67">
        <f t="shared" si="8"/>
        <v>1</v>
      </c>
      <c r="B67">
        <f t="shared" si="9"/>
        <v>1</v>
      </c>
      <c r="C67">
        <f t="shared" si="10"/>
        <v>0</v>
      </c>
      <c r="D67">
        <f t="shared" si="11"/>
        <v>1</v>
      </c>
      <c r="E67">
        <f t="shared" si="12"/>
        <v>0</v>
      </c>
      <c r="F67">
        <f t="shared" si="13"/>
        <v>0</v>
      </c>
      <c r="G67">
        <f t="shared" si="14"/>
        <v>0</v>
      </c>
      <c r="H67">
        <v>0</v>
      </c>
      <c r="I67">
        <f t="shared" si="15"/>
        <v>0</v>
      </c>
      <c r="J67">
        <v>0</v>
      </c>
      <c r="K67" t="s">
        <v>335</v>
      </c>
      <c r="L67" t="s">
        <v>336</v>
      </c>
      <c r="M67" t="s">
        <v>27</v>
      </c>
      <c r="N67" t="s">
        <v>27</v>
      </c>
      <c r="O67">
        <v>6.5</v>
      </c>
      <c r="P67" t="s">
        <v>27</v>
      </c>
      <c r="Q67" t="s">
        <v>27</v>
      </c>
      <c r="R67">
        <v>10.25</v>
      </c>
      <c r="S67">
        <v>23.9375</v>
      </c>
      <c r="T67">
        <v>1.0260659456253101</v>
      </c>
      <c r="U67" t="s">
        <v>27</v>
      </c>
      <c r="V67">
        <v>-2843000</v>
      </c>
      <c r="W67">
        <v>-201.17890930175801</v>
      </c>
      <c r="X67">
        <v>-9.00000035762787E-2</v>
      </c>
      <c r="Y67" t="s">
        <v>27</v>
      </c>
      <c r="Z67">
        <v>-1</v>
      </c>
      <c r="AA67">
        <v>22684000</v>
      </c>
      <c r="AB67" t="s">
        <v>73</v>
      </c>
      <c r="AC67" t="s">
        <v>141</v>
      </c>
      <c r="AD67">
        <v>-7.0000000298023196E-2</v>
      </c>
      <c r="AE67" t="s">
        <v>27</v>
      </c>
      <c r="AF67" t="s">
        <v>27</v>
      </c>
      <c r="AG67">
        <v>27572000</v>
      </c>
      <c r="AH67">
        <v>0.364477008581161</v>
      </c>
      <c r="AI67">
        <v>-7.8914890289306596</v>
      </c>
    </row>
    <row r="68" spans="1:35">
      <c r="A68">
        <f t="shared" si="8"/>
        <v>0</v>
      </c>
      <c r="B68">
        <f t="shared" si="9"/>
        <v>0</v>
      </c>
      <c r="C68">
        <f t="shared" si="10"/>
        <v>1</v>
      </c>
      <c r="D68">
        <f t="shared" si="11"/>
        <v>1</v>
      </c>
      <c r="E68">
        <f t="shared" si="12"/>
        <v>0</v>
      </c>
      <c r="F68">
        <f t="shared" si="13"/>
        <v>0</v>
      </c>
      <c r="G68">
        <f t="shared" si="14"/>
        <v>0</v>
      </c>
      <c r="H68">
        <v>0</v>
      </c>
      <c r="I68">
        <f t="shared" si="15"/>
        <v>0</v>
      </c>
      <c r="J68">
        <v>0</v>
      </c>
      <c r="K68" t="s">
        <v>337</v>
      </c>
      <c r="L68" t="s">
        <v>338</v>
      </c>
      <c r="M68" t="s">
        <v>27</v>
      </c>
      <c r="N68" t="s">
        <v>27</v>
      </c>
      <c r="O68">
        <v>15.8</v>
      </c>
      <c r="P68" t="s">
        <v>27</v>
      </c>
      <c r="Q68" t="s">
        <v>27</v>
      </c>
      <c r="R68">
        <v>20.049999237060501</v>
      </c>
      <c r="S68">
        <v>20.9375</v>
      </c>
      <c r="T68">
        <v>0</v>
      </c>
      <c r="U68" t="s">
        <v>27</v>
      </c>
      <c r="V68" t="s">
        <v>27</v>
      </c>
      <c r="W68">
        <v>-0.88164502382278398</v>
      </c>
      <c r="X68">
        <v>-3.9999999105930301E-2</v>
      </c>
      <c r="Y68">
        <v>-24.3257141113281</v>
      </c>
      <c r="Z68">
        <v>-12.3856010437012</v>
      </c>
      <c r="AA68">
        <v>22002000</v>
      </c>
      <c r="AB68" t="s">
        <v>27</v>
      </c>
      <c r="AC68" t="s">
        <v>27</v>
      </c>
      <c r="AD68">
        <v>5.9999998658895499E-2</v>
      </c>
      <c r="AE68" t="s">
        <v>27</v>
      </c>
      <c r="AF68" t="s">
        <v>27</v>
      </c>
      <c r="AG68">
        <v>21557000</v>
      </c>
      <c r="AH68">
        <v>0</v>
      </c>
      <c r="AI68">
        <v>-5.2210979461669904</v>
      </c>
    </row>
    <row r="69" spans="1:35">
      <c r="A69">
        <f t="shared" si="8"/>
        <v>0</v>
      </c>
      <c r="B69">
        <f t="shared" si="9"/>
        <v>0</v>
      </c>
      <c r="C69">
        <f t="shared" si="10"/>
        <v>0</v>
      </c>
      <c r="D69">
        <f t="shared" si="11"/>
        <v>0</v>
      </c>
      <c r="E69">
        <f t="shared" si="12"/>
        <v>0</v>
      </c>
      <c r="F69">
        <f t="shared" si="13"/>
        <v>0</v>
      </c>
      <c r="G69">
        <f t="shared" si="14"/>
        <v>0</v>
      </c>
      <c r="H69">
        <v>0</v>
      </c>
      <c r="I69">
        <f t="shared" si="15"/>
        <v>0</v>
      </c>
      <c r="J69">
        <v>0</v>
      </c>
      <c r="K69" t="s">
        <v>341</v>
      </c>
      <c r="L69" t="s">
        <v>342</v>
      </c>
      <c r="M69" t="s">
        <v>27</v>
      </c>
      <c r="N69" t="s">
        <v>27</v>
      </c>
      <c r="O69">
        <v>2.39</v>
      </c>
      <c r="P69">
        <v>-58.507579803466797</v>
      </c>
      <c r="Q69" t="s">
        <v>27</v>
      </c>
      <c r="R69">
        <v>3.5199999809265101</v>
      </c>
      <c r="S69">
        <v>7.125</v>
      </c>
      <c r="T69">
        <v>4.6564397811889604</v>
      </c>
      <c r="U69" t="s">
        <v>27</v>
      </c>
      <c r="V69">
        <v>-4502000</v>
      </c>
      <c r="W69">
        <v>69.178787231445298</v>
      </c>
      <c r="X69">
        <v>-0.119999997317791</v>
      </c>
      <c r="Y69">
        <v>-2.9771139621734601</v>
      </c>
      <c r="Z69">
        <v>-25.306123733520501</v>
      </c>
      <c r="AA69">
        <v>27096524</v>
      </c>
      <c r="AB69" t="s">
        <v>73</v>
      </c>
      <c r="AC69" t="s">
        <v>141</v>
      </c>
      <c r="AD69">
        <v>-0.15999999642372101</v>
      </c>
      <c r="AE69" t="s">
        <v>27</v>
      </c>
      <c r="AF69" t="s">
        <v>27</v>
      </c>
      <c r="AG69">
        <v>30170000</v>
      </c>
      <c r="AH69">
        <v>8.1727724075317401</v>
      </c>
      <c r="AI69">
        <v>-29.7305717468262</v>
      </c>
    </row>
    <row r="70" spans="1:35">
      <c r="A70">
        <f t="shared" si="8"/>
        <v>1</v>
      </c>
      <c r="B70">
        <f t="shared" si="9"/>
        <v>0</v>
      </c>
      <c r="C70">
        <f t="shared" si="10"/>
        <v>0</v>
      </c>
      <c r="D70">
        <f t="shared" si="11"/>
        <v>1</v>
      </c>
      <c r="E70">
        <f t="shared" si="12"/>
        <v>0</v>
      </c>
      <c r="F70">
        <f t="shared" si="13"/>
        <v>0</v>
      </c>
      <c r="G70">
        <f t="shared" si="14"/>
        <v>0</v>
      </c>
      <c r="H70">
        <v>0</v>
      </c>
      <c r="I70">
        <f t="shared" si="15"/>
        <v>0</v>
      </c>
      <c r="J70">
        <v>0</v>
      </c>
      <c r="K70" t="s">
        <v>343</v>
      </c>
      <c r="L70" t="s">
        <v>344</v>
      </c>
      <c r="M70" t="s">
        <v>27</v>
      </c>
      <c r="N70" t="s">
        <v>27</v>
      </c>
      <c r="O70">
        <v>2.8109999999999999</v>
      </c>
      <c r="P70" t="s">
        <v>27</v>
      </c>
      <c r="Q70" t="s">
        <v>27</v>
      </c>
      <c r="R70">
        <v>4.8499999046325701</v>
      </c>
      <c r="S70">
        <v>37.3125</v>
      </c>
      <c r="T70">
        <v>3.1223999336361899E-2</v>
      </c>
      <c r="U70">
        <v>82.652946472167997</v>
      </c>
      <c r="V70">
        <v>-60293000</v>
      </c>
      <c r="W70">
        <v>-30.962205886840799</v>
      </c>
      <c r="X70">
        <v>-1.45000004768372</v>
      </c>
      <c r="Y70">
        <v>-0.17848600447177901</v>
      </c>
      <c r="Z70">
        <v>-5.4545459747314498</v>
      </c>
      <c r="AA70">
        <v>240615008</v>
      </c>
      <c r="AB70" t="s">
        <v>27</v>
      </c>
      <c r="AC70" t="s">
        <v>27</v>
      </c>
      <c r="AD70">
        <v>-1.1000000238418599</v>
      </c>
      <c r="AE70">
        <v>81.585639953613295</v>
      </c>
      <c r="AF70">
        <v>49.147137018070303</v>
      </c>
      <c r="AG70">
        <v>258606992</v>
      </c>
      <c r="AH70">
        <v>0</v>
      </c>
      <c r="AI70">
        <v>-39.778984069824197</v>
      </c>
    </row>
    <row r="71" spans="1:35">
      <c r="A71">
        <f t="shared" si="8"/>
        <v>1</v>
      </c>
      <c r="B71">
        <f t="shared" si="9"/>
        <v>0</v>
      </c>
      <c r="C71">
        <f t="shared" si="10"/>
        <v>1</v>
      </c>
      <c r="D71">
        <f t="shared" si="11"/>
        <v>0</v>
      </c>
      <c r="E71">
        <f t="shared" si="12"/>
        <v>0</v>
      </c>
      <c r="F71">
        <f t="shared" si="13"/>
        <v>0</v>
      </c>
      <c r="G71">
        <f t="shared" si="14"/>
        <v>0</v>
      </c>
      <c r="H71">
        <v>0</v>
      </c>
      <c r="I71">
        <f t="shared" si="15"/>
        <v>1</v>
      </c>
      <c r="J71">
        <v>0</v>
      </c>
      <c r="K71" t="s">
        <v>345</v>
      </c>
      <c r="L71" t="s">
        <v>346</v>
      </c>
      <c r="M71" t="s">
        <v>27</v>
      </c>
      <c r="N71" t="s">
        <v>27</v>
      </c>
      <c r="O71">
        <v>8.44</v>
      </c>
      <c r="P71" t="s">
        <v>27</v>
      </c>
      <c r="Q71" t="s">
        <v>27</v>
      </c>
      <c r="R71">
        <v>7.2699999809265101</v>
      </c>
      <c r="S71">
        <v>7.7699999809265101</v>
      </c>
      <c r="T71" t="s">
        <v>27</v>
      </c>
      <c r="U71" t="s">
        <v>27</v>
      </c>
      <c r="V71">
        <v>18737000</v>
      </c>
      <c r="W71">
        <v>7.5566000938415501</v>
      </c>
      <c r="X71" t="s">
        <v>27</v>
      </c>
      <c r="Y71" t="s">
        <v>27</v>
      </c>
      <c r="Z71">
        <v>-3.6608870029449498</v>
      </c>
      <c r="AA71" t="s">
        <v>27</v>
      </c>
      <c r="AB71" t="s">
        <v>34</v>
      </c>
      <c r="AC71" t="s">
        <v>237</v>
      </c>
      <c r="AD71">
        <v>0.239999994635582</v>
      </c>
      <c r="AE71" t="s">
        <v>27</v>
      </c>
      <c r="AF71">
        <v>6.2760435965537296</v>
      </c>
      <c r="AG71">
        <v>49605000</v>
      </c>
      <c r="AH71">
        <v>13.7814340591431</v>
      </c>
      <c r="AI71">
        <v>-4.6727437973022496</v>
      </c>
    </row>
    <row r="72" spans="1:35">
      <c r="A72">
        <f t="shared" si="8"/>
        <v>1</v>
      </c>
      <c r="B72">
        <f t="shared" si="9"/>
        <v>1</v>
      </c>
      <c r="C72">
        <f t="shared" si="10"/>
        <v>1</v>
      </c>
      <c r="D72">
        <f t="shared" si="11"/>
        <v>0</v>
      </c>
      <c r="E72">
        <f t="shared" si="12"/>
        <v>0</v>
      </c>
      <c r="F72">
        <f t="shared" si="13"/>
        <v>1</v>
      </c>
      <c r="G72">
        <f t="shared" si="14"/>
        <v>0</v>
      </c>
      <c r="H72">
        <v>0</v>
      </c>
      <c r="I72">
        <f t="shared" si="15"/>
        <v>0</v>
      </c>
      <c r="J72">
        <v>0</v>
      </c>
      <c r="K72" t="s">
        <v>347</v>
      </c>
      <c r="L72" t="s">
        <v>348</v>
      </c>
      <c r="M72" t="s">
        <v>27</v>
      </c>
      <c r="N72" t="s">
        <v>27</v>
      </c>
      <c r="O72">
        <v>3.081</v>
      </c>
      <c r="P72" t="s">
        <v>27</v>
      </c>
      <c r="Q72" t="s">
        <v>27</v>
      </c>
      <c r="R72">
        <v>13.2399997711182</v>
      </c>
      <c r="S72">
        <v>21.625</v>
      </c>
      <c r="T72">
        <v>15.0794410705566</v>
      </c>
      <c r="U72">
        <v>63.431266784667997</v>
      </c>
      <c r="V72">
        <v>2203999.75</v>
      </c>
      <c r="W72">
        <v>-25.297115325927699</v>
      </c>
      <c r="X72">
        <v>0.21999999880790699</v>
      </c>
      <c r="Y72">
        <v>-1.9340660572052</v>
      </c>
      <c r="Z72">
        <v>-1.7224880456924401</v>
      </c>
      <c r="AA72">
        <v>13614000</v>
      </c>
      <c r="AB72" t="s">
        <v>73</v>
      </c>
      <c r="AC72" t="s">
        <v>141</v>
      </c>
      <c r="AD72">
        <v>-0.37000000476837203</v>
      </c>
      <c r="AE72">
        <v>45.821125030517599</v>
      </c>
      <c r="AF72" t="s">
        <v>27</v>
      </c>
      <c r="AG72">
        <v>20327000</v>
      </c>
      <c r="AH72">
        <v>10.5284996032715</v>
      </c>
      <c r="AI72">
        <v>3.39914107322693</v>
      </c>
    </row>
    <row r="73" spans="1:35">
      <c r="A73">
        <f t="shared" si="8"/>
        <v>1</v>
      </c>
      <c r="B73">
        <f t="shared" si="9"/>
        <v>1</v>
      </c>
      <c r="C73">
        <f t="shared" si="10"/>
        <v>0</v>
      </c>
      <c r="D73">
        <f t="shared" si="11"/>
        <v>1</v>
      </c>
      <c r="E73">
        <f t="shared" si="12"/>
        <v>0</v>
      </c>
      <c r="F73">
        <f t="shared" si="13"/>
        <v>0</v>
      </c>
      <c r="G73">
        <f t="shared" si="14"/>
        <v>1</v>
      </c>
      <c r="H73">
        <v>0</v>
      </c>
      <c r="I73">
        <f t="shared" si="15"/>
        <v>0</v>
      </c>
      <c r="J73">
        <v>0</v>
      </c>
      <c r="K73" t="s">
        <v>349</v>
      </c>
      <c r="L73" t="s">
        <v>350</v>
      </c>
      <c r="M73" t="s">
        <v>27</v>
      </c>
      <c r="N73" t="s">
        <v>27</v>
      </c>
      <c r="O73">
        <v>4.46</v>
      </c>
      <c r="P73" t="s">
        <v>27</v>
      </c>
      <c r="Q73" t="s">
        <v>27</v>
      </c>
      <c r="R73">
        <v>12.5</v>
      </c>
      <c r="S73">
        <v>7.625</v>
      </c>
      <c r="T73">
        <v>24.3555088043213</v>
      </c>
      <c r="U73">
        <v>12.785220146179199</v>
      </c>
      <c r="V73">
        <v>-8243000.5</v>
      </c>
      <c r="W73">
        <v>-44.727207183837898</v>
      </c>
      <c r="X73">
        <v>-2.1700000762939502</v>
      </c>
      <c r="Y73" t="s">
        <v>27</v>
      </c>
      <c r="Z73">
        <v>-5.7649669647216797</v>
      </c>
      <c r="AA73">
        <v>3903000</v>
      </c>
      <c r="AB73" t="s">
        <v>73</v>
      </c>
      <c r="AC73" t="s">
        <v>141</v>
      </c>
      <c r="AD73">
        <v>-5.9999998658895499E-2</v>
      </c>
      <c r="AE73">
        <v>36.971633911132798</v>
      </c>
      <c r="AF73" t="s">
        <v>27</v>
      </c>
      <c r="AG73">
        <v>23492000</v>
      </c>
      <c r="AH73">
        <v>0</v>
      </c>
      <c r="AI73">
        <v>-24.459222793579102</v>
      </c>
    </row>
    <row r="74" spans="1:35">
      <c r="A74">
        <f t="shared" si="8"/>
        <v>1</v>
      </c>
      <c r="B74">
        <f t="shared" si="9"/>
        <v>0</v>
      </c>
      <c r="C74">
        <f t="shared" si="10"/>
        <v>1</v>
      </c>
      <c r="D74">
        <f t="shared" si="11"/>
        <v>0</v>
      </c>
      <c r="E74">
        <f t="shared" si="12"/>
        <v>0</v>
      </c>
      <c r="F74">
        <f t="shared" si="13"/>
        <v>1</v>
      </c>
      <c r="G74">
        <f t="shared" si="14"/>
        <v>0</v>
      </c>
      <c r="H74">
        <v>0</v>
      </c>
      <c r="I74">
        <f t="shared" si="15"/>
        <v>0</v>
      </c>
      <c r="J74">
        <v>0</v>
      </c>
      <c r="K74" t="s">
        <v>351</v>
      </c>
      <c r="L74" t="s">
        <v>352</v>
      </c>
      <c r="M74" t="s">
        <v>27</v>
      </c>
      <c r="N74" t="s">
        <v>27</v>
      </c>
      <c r="O74">
        <v>3.69</v>
      </c>
      <c r="P74" t="s">
        <v>27</v>
      </c>
      <c r="Q74" t="s">
        <v>27</v>
      </c>
      <c r="R74">
        <v>9.1999998092651403</v>
      </c>
      <c r="S74">
        <v>13.9375</v>
      </c>
      <c r="T74">
        <v>23.341991424560501</v>
      </c>
      <c r="U74">
        <v>18.590826034545898</v>
      </c>
      <c r="V74">
        <v>21625000</v>
      </c>
      <c r="W74">
        <v>8.4354114532470703</v>
      </c>
      <c r="X74">
        <v>0.15000000596046401</v>
      </c>
      <c r="Y74" t="s">
        <v>27</v>
      </c>
      <c r="Z74" t="s">
        <v>27</v>
      </c>
      <c r="AA74">
        <v>38100000</v>
      </c>
      <c r="AB74" t="s">
        <v>38</v>
      </c>
      <c r="AC74" t="s">
        <v>113</v>
      </c>
      <c r="AD74">
        <v>-2.1300001144409202</v>
      </c>
      <c r="AE74">
        <v>7.9639840126037598</v>
      </c>
      <c r="AF74">
        <v>6.4559861923725199</v>
      </c>
      <c r="AG74">
        <v>75100000</v>
      </c>
      <c r="AH74">
        <v>17.768415451049801</v>
      </c>
      <c r="AI74">
        <v>2.7714478969574001</v>
      </c>
    </row>
    <row r="75" spans="1:35">
      <c r="A75">
        <f t="shared" si="8"/>
        <v>0</v>
      </c>
      <c r="B75">
        <f t="shared" si="9"/>
        <v>0</v>
      </c>
      <c r="C75">
        <f t="shared" si="10"/>
        <v>1</v>
      </c>
      <c r="D75">
        <f t="shared" si="11"/>
        <v>0</v>
      </c>
      <c r="E75">
        <f t="shared" si="12"/>
        <v>0</v>
      </c>
      <c r="F75">
        <f t="shared" si="13"/>
        <v>1</v>
      </c>
      <c r="G75">
        <f t="shared" si="14"/>
        <v>0</v>
      </c>
      <c r="H75">
        <v>0</v>
      </c>
      <c r="I75">
        <f t="shared" si="15"/>
        <v>0</v>
      </c>
      <c r="J75">
        <v>0</v>
      </c>
      <c r="K75" t="s">
        <v>357</v>
      </c>
      <c r="L75" t="s">
        <v>358</v>
      </c>
      <c r="M75" t="s">
        <v>27</v>
      </c>
      <c r="N75" t="s">
        <v>27</v>
      </c>
      <c r="O75">
        <v>3.48</v>
      </c>
      <c r="P75">
        <v>17.852745056152301</v>
      </c>
      <c r="Q75" t="s">
        <v>27</v>
      </c>
      <c r="R75">
        <v>10.439999580383301</v>
      </c>
      <c r="S75">
        <v>25</v>
      </c>
      <c r="T75">
        <v>15.977861404418899</v>
      </c>
      <c r="U75">
        <v>27.547359466552699</v>
      </c>
      <c r="V75">
        <v>13618000</v>
      </c>
      <c r="W75">
        <v>12.6707601547241</v>
      </c>
      <c r="X75">
        <v>0.34999999403953602</v>
      </c>
      <c r="Y75">
        <v>4.1888408660888699</v>
      </c>
      <c r="Z75">
        <v>-3.49264693260193</v>
      </c>
      <c r="AA75">
        <v>38089000</v>
      </c>
      <c r="AB75" t="s">
        <v>27</v>
      </c>
      <c r="AC75" t="s">
        <v>27</v>
      </c>
      <c r="AD75">
        <v>-0.43000000715255698</v>
      </c>
      <c r="AE75">
        <v>5.8053660392761204</v>
      </c>
      <c r="AF75">
        <v>37.715165179746997</v>
      </c>
      <c r="AG75">
        <v>38237000</v>
      </c>
      <c r="AH75">
        <v>27.5234489440918</v>
      </c>
      <c r="AI75">
        <v>10.095639228820801</v>
      </c>
    </row>
    <row r="76" spans="1:35">
      <c r="A76">
        <f t="shared" si="8"/>
        <v>0</v>
      </c>
      <c r="B76">
        <f t="shared" si="9"/>
        <v>0</v>
      </c>
      <c r="C76">
        <f t="shared" si="10"/>
        <v>1</v>
      </c>
      <c r="D76">
        <f t="shared" si="11"/>
        <v>0</v>
      </c>
      <c r="E76">
        <f t="shared" si="12"/>
        <v>0</v>
      </c>
      <c r="F76">
        <f t="shared" si="13"/>
        <v>0</v>
      </c>
      <c r="G76">
        <f t="shared" si="14"/>
        <v>1</v>
      </c>
      <c r="H76">
        <v>0</v>
      </c>
      <c r="I76">
        <f t="shared" si="15"/>
        <v>1</v>
      </c>
      <c r="J76">
        <v>0</v>
      </c>
      <c r="K76" t="s">
        <v>361</v>
      </c>
      <c r="L76" t="s">
        <v>362</v>
      </c>
      <c r="M76" t="s">
        <v>27</v>
      </c>
      <c r="N76" t="s">
        <v>27</v>
      </c>
      <c r="O76">
        <v>17.11</v>
      </c>
      <c r="P76">
        <v>-1.5027220249176001</v>
      </c>
      <c r="Q76" t="s">
        <v>27</v>
      </c>
      <c r="R76">
        <v>14.8500003814697</v>
      </c>
      <c r="S76">
        <v>11.875</v>
      </c>
      <c r="T76">
        <v>0</v>
      </c>
      <c r="U76">
        <v>70.907257080078097</v>
      </c>
      <c r="V76">
        <v>572999.9375</v>
      </c>
      <c r="W76">
        <v>1.5879770517349201</v>
      </c>
      <c r="X76">
        <v>9.9999997764825804E-3</v>
      </c>
      <c r="Y76">
        <v>0.54368901252746604</v>
      </c>
      <c r="Z76">
        <v>-0.50505101680755604</v>
      </c>
      <c r="AA76">
        <v>14730000</v>
      </c>
      <c r="AB76" t="s">
        <v>27</v>
      </c>
      <c r="AC76" t="s">
        <v>27</v>
      </c>
      <c r="AD76">
        <v>-0.64999997615814198</v>
      </c>
      <c r="AE76">
        <v>75.500312805175795</v>
      </c>
      <c r="AF76">
        <v>32.773806696592899</v>
      </c>
      <c r="AG76">
        <v>16487000</v>
      </c>
      <c r="AH76">
        <v>0</v>
      </c>
      <c r="AI76">
        <v>-19.277574539184599</v>
      </c>
    </row>
    <row r="77" spans="1:35">
      <c r="A77">
        <f t="shared" si="8"/>
        <v>0</v>
      </c>
      <c r="B77">
        <f t="shared" si="9"/>
        <v>0</v>
      </c>
      <c r="C77">
        <f t="shared" si="10"/>
        <v>0</v>
      </c>
      <c r="D77">
        <f t="shared" si="11"/>
        <v>0</v>
      </c>
      <c r="E77">
        <f t="shared" si="12"/>
        <v>0</v>
      </c>
      <c r="F77">
        <f t="shared" si="13"/>
        <v>0</v>
      </c>
      <c r="G77">
        <f t="shared" si="14"/>
        <v>0</v>
      </c>
      <c r="H77">
        <v>0</v>
      </c>
      <c r="I77">
        <f t="shared" si="15"/>
        <v>0</v>
      </c>
      <c r="J77">
        <v>0</v>
      </c>
      <c r="K77" t="s">
        <v>365</v>
      </c>
      <c r="L77" t="s">
        <v>366</v>
      </c>
      <c r="M77" t="s">
        <v>27</v>
      </c>
      <c r="N77" t="s">
        <v>27</v>
      </c>
      <c r="O77">
        <v>1.2589999999999999</v>
      </c>
      <c r="P77" t="s">
        <v>27</v>
      </c>
      <c r="Q77" t="s">
        <v>27</v>
      </c>
      <c r="R77">
        <v>7.0999999046325701</v>
      </c>
      <c r="S77">
        <v>13.125</v>
      </c>
      <c r="T77">
        <v>38.611370086669901</v>
      </c>
      <c r="U77" t="s">
        <v>27</v>
      </c>
      <c r="V77">
        <v>-3642999.75</v>
      </c>
      <c r="W77">
        <v>0.91008001565933205</v>
      </c>
      <c r="X77">
        <v>-1.9999999552965199E-2</v>
      </c>
      <c r="Y77" t="s">
        <v>27</v>
      </c>
      <c r="Z77">
        <v>-31.054977416992202</v>
      </c>
      <c r="AA77">
        <v>10843900</v>
      </c>
      <c r="AB77" t="s">
        <v>27</v>
      </c>
      <c r="AC77" t="s">
        <v>27</v>
      </c>
      <c r="AD77">
        <v>-0.479999989271164</v>
      </c>
      <c r="AE77">
        <v>36.960205078125</v>
      </c>
      <c r="AF77">
        <v>8.1317109570346098</v>
      </c>
      <c r="AG77">
        <v>38986916</v>
      </c>
      <c r="AH77">
        <v>49.1369819641113</v>
      </c>
      <c r="AI77">
        <v>-1.7257770299911499</v>
      </c>
    </row>
    <row r="78" spans="1:35">
      <c r="A78">
        <f t="shared" si="8"/>
        <v>0</v>
      </c>
      <c r="B78">
        <f t="shared" si="9"/>
        <v>0</v>
      </c>
      <c r="C78">
        <f t="shared" si="10"/>
        <v>0</v>
      </c>
      <c r="D78">
        <f t="shared" si="11"/>
        <v>1</v>
      </c>
      <c r="E78">
        <f t="shared" si="12"/>
        <v>0</v>
      </c>
      <c r="F78">
        <f t="shared" si="13"/>
        <v>0</v>
      </c>
      <c r="G78">
        <f t="shared" si="14"/>
        <v>0</v>
      </c>
      <c r="H78">
        <v>0</v>
      </c>
      <c r="I78">
        <f t="shared" si="15"/>
        <v>0</v>
      </c>
      <c r="J78">
        <v>0</v>
      </c>
      <c r="K78" t="s">
        <v>367</v>
      </c>
      <c r="L78" t="s">
        <v>368</v>
      </c>
      <c r="M78" t="s">
        <v>27</v>
      </c>
      <c r="N78" t="s">
        <v>27</v>
      </c>
      <c r="O78">
        <v>3.09</v>
      </c>
      <c r="P78" t="s">
        <v>27</v>
      </c>
      <c r="Q78" t="s">
        <v>27</v>
      </c>
      <c r="R78">
        <v>4.5300002098083496</v>
      </c>
      <c r="S78">
        <v>7.46875</v>
      </c>
      <c r="T78">
        <v>0</v>
      </c>
      <c r="U78">
        <v>71.820182800292997</v>
      </c>
      <c r="V78">
        <v>-73482000</v>
      </c>
      <c r="W78">
        <v>-0.42221200466156</v>
      </c>
      <c r="X78">
        <v>-0.28000000119209301</v>
      </c>
      <c r="Y78">
        <v>5.5757579803466797</v>
      </c>
      <c r="Z78">
        <v>1.81818199157715</v>
      </c>
      <c r="AA78">
        <v>279711008</v>
      </c>
      <c r="AB78" t="s">
        <v>27</v>
      </c>
      <c r="AC78" t="s">
        <v>27</v>
      </c>
      <c r="AD78">
        <v>2.3399999141693102</v>
      </c>
      <c r="AE78">
        <v>42.1154174804688</v>
      </c>
      <c r="AF78" t="s">
        <v>27</v>
      </c>
      <c r="AG78">
        <v>263186000</v>
      </c>
      <c r="AH78">
        <v>0</v>
      </c>
      <c r="AI78">
        <v>-13.5680084228516</v>
      </c>
    </row>
    <row r="79" spans="1:35">
      <c r="A79">
        <f t="shared" si="8"/>
        <v>1</v>
      </c>
      <c r="B79">
        <f t="shared" si="9"/>
        <v>1</v>
      </c>
      <c r="C79">
        <f t="shared" si="10"/>
        <v>1</v>
      </c>
      <c r="D79">
        <f t="shared" si="11"/>
        <v>0</v>
      </c>
      <c r="E79">
        <f t="shared" si="12"/>
        <v>0</v>
      </c>
      <c r="F79">
        <f t="shared" si="13"/>
        <v>1</v>
      </c>
      <c r="G79">
        <f t="shared" si="14"/>
        <v>0</v>
      </c>
      <c r="H79">
        <v>0</v>
      </c>
      <c r="I79">
        <f t="shared" si="15"/>
        <v>0</v>
      </c>
      <c r="J79">
        <v>0</v>
      </c>
      <c r="K79" t="s">
        <v>369</v>
      </c>
      <c r="L79" t="s">
        <v>370</v>
      </c>
      <c r="M79" t="s">
        <v>27</v>
      </c>
      <c r="N79" t="s">
        <v>27</v>
      </c>
      <c r="O79">
        <v>3.95</v>
      </c>
      <c r="P79" t="s">
        <v>27</v>
      </c>
      <c r="Q79" t="s">
        <v>27</v>
      </c>
      <c r="R79">
        <v>12.930000305175801</v>
      </c>
      <c r="S79">
        <v>17.4375</v>
      </c>
      <c r="T79" t="s">
        <v>27</v>
      </c>
      <c r="U79" t="s">
        <v>27</v>
      </c>
      <c r="V79">
        <v>707000</v>
      </c>
      <c r="W79">
        <v>-8.4701299667358398</v>
      </c>
      <c r="X79" t="s">
        <v>27</v>
      </c>
      <c r="Y79" t="s">
        <v>27</v>
      </c>
      <c r="Z79" t="s">
        <v>27</v>
      </c>
      <c r="AA79" t="s">
        <v>27</v>
      </c>
      <c r="AB79" t="s">
        <v>27</v>
      </c>
      <c r="AC79" t="s">
        <v>27</v>
      </c>
      <c r="AD79">
        <v>2.9999999329447701E-2</v>
      </c>
      <c r="AE79">
        <v>24.786422729492202</v>
      </c>
      <c r="AF79" t="s">
        <v>27</v>
      </c>
      <c r="AG79">
        <v>40823000</v>
      </c>
      <c r="AH79">
        <v>7.8199868202209499</v>
      </c>
      <c r="AI79" t="s">
        <v>27</v>
      </c>
    </row>
    <row r="80" spans="1:35">
      <c r="A80">
        <f t="shared" si="8"/>
        <v>0</v>
      </c>
      <c r="B80">
        <f t="shared" si="9"/>
        <v>0</v>
      </c>
      <c r="C80">
        <f t="shared" si="10"/>
        <v>0</v>
      </c>
      <c r="D80">
        <f t="shared" si="11"/>
        <v>0</v>
      </c>
      <c r="E80">
        <f t="shared" si="12"/>
        <v>0</v>
      </c>
      <c r="F80">
        <f t="shared" si="13"/>
        <v>0</v>
      </c>
      <c r="G80">
        <f t="shared" si="14"/>
        <v>0</v>
      </c>
      <c r="H80">
        <v>0</v>
      </c>
      <c r="I80">
        <f t="shared" si="15"/>
        <v>0</v>
      </c>
      <c r="J80">
        <v>0</v>
      </c>
      <c r="K80" t="s">
        <v>371</v>
      </c>
      <c r="L80" t="s">
        <v>372</v>
      </c>
      <c r="M80" t="s">
        <v>27</v>
      </c>
      <c r="N80" t="s">
        <v>27</v>
      </c>
      <c r="O80">
        <v>3.25</v>
      </c>
      <c r="P80" t="s">
        <v>27</v>
      </c>
      <c r="Q80" t="s">
        <v>27</v>
      </c>
      <c r="R80">
        <v>4.0999999046325701</v>
      </c>
      <c r="S80">
        <v>12</v>
      </c>
      <c r="T80">
        <v>25.7082004547119</v>
      </c>
      <c r="U80">
        <v>51.744434356689503</v>
      </c>
      <c r="V80">
        <v>-22004000</v>
      </c>
      <c r="W80">
        <v>-4.8210711479187003</v>
      </c>
      <c r="X80">
        <v>-7.0000000298023196E-2</v>
      </c>
      <c r="Y80">
        <v>0.87272697687149003</v>
      </c>
      <c r="Z80">
        <v>-113.96647644043</v>
      </c>
      <c r="AA80">
        <v>51187000</v>
      </c>
      <c r="AB80" t="s">
        <v>27</v>
      </c>
      <c r="AC80" t="s">
        <v>27</v>
      </c>
      <c r="AD80">
        <v>-0.50999999046325695</v>
      </c>
      <c r="AE80">
        <v>47.399200439453097</v>
      </c>
      <c r="AF80" t="s">
        <v>27</v>
      </c>
      <c r="AG80">
        <v>51876000</v>
      </c>
      <c r="AH80">
        <v>37.432174682617202</v>
      </c>
      <c r="AI80">
        <v>-5.5548830032348597</v>
      </c>
    </row>
    <row r="81" spans="1:35">
      <c r="A81">
        <f t="shared" si="8"/>
        <v>1</v>
      </c>
      <c r="B81">
        <f t="shared" si="9"/>
        <v>0</v>
      </c>
      <c r="C81">
        <f t="shared" si="10"/>
        <v>0</v>
      </c>
      <c r="D81">
        <f t="shared" si="11"/>
        <v>0</v>
      </c>
      <c r="E81">
        <f t="shared" si="12"/>
        <v>0</v>
      </c>
      <c r="F81">
        <f t="shared" si="13"/>
        <v>0</v>
      </c>
      <c r="G81">
        <f t="shared" si="14"/>
        <v>0</v>
      </c>
      <c r="H81">
        <v>0</v>
      </c>
      <c r="I81">
        <f t="shared" si="15"/>
        <v>0</v>
      </c>
      <c r="J81">
        <v>0</v>
      </c>
      <c r="K81" t="s">
        <v>373</v>
      </c>
      <c r="L81" t="s">
        <v>374</v>
      </c>
      <c r="M81" t="s">
        <v>27</v>
      </c>
      <c r="N81" t="s">
        <v>27</v>
      </c>
      <c r="O81">
        <v>2.96</v>
      </c>
      <c r="P81">
        <v>2.52907490730286</v>
      </c>
      <c r="Q81" t="s">
        <v>27</v>
      </c>
      <c r="R81">
        <v>19.899999618530298</v>
      </c>
      <c r="S81">
        <v>39.1875</v>
      </c>
      <c r="T81">
        <v>24.253248214721701</v>
      </c>
      <c r="U81">
        <v>61.452720642089801</v>
      </c>
      <c r="V81">
        <v>-10840000</v>
      </c>
      <c r="W81">
        <v>1.5734059810638401</v>
      </c>
      <c r="X81">
        <v>-0.129999995231628</v>
      </c>
      <c r="Y81">
        <v>0.64265900850295998</v>
      </c>
      <c r="Z81">
        <v>-4.0999999046325701</v>
      </c>
      <c r="AA81">
        <v>29714000</v>
      </c>
      <c r="AB81" t="s">
        <v>38</v>
      </c>
      <c r="AC81" t="s">
        <v>89</v>
      </c>
      <c r="AD81">
        <v>-0.44999998807907099</v>
      </c>
      <c r="AE81">
        <v>50.769741058349602</v>
      </c>
      <c r="AF81">
        <v>122.489308885133</v>
      </c>
      <c r="AG81">
        <v>31540424</v>
      </c>
      <c r="AH81">
        <v>23.3949890136719</v>
      </c>
      <c r="AI81">
        <v>-5.2816510200500497</v>
      </c>
    </row>
    <row r="82" spans="1:35">
      <c r="A82">
        <f t="shared" si="8"/>
        <v>0</v>
      </c>
      <c r="B82">
        <f t="shared" si="9"/>
        <v>1</v>
      </c>
      <c r="C82">
        <f t="shared" si="10"/>
        <v>0</v>
      </c>
      <c r="D82">
        <f t="shared" si="11"/>
        <v>0</v>
      </c>
      <c r="E82">
        <f t="shared" si="12"/>
        <v>0</v>
      </c>
      <c r="F82">
        <f t="shared" si="13"/>
        <v>0</v>
      </c>
      <c r="G82">
        <f t="shared" si="14"/>
        <v>1</v>
      </c>
      <c r="H82">
        <v>0</v>
      </c>
      <c r="I82">
        <f t="shared" si="15"/>
        <v>0</v>
      </c>
      <c r="J82">
        <v>0</v>
      </c>
      <c r="K82" t="s">
        <v>377</v>
      </c>
      <c r="L82" t="s">
        <v>378</v>
      </c>
      <c r="M82" t="s">
        <v>27</v>
      </c>
      <c r="N82" t="s">
        <v>27</v>
      </c>
      <c r="O82">
        <v>2.92</v>
      </c>
      <c r="P82" t="s">
        <v>27</v>
      </c>
      <c r="Q82" t="s">
        <v>27</v>
      </c>
      <c r="R82">
        <v>10.920000076293899</v>
      </c>
      <c r="S82">
        <v>13.875</v>
      </c>
      <c r="T82">
        <v>0</v>
      </c>
      <c r="U82">
        <v>63.777774810791001</v>
      </c>
      <c r="V82">
        <v>-11131000</v>
      </c>
      <c r="W82">
        <v>-100.953994750977</v>
      </c>
      <c r="X82">
        <v>-0.30000001192092901</v>
      </c>
      <c r="Y82">
        <v>-5.5244297981262198</v>
      </c>
      <c r="Z82">
        <v>-21.5602836608887</v>
      </c>
      <c r="AA82">
        <v>33307000</v>
      </c>
      <c r="AB82" t="s">
        <v>27</v>
      </c>
      <c r="AC82" t="s">
        <v>27</v>
      </c>
      <c r="AD82">
        <v>-0.40999999642372098</v>
      </c>
      <c r="AE82">
        <v>75.973777770996094</v>
      </c>
      <c r="AF82" t="s">
        <v>27</v>
      </c>
      <c r="AG82">
        <v>32842998</v>
      </c>
      <c r="AH82">
        <v>0</v>
      </c>
      <c r="AI82">
        <v>-32.547245025634801</v>
      </c>
    </row>
    <row r="83" spans="1:35">
      <c r="A83">
        <f t="shared" si="8"/>
        <v>0</v>
      </c>
      <c r="B83">
        <f t="shared" si="9"/>
        <v>0</v>
      </c>
      <c r="C83">
        <f t="shared" si="10"/>
        <v>0</v>
      </c>
      <c r="D83">
        <f t="shared" si="11"/>
        <v>1</v>
      </c>
      <c r="E83">
        <f t="shared" si="12"/>
        <v>0</v>
      </c>
      <c r="F83">
        <f t="shared" si="13"/>
        <v>1</v>
      </c>
      <c r="G83">
        <f t="shared" si="14"/>
        <v>0</v>
      </c>
      <c r="H83">
        <v>0</v>
      </c>
      <c r="I83">
        <f t="shared" si="15"/>
        <v>0</v>
      </c>
      <c r="J83">
        <v>0</v>
      </c>
      <c r="K83" t="s">
        <v>379</v>
      </c>
      <c r="L83" t="s">
        <v>380</v>
      </c>
      <c r="M83" t="s">
        <v>27</v>
      </c>
      <c r="N83" t="s">
        <v>27</v>
      </c>
      <c r="O83">
        <v>6.75</v>
      </c>
      <c r="P83">
        <v>6.0925917625427202</v>
      </c>
      <c r="Q83" t="s">
        <v>27</v>
      </c>
      <c r="R83">
        <v>25.533332824706999</v>
      </c>
      <c r="S83">
        <v>24.5833333333333</v>
      </c>
      <c r="T83">
        <v>0</v>
      </c>
      <c r="U83">
        <v>29.806758880615199</v>
      </c>
      <c r="V83">
        <v>-9210000</v>
      </c>
      <c r="W83">
        <v>4.9350728988647496</v>
      </c>
      <c r="X83">
        <v>3.3333333830038697E-2</v>
      </c>
      <c r="Y83">
        <v>0.80757099390029896</v>
      </c>
      <c r="Z83">
        <v>0.95624500513076804</v>
      </c>
      <c r="AA83">
        <v>17563500</v>
      </c>
      <c r="AB83" t="s">
        <v>27</v>
      </c>
      <c r="AC83" t="s">
        <v>27</v>
      </c>
      <c r="AD83">
        <v>7.3333332935968998E-2</v>
      </c>
      <c r="AE83">
        <v>28.3471794128418</v>
      </c>
      <c r="AF83">
        <v>15.100432333409699</v>
      </c>
      <c r="AG83">
        <v>21555000</v>
      </c>
      <c r="AH83">
        <v>3.6386659145355198</v>
      </c>
      <c r="AI83">
        <v>4.8926329612731898</v>
      </c>
    </row>
    <row r="84" spans="1:35">
      <c r="A84">
        <f t="shared" si="8"/>
        <v>0</v>
      </c>
      <c r="B84">
        <f t="shared" si="9"/>
        <v>1</v>
      </c>
      <c r="C84">
        <f t="shared" si="10"/>
        <v>0</v>
      </c>
      <c r="D84">
        <f t="shared" si="11"/>
        <v>0</v>
      </c>
      <c r="E84">
        <f t="shared" si="12"/>
        <v>0</v>
      </c>
      <c r="F84">
        <f t="shared" si="13"/>
        <v>1</v>
      </c>
      <c r="G84">
        <f t="shared" si="14"/>
        <v>0</v>
      </c>
      <c r="H84">
        <v>0</v>
      </c>
      <c r="I84">
        <f t="shared" si="15"/>
        <v>0</v>
      </c>
      <c r="J84">
        <v>0</v>
      </c>
      <c r="K84" t="s">
        <v>381</v>
      </c>
      <c r="L84" t="s">
        <v>382</v>
      </c>
      <c r="M84" t="s">
        <v>27</v>
      </c>
      <c r="N84" t="s">
        <v>27</v>
      </c>
      <c r="O84">
        <v>6.9</v>
      </c>
      <c r="P84">
        <v>22.548038482666001</v>
      </c>
      <c r="Q84" t="s">
        <v>27</v>
      </c>
      <c r="R84">
        <v>16.7600002288818</v>
      </c>
      <c r="S84">
        <v>17.875</v>
      </c>
      <c r="T84">
        <v>6.8674659729003897</v>
      </c>
      <c r="U84">
        <v>46.700794219970703</v>
      </c>
      <c r="V84">
        <v>-13554000</v>
      </c>
      <c r="W84">
        <v>4.41863918304443</v>
      </c>
      <c r="X84">
        <v>0.50999999046325695</v>
      </c>
      <c r="Y84">
        <v>7.06172800064087</v>
      </c>
      <c r="Z84">
        <v>-7.0718240737915004</v>
      </c>
      <c r="AA84">
        <v>32858002</v>
      </c>
      <c r="AB84" t="s">
        <v>27</v>
      </c>
      <c r="AC84" t="s">
        <v>27</v>
      </c>
      <c r="AD84">
        <v>-0.519999980926514</v>
      </c>
      <c r="AE84">
        <v>29.075759887695298</v>
      </c>
      <c r="AF84" t="s">
        <v>27</v>
      </c>
      <c r="AG84">
        <v>35293000</v>
      </c>
      <c r="AH84">
        <v>30.910694122314499</v>
      </c>
      <c r="AI84">
        <v>7.3277730941772496</v>
      </c>
    </row>
    <row r="85" spans="1:35">
      <c r="A85">
        <f t="shared" si="8"/>
        <v>0</v>
      </c>
      <c r="B85">
        <f t="shared" si="9"/>
        <v>0</v>
      </c>
      <c r="C85">
        <f t="shared" si="10"/>
        <v>0</v>
      </c>
      <c r="D85">
        <f t="shared" si="11"/>
        <v>0</v>
      </c>
      <c r="E85">
        <f t="shared" si="12"/>
        <v>0</v>
      </c>
      <c r="F85">
        <f t="shared" si="13"/>
        <v>0</v>
      </c>
      <c r="G85">
        <f t="shared" si="14"/>
        <v>0</v>
      </c>
      <c r="H85">
        <v>0</v>
      </c>
      <c r="I85">
        <f t="shared" si="15"/>
        <v>0</v>
      </c>
      <c r="J85">
        <v>0</v>
      </c>
      <c r="K85" t="s">
        <v>383</v>
      </c>
      <c r="L85" t="s">
        <v>384</v>
      </c>
      <c r="M85" t="s">
        <v>27</v>
      </c>
      <c r="N85" t="s">
        <v>27</v>
      </c>
      <c r="O85">
        <v>4.3499999999999996</v>
      </c>
      <c r="P85">
        <v>3.1057779788970898</v>
      </c>
      <c r="Q85" t="s">
        <v>27</v>
      </c>
      <c r="R85">
        <v>12.9700002670288</v>
      </c>
      <c r="S85">
        <v>12.5</v>
      </c>
      <c r="T85">
        <v>40.943546295166001</v>
      </c>
      <c r="U85" t="s">
        <v>27</v>
      </c>
      <c r="V85">
        <v>-125879000</v>
      </c>
      <c r="W85">
        <v>6.7159872055053702</v>
      </c>
      <c r="X85">
        <v>0.25</v>
      </c>
      <c r="Y85">
        <v>5.1199998855590803</v>
      </c>
      <c r="Z85">
        <v>-30.8139533996582</v>
      </c>
      <c r="AA85">
        <v>12115000</v>
      </c>
      <c r="AB85" t="s">
        <v>27</v>
      </c>
      <c r="AC85" t="s">
        <v>27</v>
      </c>
      <c r="AD85">
        <v>0</v>
      </c>
      <c r="AE85" t="s">
        <v>27</v>
      </c>
      <c r="AF85">
        <v>22.188626180936801</v>
      </c>
      <c r="AG85">
        <v>11529000</v>
      </c>
      <c r="AH85">
        <v>51.997035980224602</v>
      </c>
      <c r="AI85">
        <v>-1.6587009429931601</v>
      </c>
    </row>
    <row r="86" spans="1:35">
      <c r="A86">
        <f t="shared" si="8"/>
        <v>1</v>
      </c>
      <c r="B86">
        <f t="shared" si="9"/>
        <v>1</v>
      </c>
      <c r="C86">
        <f t="shared" si="10"/>
        <v>0</v>
      </c>
      <c r="D86">
        <f t="shared" si="11"/>
        <v>1</v>
      </c>
      <c r="E86">
        <f t="shared" si="12"/>
        <v>0</v>
      </c>
      <c r="F86">
        <f t="shared" si="13"/>
        <v>0</v>
      </c>
      <c r="G86">
        <f t="shared" si="14"/>
        <v>1</v>
      </c>
      <c r="H86">
        <v>0</v>
      </c>
      <c r="I86">
        <f t="shared" si="15"/>
        <v>0</v>
      </c>
      <c r="J86">
        <v>0</v>
      </c>
      <c r="K86" t="s">
        <v>385</v>
      </c>
      <c r="L86" t="s">
        <v>386</v>
      </c>
      <c r="M86" t="s">
        <v>27</v>
      </c>
      <c r="N86" t="s">
        <v>27</v>
      </c>
      <c r="O86">
        <v>1.82</v>
      </c>
      <c r="P86" t="s">
        <v>27</v>
      </c>
      <c r="Q86" t="s">
        <v>27</v>
      </c>
      <c r="R86">
        <v>7.9800000190734899</v>
      </c>
      <c r="S86">
        <v>8.59375</v>
      </c>
      <c r="T86">
        <v>150.96464538574199</v>
      </c>
      <c r="U86">
        <v>47.836761474609403</v>
      </c>
      <c r="V86">
        <v>-2223000</v>
      </c>
      <c r="W86">
        <v>-121.158500671387</v>
      </c>
      <c r="X86">
        <v>-2.6800000667571999</v>
      </c>
      <c r="Y86">
        <v>-100.31999969482401</v>
      </c>
      <c r="Z86">
        <v>-14.342104911804199</v>
      </c>
      <c r="AA86">
        <v>20353000</v>
      </c>
      <c r="AB86" t="s">
        <v>27</v>
      </c>
      <c r="AC86" t="s">
        <v>27</v>
      </c>
      <c r="AD86">
        <v>-0.33000001311302202</v>
      </c>
      <c r="AE86">
        <v>61.2235107421875</v>
      </c>
      <c r="AF86">
        <v>52.0311742436499</v>
      </c>
      <c r="AG86">
        <v>69524000</v>
      </c>
      <c r="AH86">
        <v>103.089241027832</v>
      </c>
      <c r="AI86">
        <v>-38.451126098632798</v>
      </c>
    </row>
    <row r="87" spans="1:35">
      <c r="A87">
        <f t="shared" si="8"/>
        <v>1</v>
      </c>
      <c r="B87">
        <f t="shared" si="9"/>
        <v>1</v>
      </c>
      <c r="C87">
        <f t="shared" si="10"/>
        <v>0</v>
      </c>
      <c r="D87">
        <f t="shared" si="11"/>
        <v>1</v>
      </c>
      <c r="E87">
        <f t="shared" si="12"/>
        <v>0</v>
      </c>
      <c r="F87">
        <f t="shared" si="13"/>
        <v>0</v>
      </c>
      <c r="G87">
        <f t="shared" si="14"/>
        <v>0</v>
      </c>
      <c r="H87">
        <v>0</v>
      </c>
      <c r="I87">
        <f t="shared" si="15"/>
        <v>1</v>
      </c>
      <c r="J87">
        <v>0</v>
      </c>
      <c r="K87" t="s">
        <v>389</v>
      </c>
      <c r="L87" t="s">
        <v>390</v>
      </c>
      <c r="M87" t="s">
        <v>27</v>
      </c>
      <c r="N87" t="s">
        <v>27</v>
      </c>
      <c r="O87">
        <v>7.55</v>
      </c>
      <c r="P87" t="s">
        <v>27</v>
      </c>
      <c r="Q87" t="s">
        <v>27</v>
      </c>
      <c r="R87">
        <v>6.5</v>
      </c>
      <c r="S87">
        <v>6.5625</v>
      </c>
      <c r="T87">
        <v>0.37383401393890398</v>
      </c>
      <c r="U87">
        <v>-88.818893432617202</v>
      </c>
      <c r="V87">
        <v>-3973000</v>
      </c>
      <c r="W87">
        <v>-99.086769104003906</v>
      </c>
      <c r="X87">
        <v>-0.30000001192092901</v>
      </c>
      <c r="Y87" t="s">
        <v>27</v>
      </c>
      <c r="Z87">
        <v>-16.777042388916001</v>
      </c>
      <c r="AA87">
        <v>23888990</v>
      </c>
      <c r="AB87" t="s">
        <v>27</v>
      </c>
      <c r="AC87" t="s">
        <v>27</v>
      </c>
      <c r="AD87">
        <v>-0.18000000715255701</v>
      </c>
      <c r="AE87">
        <v>-685.89984130859398</v>
      </c>
      <c r="AF87" t="s">
        <v>27</v>
      </c>
      <c r="AG87">
        <v>27785000</v>
      </c>
      <c r="AH87">
        <v>0.14230999350547799</v>
      </c>
      <c r="AI87">
        <v>-38.051723480224602</v>
      </c>
    </row>
    <row r="88" spans="1:35">
      <c r="A88">
        <f t="shared" si="8"/>
        <v>1</v>
      </c>
      <c r="B88">
        <f t="shared" si="9"/>
        <v>1</v>
      </c>
      <c r="C88">
        <f t="shared" si="10"/>
        <v>0</v>
      </c>
      <c r="D88">
        <f t="shared" si="11"/>
        <v>0</v>
      </c>
      <c r="E88">
        <f t="shared" si="12"/>
        <v>0</v>
      </c>
      <c r="F88">
        <f t="shared" si="13"/>
        <v>1</v>
      </c>
      <c r="G88">
        <f t="shared" si="14"/>
        <v>0</v>
      </c>
      <c r="H88">
        <v>0</v>
      </c>
      <c r="I88">
        <f t="shared" si="15"/>
        <v>0</v>
      </c>
      <c r="J88">
        <v>0</v>
      </c>
      <c r="K88" t="s">
        <v>396</v>
      </c>
      <c r="L88" t="s">
        <v>397</v>
      </c>
      <c r="M88" t="s">
        <v>27</v>
      </c>
      <c r="N88" t="s">
        <v>27</v>
      </c>
      <c r="O88">
        <v>1.23</v>
      </c>
      <c r="P88">
        <v>6.4861788749694798</v>
      </c>
      <c r="Q88" t="s">
        <v>27</v>
      </c>
      <c r="R88">
        <v>15.949999809265099</v>
      </c>
      <c r="S88">
        <v>34.090000152587898</v>
      </c>
      <c r="T88">
        <v>62.069492340087898</v>
      </c>
      <c r="U88" t="s">
        <v>27</v>
      </c>
      <c r="V88">
        <v>-33607000</v>
      </c>
      <c r="W88">
        <v>2.5788869857788099</v>
      </c>
      <c r="X88">
        <v>0.52999997138977095</v>
      </c>
      <c r="Y88">
        <v>5.51916408538818</v>
      </c>
      <c r="Z88">
        <v>12.8531084060669</v>
      </c>
      <c r="AA88">
        <v>38042000</v>
      </c>
      <c r="AB88" t="s">
        <v>27</v>
      </c>
      <c r="AC88" t="s">
        <v>27</v>
      </c>
      <c r="AD88">
        <v>-1.2799999713897701</v>
      </c>
      <c r="AE88" t="s">
        <v>27</v>
      </c>
      <c r="AF88">
        <v>6.8392530084124896</v>
      </c>
      <c r="AG88">
        <v>38229000</v>
      </c>
      <c r="AH88">
        <v>52.824619293212898</v>
      </c>
      <c r="AI88">
        <v>3.9504430294036901</v>
      </c>
    </row>
    <row r="89" spans="1:35">
      <c r="A89">
        <f t="shared" si="8"/>
        <v>1</v>
      </c>
      <c r="B89">
        <f t="shared" si="9"/>
        <v>0</v>
      </c>
      <c r="C89">
        <f t="shared" si="10"/>
        <v>1</v>
      </c>
      <c r="D89">
        <f t="shared" si="11"/>
        <v>1</v>
      </c>
      <c r="E89">
        <f t="shared" si="12"/>
        <v>0</v>
      </c>
      <c r="F89">
        <f t="shared" si="13"/>
        <v>0</v>
      </c>
      <c r="G89">
        <f t="shared" si="14"/>
        <v>0</v>
      </c>
      <c r="H89">
        <v>0</v>
      </c>
      <c r="I89">
        <f t="shared" si="15"/>
        <v>0</v>
      </c>
      <c r="J89">
        <v>0</v>
      </c>
      <c r="K89" t="s">
        <v>404</v>
      </c>
      <c r="L89" t="s">
        <v>405</v>
      </c>
      <c r="M89" t="s">
        <v>27</v>
      </c>
      <c r="N89" t="s">
        <v>27</v>
      </c>
      <c r="O89">
        <v>0.5</v>
      </c>
      <c r="P89" t="s">
        <v>27</v>
      </c>
      <c r="Q89" t="s">
        <v>27</v>
      </c>
      <c r="R89">
        <v>4.9000000953674299</v>
      </c>
      <c r="S89">
        <v>4.8000001907348597</v>
      </c>
      <c r="T89">
        <v>61.954906463622997</v>
      </c>
      <c r="U89">
        <v>48.478408813476598</v>
      </c>
      <c r="V89">
        <v>15118000</v>
      </c>
      <c r="W89">
        <v>-0.26981800794601402</v>
      </c>
      <c r="X89">
        <v>-0.21999999880790699</v>
      </c>
      <c r="Y89">
        <v>-1.8113210201263401</v>
      </c>
      <c r="Z89">
        <v>-7.7694230079650897</v>
      </c>
      <c r="AA89">
        <v>73893000</v>
      </c>
      <c r="AB89" t="s">
        <v>27</v>
      </c>
      <c r="AC89" t="s">
        <v>27</v>
      </c>
      <c r="AD89">
        <v>-5.0000000745058101E-2</v>
      </c>
      <c r="AE89">
        <v>43.083976745605497</v>
      </c>
      <c r="AF89">
        <v>8.8225793421093606</v>
      </c>
      <c r="AG89">
        <v>71610000</v>
      </c>
      <c r="AH89">
        <v>61.274021148681598</v>
      </c>
      <c r="AI89">
        <v>-3.7463800907135001</v>
      </c>
    </row>
    <row r="90" spans="1:35">
      <c r="A90">
        <f t="shared" si="8"/>
        <v>1</v>
      </c>
      <c r="B90">
        <f t="shared" si="9"/>
        <v>1</v>
      </c>
      <c r="C90">
        <f t="shared" si="10"/>
        <v>0</v>
      </c>
      <c r="D90">
        <f t="shared" si="11"/>
        <v>0</v>
      </c>
      <c r="E90">
        <f t="shared" si="12"/>
        <v>0</v>
      </c>
      <c r="F90">
        <f t="shared" si="13"/>
        <v>1</v>
      </c>
      <c r="G90">
        <f t="shared" si="14"/>
        <v>0</v>
      </c>
      <c r="H90">
        <v>0</v>
      </c>
      <c r="I90">
        <f t="shared" si="15"/>
        <v>0</v>
      </c>
      <c r="J90">
        <v>0</v>
      </c>
      <c r="K90" t="s">
        <v>406</v>
      </c>
      <c r="L90" t="s">
        <v>407</v>
      </c>
      <c r="M90" t="s">
        <v>27</v>
      </c>
      <c r="N90" t="s">
        <v>27</v>
      </c>
      <c r="O90">
        <v>6.1</v>
      </c>
      <c r="P90" t="s">
        <v>27</v>
      </c>
      <c r="Q90" t="s">
        <v>27</v>
      </c>
      <c r="R90">
        <v>11.710000038146999</v>
      </c>
      <c r="S90">
        <v>13.625</v>
      </c>
      <c r="T90">
        <v>0.91093599796295199</v>
      </c>
      <c r="U90">
        <v>50.446189880371101</v>
      </c>
      <c r="V90">
        <v>-8652565</v>
      </c>
      <c r="W90">
        <v>8.6011323928833008</v>
      </c>
      <c r="X90">
        <v>0.28000000119209301</v>
      </c>
      <c r="Y90" t="s">
        <v>27</v>
      </c>
      <c r="Z90" t="s">
        <v>27</v>
      </c>
      <c r="AA90">
        <v>16618999</v>
      </c>
      <c r="AB90" t="s">
        <v>27</v>
      </c>
      <c r="AC90" t="s">
        <v>27</v>
      </c>
      <c r="AD90">
        <v>0.25</v>
      </c>
      <c r="AE90">
        <v>45.6940727233887</v>
      </c>
      <c r="AF90" t="s">
        <v>27</v>
      </c>
      <c r="AG90">
        <v>27690000</v>
      </c>
      <c r="AH90">
        <v>0</v>
      </c>
      <c r="AI90" t="s">
        <v>27</v>
      </c>
    </row>
    <row r="91" spans="1:35">
      <c r="A91">
        <f t="shared" si="8"/>
        <v>0</v>
      </c>
      <c r="B91">
        <f t="shared" si="9"/>
        <v>0</v>
      </c>
      <c r="C91">
        <f t="shared" si="10"/>
        <v>0</v>
      </c>
      <c r="D91">
        <f t="shared" si="11"/>
        <v>0</v>
      </c>
      <c r="E91">
        <f t="shared" si="12"/>
        <v>0</v>
      </c>
      <c r="F91">
        <f t="shared" si="13"/>
        <v>0</v>
      </c>
      <c r="G91">
        <f t="shared" si="14"/>
        <v>0</v>
      </c>
      <c r="H91">
        <v>0</v>
      </c>
      <c r="I91">
        <f t="shared" si="15"/>
        <v>0</v>
      </c>
      <c r="J91">
        <v>0</v>
      </c>
      <c r="K91" t="s">
        <v>416</v>
      </c>
      <c r="L91" t="s">
        <v>417</v>
      </c>
      <c r="M91" t="s">
        <v>27</v>
      </c>
      <c r="N91" t="s">
        <v>27</v>
      </c>
      <c r="O91">
        <v>2.6989999999999998</v>
      </c>
      <c r="P91">
        <v>12.881924629211399</v>
      </c>
      <c r="Q91" t="s">
        <v>27</v>
      </c>
      <c r="R91">
        <v>7.5199999809265101</v>
      </c>
      <c r="S91">
        <v>16.9375</v>
      </c>
      <c r="T91">
        <v>1.4539999887347201E-2</v>
      </c>
      <c r="U91">
        <v>31.605852127075199</v>
      </c>
      <c r="V91">
        <v>-31231000</v>
      </c>
      <c r="W91">
        <v>4.4981050491332999</v>
      </c>
      <c r="X91">
        <v>0.15000000596046401</v>
      </c>
      <c r="Y91">
        <v>2.61478590965271</v>
      </c>
      <c r="Z91">
        <v>1.9379849433898899</v>
      </c>
      <c r="AA91">
        <v>73617000</v>
      </c>
      <c r="AB91" t="s">
        <v>27</v>
      </c>
      <c r="AC91" t="s">
        <v>27</v>
      </c>
      <c r="AD91">
        <v>-0.72000002861022905</v>
      </c>
      <c r="AE91">
        <v>-45.3151245117188</v>
      </c>
      <c r="AF91" t="s">
        <v>27</v>
      </c>
      <c r="AG91">
        <v>82097000</v>
      </c>
      <c r="AH91">
        <v>0.43865999579429599</v>
      </c>
      <c r="AI91">
        <v>-2.1062269210815399</v>
      </c>
    </row>
    <row r="92" spans="1:35">
      <c r="A92">
        <f t="shared" si="8"/>
        <v>0</v>
      </c>
      <c r="B92">
        <f t="shared" si="9"/>
        <v>1</v>
      </c>
      <c r="C92">
        <f t="shared" si="10"/>
        <v>1</v>
      </c>
      <c r="D92">
        <f t="shared" si="11"/>
        <v>0</v>
      </c>
      <c r="E92">
        <f t="shared" si="12"/>
        <v>0</v>
      </c>
      <c r="F92">
        <f t="shared" si="13"/>
        <v>0</v>
      </c>
      <c r="G92">
        <f t="shared" si="14"/>
        <v>1</v>
      </c>
      <c r="H92">
        <v>0</v>
      </c>
      <c r="I92">
        <f t="shared" si="15"/>
        <v>1</v>
      </c>
      <c r="J92">
        <v>0</v>
      </c>
      <c r="K92" t="s">
        <v>418</v>
      </c>
      <c r="L92" t="s">
        <v>419</v>
      </c>
      <c r="M92" t="s">
        <v>27</v>
      </c>
      <c r="N92" t="s">
        <v>27</v>
      </c>
      <c r="O92">
        <v>21.25</v>
      </c>
      <c r="P92" t="s">
        <v>27</v>
      </c>
      <c r="Q92" t="s">
        <v>27</v>
      </c>
      <c r="R92">
        <v>11.5200004577637</v>
      </c>
      <c r="S92">
        <v>21.0625</v>
      </c>
      <c r="T92">
        <v>5.26479291915894</v>
      </c>
      <c r="U92">
        <v>50.282787322997997</v>
      </c>
      <c r="V92">
        <v>9722000</v>
      </c>
      <c r="W92">
        <v>-34.441291809082003</v>
      </c>
      <c r="X92">
        <v>-0.44999998807907099</v>
      </c>
      <c r="Y92">
        <v>-12.3999996185303</v>
      </c>
      <c r="Z92">
        <v>2.1947870254516602</v>
      </c>
      <c r="AA92">
        <v>25391000</v>
      </c>
      <c r="AB92" t="s">
        <v>38</v>
      </c>
      <c r="AC92" t="s">
        <v>39</v>
      </c>
      <c r="AD92">
        <v>-0.55000001192092896</v>
      </c>
      <c r="AE92">
        <v>50.680965423583999</v>
      </c>
      <c r="AF92">
        <v>32.6118179420451</v>
      </c>
      <c r="AG92">
        <v>26039000</v>
      </c>
      <c r="AH92">
        <v>6.2458357810974103</v>
      </c>
      <c r="AI92">
        <v>-19.480869293212901</v>
      </c>
    </row>
    <row r="93" spans="1:35">
      <c r="A93">
        <f t="shared" si="8"/>
        <v>0</v>
      </c>
      <c r="B93">
        <f t="shared" si="9"/>
        <v>0</v>
      </c>
      <c r="C93">
        <f t="shared" si="10"/>
        <v>0</v>
      </c>
      <c r="D93">
        <f t="shared" si="11"/>
        <v>1</v>
      </c>
      <c r="E93">
        <f t="shared" si="12"/>
        <v>0</v>
      </c>
      <c r="F93">
        <f t="shared" si="13"/>
        <v>0</v>
      </c>
      <c r="G93">
        <f t="shared" si="14"/>
        <v>0</v>
      </c>
      <c r="H93">
        <v>0</v>
      </c>
      <c r="I93">
        <f t="shared" si="15"/>
        <v>0</v>
      </c>
      <c r="J93">
        <v>0</v>
      </c>
      <c r="K93" t="s">
        <v>420</v>
      </c>
      <c r="L93" t="s">
        <v>421</v>
      </c>
      <c r="M93" t="s">
        <v>27</v>
      </c>
      <c r="N93" t="s">
        <v>27</v>
      </c>
      <c r="O93">
        <v>4.8099999999999996</v>
      </c>
      <c r="P93" t="s">
        <v>27</v>
      </c>
      <c r="Q93" t="s">
        <v>27</v>
      </c>
      <c r="R93">
        <v>11.0299997329712</v>
      </c>
      <c r="S93">
        <v>19.375</v>
      </c>
      <c r="T93">
        <v>4.9990730285644496</v>
      </c>
      <c r="U93" t="s">
        <v>27</v>
      </c>
      <c r="V93">
        <v>-5959999.5</v>
      </c>
      <c r="W93" t="s">
        <v>27</v>
      </c>
      <c r="X93">
        <v>-0.239999994635582</v>
      </c>
      <c r="Y93" t="s">
        <v>27</v>
      </c>
      <c r="Z93" t="s">
        <v>27</v>
      </c>
      <c r="AA93">
        <v>12359000</v>
      </c>
      <c r="AB93" t="s">
        <v>27</v>
      </c>
      <c r="AC93" t="s">
        <v>27</v>
      </c>
      <c r="AD93">
        <v>-0.20000000298023199</v>
      </c>
      <c r="AE93" t="s">
        <v>27</v>
      </c>
      <c r="AF93" t="s">
        <v>27</v>
      </c>
      <c r="AG93">
        <v>17000000</v>
      </c>
      <c r="AH93">
        <v>5.10042476654053</v>
      </c>
      <c r="AI93">
        <v>-164.40081787109401</v>
      </c>
    </row>
    <row r="94" spans="1:35">
      <c r="A94">
        <f t="shared" si="8"/>
        <v>0</v>
      </c>
      <c r="B94">
        <f t="shared" si="9"/>
        <v>0</v>
      </c>
      <c r="C94">
        <f t="shared" si="10"/>
        <v>1</v>
      </c>
      <c r="D94">
        <f t="shared" si="11"/>
        <v>1</v>
      </c>
      <c r="E94">
        <f t="shared" si="12"/>
        <v>0</v>
      </c>
      <c r="F94">
        <f t="shared" si="13"/>
        <v>0</v>
      </c>
      <c r="G94">
        <f t="shared" si="14"/>
        <v>0</v>
      </c>
      <c r="H94">
        <v>0</v>
      </c>
      <c r="I94">
        <f t="shared" si="15"/>
        <v>0</v>
      </c>
      <c r="J94">
        <v>0</v>
      </c>
      <c r="K94" t="s">
        <v>427</v>
      </c>
      <c r="L94" t="s">
        <v>428</v>
      </c>
      <c r="M94" t="s">
        <v>27</v>
      </c>
      <c r="N94" t="s">
        <v>27</v>
      </c>
      <c r="O94">
        <v>25.1</v>
      </c>
      <c r="P94" t="s">
        <v>27</v>
      </c>
      <c r="Q94" t="s">
        <v>27</v>
      </c>
      <c r="R94">
        <v>25.0100002288818</v>
      </c>
      <c r="S94">
        <v>31</v>
      </c>
      <c r="T94">
        <v>0</v>
      </c>
      <c r="U94">
        <v>50.124427795410199</v>
      </c>
      <c r="V94">
        <v>15897000</v>
      </c>
      <c r="W94" t="s">
        <v>27</v>
      </c>
      <c r="X94">
        <v>-2.8900001049041699</v>
      </c>
      <c r="Y94" t="s">
        <v>27</v>
      </c>
      <c r="Z94">
        <v>6.5188169479370099</v>
      </c>
      <c r="AA94">
        <v>43492000</v>
      </c>
      <c r="AB94" t="s">
        <v>27</v>
      </c>
      <c r="AC94" t="s">
        <v>27</v>
      </c>
      <c r="AD94">
        <v>-0.66000002622604403</v>
      </c>
      <c r="AE94">
        <v>45.278156280517599</v>
      </c>
      <c r="AF94">
        <v>13.635588622245301</v>
      </c>
      <c r="AG94">
        <v>44596000</v>
      </c>
      <c r="AH94">
        <v>0</v>
      </c>
      <c r="AI94">
        <v>-28.3754787445068</v>
      </c>
    </row>
    <row r="95" spans="1:35">
      <c r="A95">
        <f t="shared" si="8"/>
        <v>0</v>
      </c>
      <c r="B95">
        <f t="shared" si="9"/>
        <v>1</v>
      </c>
      <c r="C95">
        <f t="shared" si="10"/>
        <v>1</v>
      </c>
      <c r="D95">
        <f t="shared" si="11"/>
        <v>0</v>
      </c>
      <c r="E95">
        <f t="shared" si="12"/>
        <v>0</v>
      </c>
      <c r="F95">
        <f t="shared" si="13"/>
        <v>1</v>
      </c>
      <c r="G95">
        <f t="shared" si="14"/>
        <v>1</v>
      </c>
      <c r="H95">
        <v>0</v>
      </c>
      <c r="I95">
        <f t="shared" si="15"/>
        <v>1</v>
      </c>
      <c r="J95">
        <v>0</v>
      </c>
      <c r="K95" t="s">
        <v>431</v>
      </c>
      <c r="L95" t="s">
        <v>432</v>
      </c>
      <c r="M95" t="s">
        <v>27</v>
      </c>
      <c r="N95" t="s">
        <v>27</v>
      </c>
      <c r="O95">
        <v>23.55</v>
      </c>
      <c r="P95">
        <v>19.294775009155298</v>
      </c>
      <c r="Q95" t="s">
        <v>27</v>
      </c>
      <c r="R95">
        <v>19.899999618530298</v>
      </c>
      <c r="S95">
        <v>16.9899997711182</v>
      </c>
      <c r="T95">
        <v>61.231193542480497</v>
      </c>
      <c r="U95">
        <v>10.6075038909912</v>
      </c>
      <c r="V95">
        <v>14413000</v>
      </c>
      <c r="W95">
        <v>3.7429211139678999</v>
      </c>
      <c r="X95">
        <v>0.239999994635582</v>
      </c>
      <c r="Y95">
        <v>25.704917907714801</v>
      </c>
      <c r="Z95">
        <v>-2.86247706413269</v>
      </c>
      <c r="AA95">
        <v>31477000</v>
      </c>
      <c r="AB95" t="s">
        <v>52</v>
      </c>
      <c r="AC95" t="s">
        <v>53</v>
      </c>
      <c r="AD95">
        <v>7.9999998211860698E-2</v>
      </c>
      <c r="AE95">
        <v>10.936470031738301</v>
      </c>
      <c r="AF95">
        <v>9.1167831596326501</v>
      </c>
      <c r="AG95">
        <v>31715000</v>
      </c>
      <c r="AH95">
        <v>64.015281677246094</v>
      </c>
      <c r="AI95">
        <v>6.0006680488586399</v>
      </c>
    </row>
    <row r="96" spans="1:35">
      <c r="A96">
        <f t="shared" si="8"/>
        <v>1</v>
      </c>
      <c r="B96">
        <f t="shared" si="9"/>
        <v>0</v>
      </c>
      <c r="C96">
        <f t="shared" si="10"/>
        <v>0</v>
      </c>
      <c r="D96">
        <f t="shared" si="11"/>
        <v>1</v>
      </c>
      <c r="E96">
        <f t="shared" si="12"/>
        <v>0</v>
      </c>
      <c r="F96">
        <f t="shared" si="13"/>
        <v>1</v>
      </c>
      <c r="G96">
        <f t="shared" si="14"/>
        <v>0</v>
      </c>
      <c r="H96">
        <v>0</v>
      </c>
      <c r="I96">
        <f t="shared" si="15"/>
        <v>0</v>
      </c>
      <c r="J96">
        <v>0</v>
      </c>
      <c r="K96" t="s">
        <v>433</v>
      </c>
      <c r="L96" t="s">
        <v>434</v>
      </c>
      <c r="M96" t="s">
        <v>27</v>
      </c>
      <c r="N96" t="s">
        <v>27</v>
      </c>
      <c r="O96">
        <v>1.0900000000000001</v>
      </c>
      <c r="P96" t="s">
        <v>27</v>
      </c>
      <c r="Q96" t="s">
        <v>27</v>
      </c>
      <c r="R96">
        <v>11</v>
      </c>
      <c r="S96">
        <v>37</v>
      </c>
      <c r="T96">
        <v>32.078746795654297</v>
      </c>
      <c r="U96">
        <v>37.904998779296903</v>
      </c>
      <c r="V96">
        <v>-5940999.5</v>
      </c>
      <c r="W96" t="s">
        <v>27</v>
      </c>
      <c r="X96">
        <v>7.9999998211860698E-2</v>
      </c>
      <c r="Y96" t="s">
        <v>27</v>
      </c>
      <c r="Z96" t="s">
        <v>27</v>
      </c>
      <c r="AA96">
        <v>18659000</v>
      </c>
      <c r="AB96" t="s">
        <v>38</v>
      </c>
      <c r="AC96" t="s">
        <v>118</v>
      </c>
      <c r="AD96">
        <v>0.66000002622604403</v>
      </c>
      <c r="AE96">
        <v>34.309741973877003</v>
      </c>
      <c r="AF96" t="s">
        <v>27</v>
      </c>
      <c r="AG96">
        <v>21952000</v>
      </c>
      <c r="AH96">
        <v>13.6543836593628</v>
      </c>
      <c r="AI96" t="s">
        <v>27</v>
      </c>
    </row>
    <row r="97" spans="1:35">
      <c r="A97">
        <f t="shared" si="8"/>
        <v>1</v>
      </c>
      <c r="B97">
        <f t="shared" si="9"/>
        <v>1</v>
      </c>
      <c r="C97">
        <f t="shared" si="10"/>
        <v>1</v>
      </c>
      <c r="D97">
        <f t="shared" si="11"/>
        <v>1</v>
      </c>
      <c r="E97">
        <f t="shared" si="12"/>
        <v>0</v>
      </c>
      <c r="F97">
        <f t="shared" si="13"/>
        <v>1</v>
      </c>
      <c r="G97">
        <f t="shared" si="14"/>
        <v>1</v>
      </c>
      <c r="H97">
        <v>0</v>
      </c>
      <c r="I97">
        <f t="shared" si="15"/>
        <v>0</v>
      </c>
      <c r="J97">
        <v>0</v>
      </c>
      <c r="K97" t="s">
        <v>448</v>
      </c>
      <c r="L97" t="s">
        <v>449</v>
      </c>
      <c r="M97" t="s">
        <v>27</v>
      </c>
      <c r="N97" t="s">
        <v>27</v>
      </c>
      <c r="O97">
        <v>15.79</v>
      </c>
      <c r="P97" t="s">
        <v>27</v>
      </c>
      <c r="Q97">
        <v>19.594196319580099</v>
      </c>
      <c r="R97">
        <v>17.139999389648398</v>
      </c>
      <c r="S97">
        <v>2.75</v>
      </c>
      <c r="T97">
        <v>98.072303771972699</v>
      </c>
      <c r="U97">
        <v>38.17578125</v>
      </c>
      <c r="V97">
        <v>4328000</v>
      </c>
      <c r="W97">
        <v>-4.24961185455322</v>
      </c>
      <c r="X97">
        <v>4.2500000447034801E-2</v>
      </c>
      <c r="Y97">
        <v>-22.193548202514599</v>
      </c>
      <c r="Z97" t="s">
        <v>27</v>
      </c>
      <c r="AA97">
        <v>41008000</v>
      </c>
      <c r="AB97" t="s">
        <v>30</v>
      </c>
      <c r="AC97" t="s">
        <v>223</v>
      </c>
      <c r="AD97">
        <v>8.5000000894069699E-2</v>
      </c>
      <c r="AE97">
        <v>38.602592468261697</v>
      </c>
      <c r="AF97">
        <v>9.1643730094325608</v>
      </c>
      <c r="AG97">
        <v>43762000</v>
      </c>
      <c r="AH97">
        <v>88.327262878417997</v>
      </c>
      <c r="AI97">
        <v>4.0099458694457999</v>
      </c>
    </row>
    <row r="98" spans="1:35">
      <c r="A98">
        <f t="shared" si="8"/>
        <v>1</v>
      </c>
      <c r="B98">
        <f t="shared" si="9"/>
        <v>1</v>
      </c>
      <c r="C98">
        <f t="shared" si="10"/>
        <v>1</v>
      </c>
      <c r="D98">
        <f t="shared" si="11"/>
        <v>0</v>
      </c>
      <c r="E98">
        <f t="shared" si="12"/>
        <v>0</v>
      </c>
      <c r="F98">
        <f t="shared" si="13"/>
        <v>1</v>
      </c>
      <c r="G98">
        <f t="shared" si="14"/>
        <v>1</v>
      </c>
      <c r="H98">
        <v>0</v>
      </c>
      <c r="I98">
        <f t="shared" si="15"/>
        <v>0</v>
      </c>
      <c r="J98">
        <v>0</v>
      </c>
      <c r="K98" t="s">
        <v>450</v>
      </c>
      <c r="L98" t="s">
        <v>451</v>
      </c>
      <c r="M98" t="s">
        <v>27</v>
      </c>
      <c r="N98" t="s">
        <v>27</v>
      </c>
      <c r="O98">
        <v>8.34</v>
      </c>
      <c r="P98" t="s">
        <v>27</v>
      </c>
      <c r="Q98" t="s">
        <v>27</v>
      </c>
      <c r="R98">
        <v>19.399999618530298</v>
      </c>
      <c r="S98">
        <v>30.100000381469702</v>
      </c>
      <c r="T98">
        <v>43.013362884521499</v>
      </c>
      <c r="U98">
        <v>25.2651882171631</v>
      </c>
      <c r="V98">
        <v>73711000</v>
      </c>
      <c r="W98">
        <v>3.4053421020507799</v>
      </c>
      <c r="X98">
        <v>1.5</v>
      </c>
      <c r="Y98" t="s">
        <v>27</v>
      </c>
      <c r="Z98" t="s">
        <v>27</v>
      </c>
      <c r="AA98">
        <v>24311000</v>
      </c>
      <c r="AB98" t="s">
        <v>27</v>
      </c>
      <c r="AC98" t="s">
        <v>27</v>
      </c>
      <c r="AD98">
        <v>0.92000001668930098</v>
      </c>
      <c r="AE98">
        <v>25.684888839721701</v>
      </c>
      <c r="AF98" t="s">
        <v>27</v>
      </c>
      <c r="AG98">
        <v>29059000</v>
      </c>
      <c r="AH98">
        <v>37.601028442382798</v>
      </c>
      <c r="AI98">
        <v>5.4042701721191397</v>
      </c>
    </row>
    <row r="99" spans="1:35">
      <c r="A99">
        <f t="shared" si="8"/>
        <v>0</v>
      </c>
      <c r="B99">
        <f t="shared" si="9"/>
        <v>1</v>
      </c>
      <c r="C99">
        <f t="shared" si="10"/>
        <v>1</v>
      </c>
      <c r="D99">
        <f t="shared" si="11"/>
        <v>0</v>
      </c>
      <c r="E99">
        <f t="shared" si="12"/>
        <v>0</v>
      </c>
      <c r="F99">
        <f t="shared" si="13"/>
        <v>1</v>
      </c>
      <c r="G99">
        <f t="shared" si="14"/>
        <v>0</v>
      </c>
      <c r="H99">
        <v>0</v>
      </c>
      <c r="I99">
        <f t="shared" si="15"/>
        <v>1</v>
      </c>
      <c r="J99">
        <v>0</v>
      </c>
      <c r="K99" t="s">
        <v>456</v>
      </c>
      <c r="L99" t="s">
        <v>457</v>
      </c>
      <c r="M99" t="s">
        <v>27</v>
      </c>
      <c r="N99" t="s">
        <v>27</v>
      </c>
      <c r="O99">
        <v>23.478999999999999</v>
      </c>
      <c r="P99" t="s">
        <v>27</v>
      </c>
      <c r="Q99">
        <v>3.2647249698638898</v>
      </c>
      <c r="R99">
        <v>16.190000534057599</v>
      </c>
      <c r="S99">
        <v>10.25</v>
      </c>
      <c r="T99">
        <v>15.1945858001709</v>
      </c>
      <c r="U99" t="s">
        <v>27</v>
      </c>
      <c r="V99" t="s">
        <v>27</v>
      </c>
      <c r="W99">
        <v>-0.246159002184868</v>
      </c>
      <c r="X99" t="s">
        <v>27</v>
      </c>
      <c r="Y99" t="s">
        <v>27</v>
      </c>
      <c r="Z99" t="s">
        <v>27</v>
      </c>
      <c r="AA99" t="s">
        <v>27</v>
      </c>
      <c r="AB99" t="s">
        <v>34</v>
      </c>
      <c r="AC99" t="s">
        <v>458</v>
      </c>
      <c r="AD99">
        <v>0.230000004172325</v>
      </c>
      <c r="AE99" t="s">
        <v>27</v>
      </c>
      <c r="AF99" t="s">
        <v>27</v>
      </c>
      <c r="AG99">
        <v>21379000</v>
      </c>
      <c r="AH99">
        <v>16.274217605590799</v>
      </c>
      <c r="AI99">
        <v>0.64509201049804699</v>
      </c>
    </row>
    <row r="100" spans="1:35">
      <c r="A100">
        <f t="shared" si="8"/>
        <v>0</v>
      </c>
      <c r="B100">
        <f t="shared" si="9"/>
        <v>1</v>
      </c>
      <c r="C100">
        <f t="shared" si="10"/>
        <v>1</v>
      </c>
      <c r="D100">
        <f t="shared" si="11"/>
        <v>1</v>
      </c>
      <c r="E100">
        <f t="shared" si="12"/>
        <v>0</v>
      </c>
      <c r="F100">
        <f t="shared" si="13"/>
        <v>1</v>
      </c>
      <c r="G100">
        <f t="shared" si="14"/>
        <v>0</v>
      </c>
      <c r="H100">
        <v>0</v>
      </c>
      <c r="I100">
        <f t="shared" si="15"/>
        <v>0</v>
      </c>
      <c r="J100">
        <v>0</v>
      </c>
      <c r="K100" t="s">
        <v>471</v>
      </c>
      <c r="L100" t="s">
        <v>472</v>
      </c>
      <c r="M100" t="s">
        <v>27</v>
      </c>
      <c r="N100" t="s">
        <v>27</v>
      </c>
      <c r="O100">
        <v>30.36</v>
      </c>
      <c r="P100" t="s">
        <v>27</v>
      </c>
      <c r="Q100" t="s">
        <v>27</v>
      </c>
      <c r="R100">
        <v>55.709999084472699</v>
      </c>
      <c r="S100">
        <v>49.125</v>
      </c>
      <c r="T100">
        <v>0</v>
      </c>
      <c r="U100" t="s">
        <v>27</v>
      </c>
      <c r="V100">
        <v>24185000</v>
      </c>
      <c r="W100">
        <v>15.030255317688001</v>
      </c>
      <c r="X100">
        <v>0.64666668574015296</v>
      </c>
      <c r="Y100">
        <v>4.6002011299133301</v>
      </c>
      <c r="Z100">
        <v>4.0932888984680202</v>
      </c>
      <c r="AA100">
        <v>20970000</v>
      </c>
      <c r="AB100" t="s">
        <v>27</v>
      </c>
      <c r="AC100" t="s">
        <v>27</v>
      </c>
      <c r="AD100">
        <v>3.8399999141693102</v>
      </c>
      <c r="AE100" t="s">
        <v>27</v>
      </c>
      <c r="AF100">
        <v>6.5216985704852499</v>
      </c>
      <c r="AG100">
        <v>20925000</v>
      </c>
      <c r="AH100">
        <v>0</v>
      </c>
      <c r="AI100">
        <v>22.9276218414307</v>
      </c>
    </row>
    <row r="101" spans="1:35">
      <c r="A101">
        <f t="shared" si="8"/>
        <v>0</v>
      </c>
      <c r="B101">
        <f t="shared" si="9"/>
        <v>1</v>
      </c>
      <c r="C101">
        <f t="shared" si="10"/>
        <v>0</v>
      </c>
      <c r="D101">
        <f t="shared" si="11"/>
        <v>0</v>
      </c>
      <c r="E101">
        <f t="shared" si="12"/>
        <v>0</v>
      </c>
      <c r="F101">
        <f t="shared" si="13"/>
        <v>0</v>
      </c>
      <c r="G101">
        <f t="shared" si="14"/>
        <v>0</v>
      </c>
      <c r="H101">
        <v>0</v>
      </c>
      <c r="I101">
        <f t="shared" si="15"/>
        <v>0</v>
      </c>
      <c r="J101">
        <v>0</v>
      </c>
      <c r="K101" t="s">
        <v>473</v>
      </c>
      <c r="L101" t="s">
        <v>474</v>
      </c>
      <c r="M101" t="s">
        <v>27</v>
      </c>
      <c r="N101" t="s">
        <v>27</v>
      </c>
      <c r="O101">
        <v>8.3000000000000007</v>
      </c>
      <c r="P101" t="s">
        <v>27</v>
      </c>
      <c r="Q101" t="s">
        <v>27</v>
      </c>
      <c r="R101">
        <v>12</v>
      </c>
      <c r="S101">
        <v>25.375</v>
      </c>
      <c r="T101">
        <v>3.71942090988159</v>
      </c>
      <c r="U101" t="s">
        <v>27</v>
      </c>
      <c r="V101">
        <v>-4293000</v>
      </c>
      <c r="W101">
        <v>-45.346672058105497</v>
      </c>
      <c r="X101">
        <v>-3.9999999105930301E-2</v>
      </c>
      <c r="Y101" t="s">
        <v>27</v>
      </c>
      <c r="Z101">
        <v>-2.5531909465789799</v>
      </c>
      <c r="AA101">
        <v>34862000</v>
      </c>
      <c r="AB101" t="s">
        <v>27</v>
      </c>
      <c r="AC101" t="s">
        <v>27</v>
      </c>
      <c r="AD101">
        <v>-0.109999999403954</v>
      </c>
      <c r="AE101" t="s">
        <v>27</v>
      </c>
      <c r="AF101" t="s">
        <v>27</v>
      </c>
      <c r="AG101">
        <v>35417000</v>
      </c>
      <c r="AH101">
        <v>7.0067658424377397</v>
      </c>
      <c r="AI101">
        <v>-6.0555768013000497</v>
      </c>
    </row>
    <row r="102" spans="1:35">
      <c r="A102">
        <f t="shared" si="8"/>
        <v>1</v>
      </c>
      <c r="B102">
        <f t="shared" si="9"/>
        <v>0</v>
      </c>
      <c r="C102">
        <f t="shared" si="10"/>
        <v>1</v>
      </c>
      <c r="D102">
        <f t="shared" si="11"/>
        <v>0</v>
      </c>
      <c r="E102">
        <f t="shared" si="12"/>
        <v>0</v>
      </c>
      <c r="F102">
        <f t="shared" si="13"/>
        <v>1</v>
      </c>
      <c r="G102">
        <f t="shared" si="14"/>
        <v>0</v>
      </c>
      <c r="H102">
        <v>0</v>
      </c>
      <c r="I102">
        <f t="shared" si="15"/>
        <v>0</v>
      </c>
      <c r="J102">
        <v>0</v>
      </c>
      <c r="K102" t="s">
        <v>475</v>
      </c>
      <c r="L102" t="s">
        <v>476</v>
      </c>
      <c r="M102" t="s">
        <v>27</v>
      </c>
      <c r="N102" t="s">
        <v>27</v>
      </c>
      <c r="O102">
        <v>14.24</v>
      </c>
      <c r="P102">
        <v>2.5658020973205602</v>
      </c>
      <c r="Q102" t="s">
        <v>27</v>
      </c>
      <c r="R102">
        <v>15.539999961853001</v>
      </c>
      <c r="S102">
        <v>12.625</v>
      </c>
      <c r="T102">
        <v>14.0287218093872</v>
      </c>
      <c r="U102">
        <v>17.407707214355501</v>
      </c>
      <c r="V102">
        <v>1525999.875</v>
      </c>
      <c r="W102">
        <v>5.4050388336181596</v>
      </c>
      <c r="X102">
        <v>0.37000000476837203</v>
      </c>
      <c r="Y102">
        <v>11.5471696853638</v>
      </c>
      <c r="Z102">
        <v>4.1994748115539604</v>
      </c>
      <c r="AA102">
        <v>11773000</v>
      </c>
      <c r="AB102" t="s">
        <v>30</v>
      </c>
      <c r="AC102" t="s">
        <v>410</v>
      </c>
      <c r="AD102">
        <v>-0.239999994635582</v>
      </c>
      <c r="AE102">
        <v>14.2474422454834</v>
      </c>
      <c r="AF102">
        <v>9.0142588652482303</v>
      </c>
      <c r="AG102">
        <v>11725000</v>
      </c>
      <c r="AH102">
        <v>4.4159708023071298</v>
      </c>
      <c r="AI102">
        <v>2.9098970890045202</v>
      </c>
    </row>
    <row r="103" spans="1:35">
      <c r="A103">
        <f t="shared" si="8"/>
        <v>0</v>
      </c>
      <c r="B103">
        <f t="shared" si="9"/>
        <v>0</v>
      </c>
      <c r="C103">
        <f t="shared" si="10"/>
        <v>1</v>
      </c>
      <c r="D103">
        <f t="shared" si="11"/>
        <v>0</v>
      </c>
      <c r="E103">
        <f t="shared" si="12"/>
        <v>1</v>
      </c>
      <c r="F103">
        <f t="shared" si="13"/>
        <v>0</v>
      </c>
      <c r="G103">
        <f t="shared" si="14"/>
        <v>0</v>
      </c>
      <c r="H103">
        <v>0</v>
      </c>
      <c r="I103">
        <f t="shared" si="15"/>
        <v>0</v>
      </c>
      <c r="J103">
        <v>0</v>
      </c>
      <c r="K103" t="s">
        <v>480</v>
      </c>
      <c r="L103" t="s">
        <v>481</v>
      </c>
      <c r="M103" t="s">
        <v>27</v>
      </c>
      <c r="N103" t="s">
        <v>27</v>
      </c>
      <c r="O103">
        <v>11.3</v>
      </c>
      <c r="P103" t="s">
        <v>27</v>
      </c>
      <c r="Q103" t="s">
        <v>27</v>
      </c>
      <c r="R103">
        <v>12.300000190734901</v>
      </c>
      <c r="S103">
        <v>15.625</v>
      </c>
      <c r="T103">
        <v>46.378105163574197</v>
      </c>
      <c r="U103">
        <v>71.002037048339801</v>
      </c>
      <c r="V103">
        <v>2298000.25</v>
      </c>
      <c r="W103">
        <v>-3.1799569129943799</v>
      </c>
      <c r="X103">
        <v>2.9999999329447701E-2</v>
      </c>
      <c r="Y103">
        <v>-0.49548399448394798</v>
      </c>
      <c r="Z103">
        <v>-2.92682909965515</v>
      </c>
      <c r="AA103">
        <v>24273000</v>
      </c>
      <c r="AB103" t="s">
        <v>30</v>
      </c>
      <c r="AC103" t="s">
        <v>92</v>
      </c>
      <c r="AD103">
        <v>-0.479999989271164</v>
      </c>
      <c r="AE103">
        <v>68.058990478515597</v>
      </c>
      <c r="AF103" t="s">
        <v>27</v>
      </c>
      <c r="AG103">
        <v>24273000</v>
      </c>
      <c r="AH103">
        <v>70.432060241699205</v>
      </c>
      <c r="AI103">
        <v>-14.6512546539307</v>
      </c>
    </row>
    <row r="104" spans="1:35">
      <c r="A104">
        <f t="shared" si="8"/>
        <v>0</v>
      </c>
      <c r="B104">
        <f t="shared" si="9"/>
        <v>1</v>
      </c>
      <c r="C104">
        <f t="shared" si="10"/>
        <v>1</v>
      </c>
      <c r="D104">
        <f t="shared" si="11"/>
        <v>0</v>
      </c>
      <c r="E104">
        <f t="shared" si="12"/>
        <v>0</v>
      </c>
      <c r="F104">
        <f t="shared" si="13"/>
        <v>1</v>
      </c>
      <c r="G104">
        <f t="shared" si="14"/>
        <v>0</v>
      </c>
      <c r="H104">
        <v>0</v>
      </c>
      <c r="I104">
        <f t="shared" si="15"/>
        <v>0</v>
      </c>
      <c r="J104">
        <v>0</v>
      </c>
      <c r="K104" t="s">
        <v>494</v>
      </c>
      <c r="L104" t="s">
        <v>495</v>
      </c>
      <c r="M104" t="s">
        <v>27</v>
      </c>
      <c r="N104" t="s">
        <v>27</v>
      </c>
      <c r="O104">
        <v>7.05</v>
      </c>
      <c r="P104">
        <v>7.9957189559936497</v>
      </c>
      <c r="Q104" t="s">
        <v>27</v>
      </c>
      <c r="R104">
        <v>14.5</v>
      </c>
      <c r="S104">
        <v>21.375</v>
      </c>
      <c r="T104">
        <v>33.780815124511697</v>
      </c>
      <c r="U104">
        <v>9.3720827102661097</v>
      </c>
      <c r="V104">
        <v>9756001</v>
      </c>
      <c r="W104">
        <v>2.1791799068450901</v>
      </c>
      <c r="X104">
        <v>0.31999999284744302</v>
      </c>
      <c r="Y104">
        <v>2.9760000705718999</v>
      </c>
      <c r="Z104">
        <v>0.13003900647163399</v>
      </c>
      <c r="AA104">
        <v>15572000</v>
      </c>
      <c r="AB104" t="s">
        <v>27</v>
      </c>
      <c r="AC104" t="s">
        <v>27</v>
      </c>
      <c r="AD104">
        <v>-0.87999999523162797</v>
      </c>
      <c r="AE104">
        <v>5.9868397712707502</v>
      </c>
      <c r="AF104">
        <v>13.315318605283201</v>
      </c>
      <c r="AG104">
        <v>16860000</v>
      </c>
      <c r="AH104">
        <v>38.547012329101598</v>
      </c>
      <c r="AI104">
        <v>3.3746490478515598</v>
      </c>
    </row>
    <row r="105" spans="1:35">
      <c r="A105">
        <f t="shared" si="8"/>
        <v>0</v>
      </c>
      <c r="B105">
        <f t="shared" si="9"/>
        <v>0</v>
      </c>
      <c r="C105">
        <f t="shared" si="10"/>
        <v>1</v>
      </c>
      <c r="D105">
        <f t="shared" si="11"/>
        <v>0</v>
      </c>
      <c r="E105">
        <f t="shared" si="12"/>
        <v>0</v>
      </c>
      <c r="F105">
        <f t="shared" si="13"/>
        <v>1</v>
      </c>
      <c r="G105">
        <f t="shared" si="14"/>
        <v>0</v>
      </c>
      <c r="H105">
        <v>0</v>
      </c>
      <c r="I105">
        <f t="shared" si="15"/>
        <v>1</v>
      </c>
      <c r="J105">
        <v>0</v>
      </c>
      <c r="K105" t="s">
        <v>496</v>
      </c>
      <c r="L105" t="s">
        <v>497</v>
      </c>
      <c r="M105" t="s">
        <v>27</v>
      </c>
      <c r="N105" t="s">
        <v>27</v>
      </c>
      <c r="O105">
        <v>32.5</v>
      </c>
      <c r="P105">
        <v>5.0281829833984402</v>
      </c>
      <c r="Q105" t="s">
        <v>27</v>
      </c>
      <c r="R105">
        <v>25.370000839233398</v>
      </c>
      <c r="S105">
        <v>29.0100002288818</v>
      </c>
      <c r="T105">
        <v>23.5961589813232</v>
      </c>
      <c r="U105">
        <v>7.3769412040710396</v>
      </c>
      <c r="V105">
        <v>19200000</v>
      </c>
      <c r="W105">
        <v>2.3882699012756299</v>
      </c>
      <c r="X105">
        <v>0.34000000357627902</v>
      </c>
      <c r="Y105">
        <v>1.4038460254669201</v>
      </c>
      <c r="Z105">
        <v>6.2953991889953604</v>
      </c>
      <c r="AA105">
        <v>19543000</v>
      </c>
      <c r="AB105" t="s">
        <v>38</v>
      </c>
      <c r="AC105" t="s">
        <v>146</v>
      </c>
      <c r="AD105">
        <v>-2.9000000953674299</v>
      </c>
      <c r="AE105">
        <v>7.3256850242614702</v>
      </c>
      <c r="AF105">
        <v>8.6723415964303392</v>
      </c>
      <c r="AG105">
        <v>19645000</v>
      </c>
      <c r="AH105">
        <v>25.8919563293457</v>
      </c>
      <c r="AI105">
        <v>2.2717270851135298</v>
      </c>
    </row>
    <row r="106" spans="1:35">
      <c r="A106">
        <f t="shared" si="8"/>
        <v>0</v>
      </c>
      <c r="B106">
        <f t="shared" si="9"/>
        <v>1</v>
      </c>
      <c r="C106">
        <f t="shared" si="10"/>
        <v>0</v>
      </c>
      <c r="D106">
        <f t="shared" si="11"/>
        <v>0</v>
      </c>
      <c r="E106">
        <f t="shared" si="12"/>
        <v>0</v>
      </c>
      <c r="F106">
        <f t="shared" si="13"/>
        <v>0</v>
      </c>
      <c r="G106">
        <f t="shared" si="14"/>
        <v>0</v>
      </c>
      <c r="H106">
        <v>0</v>
      </c>
      <c r="I106">
        <f t="shared" si="15"/>
        <v>0</v>
      </c>
      <c r="J106">
        <v>0</v>
      </c>
      <c r="K106" t="s">
        <v>500</v>
      </c>
      <c r="L106" t="s">
        <v>501</v>
      </c>
      <c r="M106" t="s">
        <v>27</v>
      </c>
      <c r="N106" t="s">
        <v>27</v>
      </c>
      <c r="O106">
        <v>9.0500000000000007</v>
      </c>
      <c r="P106">
        <v>-3.6737539768218999</v>
      </c>
      <c r="Q106" t="s">
        <v>27</v>
      </c>
      <c r="R106">
        <v>10.3999996185303</v>
      </c>
      <c r="S106">
        <v>7</v>
      </c>
      <c r="T106">
        <v>4.5690498352050799</v>
      </c>
      <c r="U106">
        <v>62.211578369140597</v>
      </c>
      <c r="V106">
        <v>-886000.0625</v>
      </c>
      <c r="W106">
        <v>-5.1227822303771999</v>
      </c>
      <c r="X106">
        <v>-9.9999997764825804E-3</v>
      </c>
      <c r="Y106">
        <v>-0.20000000298023199</v>
      </c>
      <c r="Z106">
        <v>-1.6806720495223999</v>
      </c>
      <c r="AA106">
        <v>13658000</v>
      </c>
      <c r="AB106" t="s">
        <v>27</v>
      </c>
      <c r="AC106" t="s">
        <v>27</v>
      </c>
      <c r="AD106">
        <v>-3.9999999105930301E-2</v>
      </c>
      <c r="AE106">
        <v>56.130611419677699</v>
      </c>
      <c r="AF106" t="s">
        <v>27</v>
      </c>
      <c r="AG106">
        <v>13955000</v>
      </c>
      <c r="AH106">
        <v>5.3962841033935502</v>
      </c>
      <c r="AI106">
        <v>-2.9150528907775901</v>
      </c>
    </row>
    <row r="107" spans="1:35">
      <c r="A107">
        <f t="shared" si="8"/>
        <v>0</v>
      </c>
      <c r="B107">
        <f t="shared" si="9"/>
        <v>0</v>
      </c>
      <c r="C107">
        <f t="shared" si="10"/>
        <v>0</v>
      </c>
      <c r="D107">
        <f t="shared" si="11"/>
        <v>0</v>
      </c>
      <c r="E107">
        <f t="shared" si="12"/>
        <v>0</v>
      </c>
      <c r="F107">
        <f t="shared" si="13"/>
        <v>0</v>
      </c>
      <c r="G107">
        <f t="shared" si="14"/>
        <v>0</v>
      </c>
      <c r="H107">
        <v>0</v>
      </c>
      <c r="I107">
        <f t="shared" si="15"/>
        <v>1</v>
      </c>
      <c r="J107">
        <v>0</v>
      </c>
      <c r="K107" t="s">
        <v>506</v>
      </c>
      <c r="L107" t="s">
        <v>507</v>
      </c>
      <c r="M107" t="s">
        <v>27</v>
      </c>
      <c r="N107" t="s">
        <v>27</v>
      </c>
      <c r="O107">
        <v>16.57</v>
      </c>
      <c r="P107" t="s">
        <v>27</v>
      </c>
      <c r="Q107" t="s">
        <v>27</v>
      </c>
      <c r="R107">
        <v>8.8199996948242205</v>
      </c>
      <c r="S107">
        <v>28.875</v>
      </c>
      <c r="T107">
        <v>0</v>
      </c>
      <c r="U107" t="s">
        <v>27</v>
      </c>
      <c r="V107">
        <v>-1696000</v>
      </c>
      <c r="W107" t="s">
        <v>27</v>
      </c>
      <c r="X107">
        <v>-0.18999999761581399</v>
      </c>
      <c r="Y107">
        <v>-1.9692310094833401</v>
      </c>
      <c r="Z107">
        <v>-2.6467199325561501</v>
      </c>
      <c r="AA107">
        <v>51863000</v>
      </c>
      <c r="AB107" t="s">
        <v>34</v>
      </c>
      <c r="AC107" t="s">
        <v>237</v>
      </c>
      <c r="AD107">
        <v>-0.41999998688697798</v>
      </c>
      <c r="AE107" t="s">
        <v>27</v>
      </c>
      <c r="AF107">
        <v>18.776319144474702</v>
      </c>
      <c r="AG107">
        <v>54974000</v>
      </c>
      <c r="AH107">
        <v>0</v>
      </c>
      <c r="AI107">
        <v>-40.348628997802699</v>
      </c>
    </row>
    <row r="108" spans="1:35">
      <c r="A108">
        <f t="shared" si="8"/>
        <v>1</v>
      </c>
      <c r="B108">
        <f t="shared" si="9"/>
        <v>1</v>
      </c>
      <c r="C108">
        <f t="shared" si="10"/>
        <v>1</v>
      </c>
      <c r="D108">
        <f t="shared" si="11"/>
        <v>1</v>
      </c>
      <c r="E108">
        <f t="shared" si="12"/>
        <v>0</v>
      </c>
      <c r="F108">
        <f t="shared" si="13"/>
        <v>1</v>
      </c>
      <c r="G108">
        <f t="shared" si="14"/>
        <v>1</v>
      </c>
      <c r="H108">
        <v>0</v>
      </c>
      <c r="I108">
        <f t="shared" si="15"/>
        <v>0</v>
      </c>
      <c r="J108">
        <v>0</v>
      </c>
      <c r="K108" t="s">
        <v>514</v>
      </c>
      <c r="L108" t="s">
        <v>515</v>
      </c>
      <c r="M108" t="s">
        <v>27</v>
      </c>
      <c r="N108" t="s">
        <v>27</v>
      </c>
      <c r="O108">
        <v>6.1</v>
      </c>
      <c r="P108" t="s">
        <v>27</v>
      </c>
      <c r="Q108" t="s">
        <v>27</v>
      </c>
      <c r="R108">
        <v>6.53999996185303</v>
      </c>
      <c r="S108">
        <v>2.28125</v>
      </c>
      <c r="T108">
        <v>40.424533843994098</v>
      </c>
      <c r="U108">
        <v>43.795906066894503</v>
      </c>
      <c r="V108">
        <v>2367000</v>
      </c>
      <c r="W108">
        <v>0.29718101024627702</v>
      </c>
      <c r="X108">
        <v>2.9999999329447701E-2</v>
      </c>
      <c r="Y108">
        <v>0.5</v>
      </c>
      <c r="Z108">
        <v>4</v>
      </c>
      <c r="AA108">
        <v>8505000</v>
      </c>
      <c r="AB108" t="s">
        <v>73</v>
      </c>
      <c r="AC108" t="s">
        <v>210</v>
      </c>
      <c r="AD108">
        <v>0.10000000149011599</v>
      </c>
      <c r="AE108">
        <v>45.969108581542997</v>
      </c>
      <c r="AF108">
        <v>10.2182368642334</v>
      </c>
      <c r="AG108">
        <v>11011000</v>
      </c>
      <c r="AH108">
        <v>34.074897766113303</v>
      </c>
      <c r="AI108">
        <v>5.7362117767334002</v>
      </c>
    </row>
    <row r="109" spans="1:35">
      <c r="A109">
        <f t="shared" si="8"/>
        <v>0</v>
      </c>
      <c r="B109">
        <f t="shared" si="9"/>
        <v>1</v>
      </c>
      <c r="C109">
        <f t="shared" si="10"/>
        <v>0</v>
      </c>
      <c r="D109">
        <f t="shared" si="11"/>
        <v>0</v>
      </c>
      <c r="E109">
        <f t="shared" si="12"/>
        <v>0</v>
      </c>
      <c r="F109">
        <f t="shared" si="13"/>
        <v>0</v>
      </c>
      <c r="G109">
        <f t="shared" si="14"/>
        <v>1</v>
      </c>
      <c r="H109">
        <v>0</v>
      </c>
      <c r="I109">
        <f t="shared" si="15"/>
        <v>0</v>
      </c>
      <c r="J109">
        <v>0</v>
      </c>
      <c r="K109" t="s">
        <v>518</v>
      </c>
      <c r="L109" t="s">
        <v>519</v>
      </c>
      <c r="M109" t="s">
        <v>27</v>
      </c>
      <c r="N109" t="s">
        <v>27</v>
      </c>
      <c r="O109">
        <v>10.7</v>
      </c>
      <c r="P109" t="s">
        <v>27</v>
      </c>
      <c r="Q109" t="s">
        <v>27</v>
      </c>
      <c r="R109">
        <v>12.180000305175801</v>
      </c>
      <c r="S109">
        <v>12</v>
      </c>
      <c r="T109">
        <v>0.109212003648281</v>
      </c>
      <c r="U109">
        <v>93.088706970214801</v>
      </c>
      <c r="V109">
        <v>-12564000</v>
      </c>
      <c r="W109">
        <v>-41.570289611816399</v>
      </c>
      <c r="X109">
        <v>-0.230000004172325</v>
      </c>
      <c r="Y109">
        <v>-5.6054420471191397</v>
      </c>
      <c r="Z109">
        <v>-10.7692308425903</v>
      </c>
      <c r="AA109">
        <v>36726000</v>
      </c>
      <c r="AB109" t="s">
        <v>73</v>
      </c>
      <c r="AC109" t="s">
        <v>141</v>
      </c>
      <c r="AD109">
        <v>-0.259999990463257</v>
      </c>
      <c r="AE109" t="s">
        <v>27</v>
      </c>
      <c r="AF109" t="s">
        <v>27</v>
      </c>
      <c r="AG109">
        <v>42253608</v>
      </c>
      <c r="AH109">
        <v>0.26658698916435197</v>
      </c>
      <c r="AI109">
        <v>-41.4046821594238</v>
      </c>
    </row>
    <row r="110" spans="1:35">
      <c r="A110">
        <f t="shared" si="8"/>
        <v>1</v>
      </c>
      <c r="B110">
        <f t="shared" si="9"/>
        <v>0</v>
      </c>
      <c r="C110">
        <f t="shared" si="10"/>
        <v>0</v>
      </c>
      <c r="D110">
        <f t="shared" si="11"/>
        <v>1</v>
      </c>
      <c r="E110">
        <f t="shared" si="12"/>
        <v>0</v>
      </c>
      <c r="F110">
        <f t="shared" si="13"/>
        <v>1</v>
      </c>
      <c r="G110">
        <f t="shared" si="14"/>
        <v>0</v>
      </c>
      <c r="H110">
        <v>0</v>
      </c>
      <c r="I110">
        <f t="shared" si="15"/>
        <v>0</v>
      </c>
      <c r="J110">
        <v>0</v>
      </c>
      <c r="K110" t="s">
        <v>522</v>
      </c>
      <c r="L110" t="s">
        <v>523</v>
      </c>
      <c r="M110" t="s">
        <v>27</v>
      </c>
      <c r="N110" t="s">
        <v>27</v>
      </c>
      <c r="O110">
        <v>5.5010000000000003</v>
      </c>
      <c r="P110" t="s">
        <v>27</v>
      </c>
      <c r="Q110" t="s">
        <v>27</v>
      </c>
      <c r="R110">
        <v>16.75</v>
      </c>
      <c r="S110">
        <v>1.75</v>
      </c>
      <c r="T110">
        <v>4.8368821144104004</v>
      </c>
      <c r="U110">
        <v>12.6405696868896</v>
      </c>
      <c r="V110">
        <v>-2254000</v>
      </c>
      <c r="W110" t="s">
        <v>27</v>
      </c>
      <c r="X110">
        <v>9.9999997764825804E-3</v>
      </c>
      <c r="Y110">
        <v>7.5932202339172399</v>
      </c>
      <c r="Z110">
        <v>3.42857098579407</v>
      </c>
      <c r="AA110">
        <v>21969000</v>
      </c>
      <c r="AB110" t="s">
        <v>73</v>
      </c>
      <c r="AC110" t="s">
        <v>210</v>
      </c>
      <c r="AD110">
        <v>0.20000000298023199</v>
      </c>
      <c r="AE110">
        <v>11.389986038208001</v>
      </c>
      <c r="AF110">
        <v>5.1387591790340803</v>
      </c>
      <c r="AG110">
        <v>21445000</v>
      </c>
      <c r="AH110">
        <v>1.3395969867706301</v>
      </c>
      <c r="AI110" t="s">
        <v>27</v>
      </c>
    </row>
    <row r="111" spans="1:35">
      <c r="A111">
        <f t="shared" si="8"/>
        <v>1</v>
      </c>
      <c r="B111">
        <f t="shared" si="9"/>
        <v>0</v>
      </c>
      <c r="C111">
        <f t="shared" si="10"/>
        <v>0</v>
      </c>
      <c r="D111">
        <f t="shared" si="11"/>
        <v>0</v>
      </c>
      <c r="E111">
        <f t="shared" si="12"/>
        <v>0</v>
      </c>
      <c r="F111">
        <f t="shared" si="13"/>
        <v>1</v>
      </c>
      <c r="G111">
        <f t="shared" si="14"/>
        <v>1</v>
      </c>
      <c r="H111">
        <v>0</v>
      </c>
      <c r="I111">
        <f t="shared" si="15"/>
        <v>0</v>
      </c>
      <c r="J111">
        <v>0</v>
      </c>
      <c r="K111" t="s">
        <v>526</v>
      </c>
      <c r="L111" t="s">
        <v>527</v>
      </c>
      <c r="M111" t="s">
        <v>27</v>
      </c>
      <c r="N111" t="s">
        <v>27</v>
      </c>
      <c r="O111">
        <v>6.55</v>
      </c>
      <c r="P111" t="s">
        <v>27</v>
      </c>
      <c r="Q111" t="s">
        <v>27</v>
      </c>
      <c r="R111">
        <v>13.039999961853001</v>
      </c>
      <c r="S111">
        <v>27.875</v>
      </c>
      <c r="T111">
        <v>8.4220997989177704E-2</v>
      </c>
      <c r="U111">
        <v>65.084747314453097</v>
      </c>
      <c r="V111">
        <v>-6421000</v>
      </c>
      <c r="W111">
        <v>2.9678421020507799</v>
      </c>
      <c r="X111">
        <v>-7.9999998211860698E-2</v>
      </c>
      <c r="Y111">
        <v>2.3137249946594198</v>
      </c>
      <c r="Z111">
        <v>-2.7777779102325399</v>
      </c>
      <c r="AA111">
        <v>23364000</v>
      </c>
      <c r="AB111" t="s">
        <v>27</v>
      </c>
      <c r="AC111" t="s">
        <v>27</v>
      </c>
      <c r="AD111">
        <v>-0.25</v>
      </c>
      <c r="AE111">
        <v>65.242103576660199</v>
      </c>
      <c r="AF111">
        <v>4.2595363920600802</v>
      </c>
      <c r="AG111">
        <v>23876000</v>
      </c>
      <c r="AH111">
        <v>8.2584999501705197E-2</v>
      </c>
      <c r="AI111">
        <v>0.57174098491668701</v>
      </c>
    </row>
    <row r="112" spans="1:35">
      <c r="A112">
        <f t="shared" si="8"/>
        <v>1</v>
      </c>
      <c r="B112">
        <f t="shared" si="9"/>
        <v>1</v>
      </c>
      <c r="C112">
        <f t="shared" si="10"/>
        <v>0</v>
      </c>
      <c r="D112">
        <f t="shared" si="11"/>
        <v>0</v>
      </c>
      <c r="E112">
        <f t="shared" si="12"/>
        <v>0</v>
      </c>
      <c r="F112">
        <f t="shared" si="13"/>
        <v>1</v>
      </c>
      <c r="G112">
        <f t="shared" si="14"/>
        <v>1</v>
      </c>
      <c r="H112">
        <v>0</v>
      </c>
      <c r="I112">
        <f t="shared" si="15"/>
        <v>1</v>
      </c>
      <c r="J112">
        <v>0</v>
      </c>
      <c r="K112" t="s">
        <v>528</v>
      </c>
      <c r="L112" t="s">
        <v>529</v>
      </c>
      <c r="M112" t="s">
        <v>27</v>
      </c>
      <c r="N112" t="s">
        <v>27</v>
      </c>
      <c r="O112">
        <v>6.8</v>
      </c>
      <c r="P112">
        <v>7.2100758552551296</v>
      </c>
      <c r="Q112" t="s">
        <v>27</v>
      </c>
      <c r="R112">
        <v>5.1399998664856001</v>
      </c>
      <c r="S112">
        <v>3</v>
      </c>
      <c r="T112">
        <v>22.856725692748999</v>
      </c>
      <c r="U112">
        <v>72.145225524902301</v>
      </c>
      <c r="V112">
        <v>-1576000</v>
      </c>
      <c r="W112">
        <v>2.1230840682983398</v>
      </c>
      <c r="X112">
        <v>0.10000000149011599</v>
      </c>
      <c r="Y112">
        <v>4.7659568786621103</v>
      </c>
      <c r="Z112">
        <v>3.19148898124695</v>
      </c>
      <c r="AA112">
        <v>7658000</v>
      </c>
      <c r="AB112" t="s">
        <v>30</v>
      </c>
      <c r="AC112" t="s">
        <v>223</v>
      </c>
      <c r="AD112">
        <v>7.9999998211860698E-2</v>
      </c>
      <c r="AE112">
        <v>72.896858215332003</v>
      </c>
      <c r="AF112">
        <v>16.489977202072499</v>
      </c>
      <c r="AG112">
        <v>11767000</v>
      </c>
      <c r="AH112">
        <v>11.8230857849121</v>
      </c>
      <c r="AI112">
        <v>7.9127321243286097</v>
      </c>
    </row>
    <row r="113" spans="1:35">
      <c r="A113">
        <f t="shared" si="8"/>
        <v>0</v>
      </c>
      <c r="B113">
        <f t="shared" si="9"/>
        <v>0</v>
      </c>
      <c r="C113">
        <f t="shared" si="10"/>
        <v>1</v>
      </c>
      <c r="D113">
        <f t="shared" si="11"/>
        <v>1</v>
      </c>
      <c r="E113">
        <f t="shared" si="12"/>
        <v>0</v>
      </c>
      <c r="F113">
        <f t="shared" si="13"/>
        <v>1</v>
      </c>
      <c r="G113">
        <f t="shared" si="14"/>
        <v>0</v>
      </c>
      <c r="H113">
        <v>0</v>
      </c>
      <c r="I113">
        <f t="shared" si="15"/>
        <v>0</v>
      </c>
      <c r="J113">
        <v>0</v>
      </c>
      <c r="K113" t="s">
        <v>530</v>
      </c>
      <c r="L113" t="s">
        <v>531</v>
      </c>
      <c r="M113" t="s">
        <v>27</v>
      </c>
      <c r="N113" t="s">
        <v>27</v>
      </c>
      <c r="O113">
        <v>18.25</v>
      </c>
      <c r="P113" t="s">
        <v>27</v>
      </c>
      <c r="Q113" t="s">
        <v>27</v>
      </c>
      <c r="R113">
        <v>28</v>
      </c>
      <c r="S113">
        <v>24.100000381469702</v>
      </c>
      <c r="T113">
        <v>0</v>
      </c>
      <c r="U113" t="s">
        <v>27</v>
      </c>
      <c r="V113">
        <v>10394000</v>
      </c>
      <c r="W113" t="s">
        <v>27</v>
      </c>
      <c r="X113">
        <v>-0.119999997317791</v>
      </c>
      <c r="Y113" t="s">
        <v>27</v>
      </c>
      <c r="Z113">
        <v>0.55555599927902199</v>
      </c>
      <c r="AA113">
        <v>6505000</v>
      </c>
      <c r="AB113" t="s">
        <v>27</v>
      </c>
      <c r="AC113" t="s">
        <v>27</v>
      </c>
      <c r="AD113">
        <v>5.0000000745058101E-2</v>
      </c>
      <c r="AE113" t="s">
        <v>27</v>
      </c>
      <c r="AF113" t="s">
        <v>27</v>
      </c>
      <c r="AG113">
        <v>6567000</v>
      </c>
      <c r="AH113">
        <v>0</v>
      </c>
      <c r="AI113" t="s">
        <v>27</v>
      </c>
    </row>
    <row r="114" spans="1:35">
      <c r="A114">
        <f t="shared" si="8"/>
        <v>1</v>
      </c>
      <c r="B114">
        <f t="shared" si="9"/>
        <v>0</v>
      </c>
      <c r="C114">
        <f t="shared" si="10"/>
        <v>0</v>
      </c>
      <c r="D114">
        <f t="shared" si="11"/>
        <v>1</v>
      </c>
      <c r="E114">
        <f t="shared" si="12"/>
        <v>0</v>
      </c>
      <c r="F114">
        <f t="shared" si="13"/>
        <v>1</v>
      </c>
      <c r="G114">
        <f t="shared" si="14"/>
        <v>0</v>
      </c>
      <c r="H114">
        <v>0</v>
      </c>
      <c r="I114">
        <f t="shared" si="15"/>
        <v>0</v>
      </c>
      <c r="J114">
        <v>0</v>
      </c>
      <c r="K114" t="s">
        <v>545</v>
      </c>
      <c r="L114" t="s">
        <v>546</v>
      </c>
      <c r="M114" t="s">
        <v>27</v>
      </c>
      <c r="N114" t="s">
        <v>27</v>
      </c>
      <c r="O114">
        <v>10.34</v>
      </c>
      <c r="P114" t="s">
        <v>27</v>
      </c>
      <c r="Q114" t="s">
        <v>27</v>
      </c>
      <c r="R114">
        <v>12.8500003814697</v>
      </c>
      <c r="S114">
        <v>13.8999996185303</v>
      </c>
      <c r="T114">
        <v>43.662967681884801</v>
      </c>
      <c r="U114">
        <v>44.752876281738303</v>
      </c>
      <c r="V114">
        <v>-16275001</v>
      </c>
      <c r="W114">
        <v>1.0552350282669101</v>
      </c>
      <c r="X114">
        <v>-0.68000000715255704</v>
      </c>
      <c r="Y114">
        <v>4.1818180084228498</v>
      </c>
      <c r="Z114">
        <v>5.7286429405212402</v>
      </c>
      <c r="AA114">
        <v>40861000</v>
      </c>
      <c r="AB114" t="s">
        <v>27</v>
      </c>
      <c r="AC114" t="s">
        <v>27</v>
      </c>
      <c r="AD114">
        <v>0.31000000238418601</v>
      </c>
      <c r="AE114">
        <v>39.154861450195298</v>
      </c>
      <c r="AF114">
        <v>8.7327995357483807</v>
      </c>
      <c r="AG114">
        <v>39874000</v>
      </c>
      <c r="AH114">
        <v>23.829994201660199</v>
      </c>
      <c r="AI114">
        <v>0.33212399482727101</v>
      </c>
    </row>
    <row r="115" spans="1:35">
      <c r="A115">
        <f t="shared" si="8"/>
        <v>0</v>
      </c>
      <c r="B115">
        <f t="shared" si="9"/>
        <v>1</v>
      </c>
      <c r="C115">
        <f t="shared" si="10"/>
        <v>0</v>
      </c>
      <c r="D115">
        <f t="shared" si="11"/>
        <v>0</v>
      </c>
      <c r="E115">
        <f t="shared" si="12"/>
        <v>0</v>
      </c>
      <c r="F115">
        <f t="shared" si="13"/>
        <v>0</v>
      </c>
      <c r="G115">
        <f t="shared" si="14"/>
        <v>1</v>
      </c>
      <c r="H115">
        <v>0</v>
      </c>
      <c r="I115">
        <f t="shared" si="15"/>
        <v>0</v>
      </c>
      <c r="J115">
        <v>0</v>
      </c>
      <c r="K115" t="s">
        <v>549</v>
      </c>
      <c r="L115" t="s">
        <v>550</v>
      </c>
      <c r="M115" t="s">
        <v>27</v>
      </c>
      <c r="N115" t="s">
        <v>27</v>
      </c>
      <c r="O115">
        <v>6.25</v>
      </c>
      <c r="P115" t="s">
        <v>27</v>
      </c>
      <c r="Q115" t="s">
        <v>27</v>
      </c>
      <c r="R115">
        <v>16.209999084472699</v>
      </c>
      <c r="S115">
        <v>16.0625</v>
      </c>
      <c r="T115">
        <v>0</v>
      </c>
      <c r="U115">
        <v>74.981658935546903</v>
      </c>
      <c r="V115">
        <v>-3365000</v>
      </c>
      <c r="W115">
        <v>-86.154518127441406</v>
      </c>
      <c r="X115">
        <v>-0.15000000596046401</v>
      </c>
      <c r="Y115">
        <v>-3.9518070220947301</v>
      </c>
      <c r="Z115">
        <v>-3.4943470954895002</v>
      </c>
      <c r="AA115">
        <v>11456668</v>
      </c>
      <c r="AB115" t="s">
        <v>27</v>
      </c>
      <c r="AC115" t="s">
        <v>27</v>
      </c>
      <c r="AD115">
        <v>-0.15000000596046401</v>
      </c>
      <c r="AE115">
        <v>77.639518737792997</v>
      </c>
      <c r="AF115" t="s">
        <v>27</v>
      </c>
      <c r="AG115">
        <v>14023000</v>
      </c>
      <c r="AH115">
        <v>0</v>
      </c>
      <c r="AI115">
        <v>-34.056217193603501</v>
      </c>
    </row>
    <row r="116" spans="1:35">
      <c r="A116">
        <f t="shared" si="8"/>
        <v>1</v>
      </c>
      <c r="B116">
        <f t="shared" si="9"/>
        <v>1</v>
      </c>
      <c r="C116">
        <f t="shared" si="10"/>
        <v>1</v>
      </c>
      <c r="D116">
        <f t="shared" si="11"/>
        <v>0</v>
      </c>
      <c r="E116">
        <f t="shared" si="12"/>
        <v>0</v>
      </c>
      <c r="F116">
        <f t="shared" si="13"/>
        <v>1</v>
      </c>
      <c r="G116">
        <f t="shared" si="14"/>
        <v>0</v>
      </c>
      <c r="H116">
        <v>0</v>
      </c>
      <c r="I116">
        <f t="shared" si="15"/>
        <v>1</v>
      </c>
      <c r="J116">
        <v>0</v>
      </c>
      <c r="K116" t="s">
        <v>556</v>
      </c>
      <c r="L116" t="s">
        <v>557</v>
      </c>
      <c r="M116" t="s">
        <v>27</v>
      </c>
      <c r="N116" t="s">
        <v>27</v>
      </c>
      <c r="O116">
        <v>12.73</v>
      </c>
      <c r="P116">
        <v>6.0032548904418901</v>
      </c>
      <c r="Q116" t="s">
        <v>27</v>
      </c>
      <c r="R116">
        <v>8.1999998092651403</v>
      </c>
      <c r="S116">
        <v>17.625</v>
      </c>
      <c r="T116">
        <v>2.00934505462646</v>
      </c>
      <c r="U116">
        <v>60.103786468505902</v>
      </c>
      <c r="V116">
        <v>1477000</v>
      </c>
      <c r="W116">
        <v>-0.82264500856399503</v>
      </c>
      <c r="X116">
        <v>0.15999999642372101</v>
      </c>
      <c r="Y116">
        <v>1.45454502105713</v>
      </c>
      <c r="Z116">
        <v>3.125</v>
      </c>
      <c r="AA116">
        <v>16866000</v>
      </c>
      <c r="AB116" t="s">
        <v>27</v>
      </c>
      <c r="AC116" t="s">
        <v>27</v>
      </c>
      <c r="AD116">
        <v>-0.10000000149011599</v>
      </c>
      <c r="AE116">
        <v>34.512493133544901</v>
      </c>
      <c r="AF116">
        <v>9.5493939442104701</v>
      </c>
      <c r="AG116">
        <v>17178000</v>
      </c>
      <c r="AH116">
        <v>0.90693098306655895</v>
      </c>
      <c r="AI116">
        <v>9.3735523223877006</v>
      </c>
    </row>
    <row r="117" spans="1:35">
      <c r="A117">
        <f t="shared" si="8"/>
        <v>1</v>
      </c>
      <c r="B117">
        <f t="shared" si="9"/>
        <v>0</v>
      </c>
      <c r="C117">
        <f t="shared" si="10"/>
        <v>1</v>
      </c>
      <c r="D117">
        <f t="shared" si="11"/>
        <v>1</v>
      </c>
      <c r="E117">
        <f t="shared" si="12"/>
        <v>0</v>
      </c>
      <c r="F117">
        <f t="shared" si="13"/>
        <v>0</v>
      </c>
      <c r="G117">
        <f t="shared" si="14"/>
        <v>1</v>
      </c>
      <c r="H117">
        <v>0</v>
      </c>
      <c r="I117">
        <f t="shared" si="15"/>
        <v>0</v>
      </c>
      <c r="J117">
        <v>0</v>
      </c>
      <c r="K117" t="s">
        <v>566</v>
      </c>
      <c r="L117" t="s">
        <v>567</v>
      </c>
      <c r="M117" t="s">
        <v>27</v>
      </c>
      <c r="N117" t="s">
        <v>27</v>
      </c>
      <c r="O117">
        <v>11.25</v>
      </c>
      <c r="P117" t="s">
        <v>27</v>
      </c>
      <c r="Q117" t="s">
        <v>27</v>
      </c>
      <c r="R117">
        <v>20.030000686645501</v>
      </c>
      <c r="S117">
        <v>2.1875</v>
      </c>
      <c r="T117">
        <v>11.3274068832397</v>
      </c>
      <c r="U117">
        <v>77.270782470703097</v>
      </c>
      <c r="V117">
        <v>2976000</v>
      </c>
      <c r="W117">
        <v>2.4884669780731201</v>
      </c>
      <c r="X117">
        <v>5.0000000745058101E-2</v>
      </c>
      <c r="Y117">
        <v>-2.4615390300750701</v>
      </c>
      <c r="Z117">
        <v>4.5092840194702104</v>
      </c>
      <c r="AA117">
        <v>7912000</v>
      </c>
      <c r="AB117" t="s">
        <v>27</v>
      </c>
      <c r="AC117" t="s">
        <v>27</v>
      </c>
      <c r="AD117">
        <v>0.109999999403954</v>
      </c>
      <c r="AE117">
        <v>81.814079284667997</v>
      </c>
      <c r="AF117">
        <v>7.6765878398908702</v>
      </c>
      <c r="AG117">
        <v>8770000</v>
      </c>
      <c r="AH117">
        <v>6.166259765625</v>
      </c>
      <c r="AI117">
        <v>-10.355126380920399</v>
      </c>
    </row>
    <row r="118" spans="1:35">
      <c r="A118">
        <f t="shared" si="8"/>
        <v>0</v>
      </c>
      <c r="B118">
        <f t="shared" si="9"/>
        <v>1</v>
      </c>
      <c r="C118">
        <f t="shared" si="10"/>
        <v>0</v>
      </c>
      <c r="D118">
        <f t="shared" si="11"/>
        <v>0</v>
      </c>
      <c r="E118">
        <f t="shared" si="12"/>
        <v>0</v>
      </c>
      <c r="F118">
        <f t="shared" si="13"/>
        <v>1</v>
      </c>
      <c r="G118">
        <f t="shared" si="14"/>
        <v>0</v>
      </c>
      <c r="H118">
        <v>0</v>
      </c>
      <c r="I118">
        <f t="shared" si="15"/>
        <v>0</v>
      </c>
      <c r="J118">
        <v>0</v>
      </c>
      <c r="K118" t="s">
        <v>570</v>
      </c>
      <c r="L118" t="s">
        <v>571</v>
      </c>
      <c r="M118" t="s">
        <v>27</v>
      </c>
      <c r="N118" t="s">
        <v>27</v>
      </c>
      <c r="O118">
        <v>20</v>
      </c>
      <c r="P118" t="s">
        <v>27</v>
      </c>
      <c r="Q118" t="s">
        <v>27</v>
      </c>
      <c r="R118">
        <v>21.079999923706101</v>
      </c>
      <c r="S118">
        <v>20.600000381469702</v>
      </c>
      <c r="T118">
        <v>47.230644226074197</v>
      </c>
      <c r="U118" t="s">
        <v>27</v>
      </c>
      <c r="V118">
        <v>-7097000</v>
      </c>
      <c r="W118">
        <v>1.84979903697968</v>
      </c>
      <c r="X118">
        <v>0.46999999880790699</v>
      </c>
      <c r="Y118">
        <v>5.3827161788940403</v>
      </c>
      <c r="Z118" t="s">
        <v>27</v>
      </c>
      <c r="AA118">
        <v>35706312</v>
      </c>
      <c r="AB118" t="s">
        <v>83</v>
      </c>
      <c r="AC118" t="s">
        <v>84</v>
      </c>
      <c r="AD118">
        <v>0.18999999761581399</v>
      </c>
      <c r="AE118" t="s">
        <v>27</v>
      </c>
      <c r="AF118" t="s">
        <v>27</v>
      </c>
      <c r="AG118">
        <v>35534148</v>
      </c>
      <c r="AH118">
        <v>51.441738128662102</v>
      </c>
      <c r="AI118">
        <v>2.8571751117706299</v>
      </c>
    </row>
    <row r="119" spans="1:35">
      <c r="A119">
        <f t="shared" si="8"/>
        <v>0</v>
      </c>
      <c r="B119">
        <f t="shared" si="9"/>
        <v>0</v>
      </c>
      <c r="C119">
        <f t="shared" si="10"/>
        <v>0</v>
      </c>
      <c r="D119">
        <f t="shared" si="11"/>
        <v>0</v>
      </c>
      <c r="E119">
        <f t="shared" si="12"/>
        <v>0</v>
      </c>
      <c r="F119">
        <f t="shared" si="13"/>
        <v>1</v>
      </c>
      <c r="G119">
        <f t="shared" si="14"/>
        <v>0</v>
      </c>
      <c r="H119">
        <v>0</v>
      </c>
      <c r="I119">
        <f t="shared" si="15"/>
        <v>0</v>
      </c>
      <c r="J119">
        <v>0</v>
      </c>
      <c r="K119" t="s">
        <v>572</v>
      </c>
      <c r="L119" t="s">
        <v>573</v>
      </c>
      <c r="M119" t="s">
        <v>27</v>
      </c>
      <c r="N119" t="s">
        <v>27</v>
      </c>
      <c r="O119">
        <v>10.050000000000001</v>
      </c>
      <c r="P119">
        <v>15.2295274734497</v>
      </c>
      <c r="Q119" t="s">
        <v>27</v>
      </c>
      <c r="R119">
        <v>10.8500003814697</v>
      </c>
      <c r="S119">
        <v>12.8125</v>
      </c>
      <c r="T119">
        <v>0</v>
      </c>
      <c r="U119">
        <v>37.045852661132798</v>
      </c>
      <c r="V119">
        <v>-623999.75</v>
      </c>
      <c r="W119">
        <v>10.4276571273804</v>
      </c>
      <c r="X119">
        <v>0.20999999344348899</v>
      </c>
      <c r="Y119">
        <v>6.2040820121765101</v>
      </c>
      <c r="Z119">
        <v>4.4360899925231898</v>
      </c>
      <c r="AA119">
        <v>10615000</v>
      </c>
      <c r="AB119" t="s">
        <v>194</v>
      </c>
      <c r="AC119" t="s">
        <v>195</v>
      </c>
      <c r="AD119">
        <v>0.109999999403954</v>
      </c>
      <c r="AE119">
        <v>35.8669624328613</v>
      </c>
      <c r="AF119">
        <v>14.6165174342902</v>
      </c>
      <c r="AG119">
        <v>10448000</v>
      </c>
      <c r="AH119">
        <v>0</v>
      </c>
      <c r="AI119">
        <v>7.5676589012145996</v>
      </c>
    </row>
    <row r="120" spans="1:35">
      <c r="A120">
        <f t="shared" si="8"/>
        <v>0</v>
      </c>
      <c r="B120">
        <f t="shared" si="9"/>
        <v>0</v>
      </c>
      <c r="C120">
        <f t="shared" si="10"/>
        <v>1</v>
      </c>
      <c r="D120">
        <f t="shared" si="11"/>
        <v>0</v>
      </c>
      <c r="E120">
        <f t="shared" si="12"/>
        <v>0</v>
      </c>
      <c r="F120">
        <f t="shared" si="13"/>
        <v>0</v>
      </c>
      <c r="G120">
        <f t="shared" si="14"/>
        <v>0</v>
      </c>
      <c r="H120">
        <v>0</v>
      </c>
      <c r="I120">
        <f t="shared" si="15"/>
        <v>0</v>
      </c>
      <c r="J120">
        <v>0</v>
      </c>
      <c r="K120" t="s">
        <v>582</v>
      </c>
      <c r="L120" t="s">
        <v>583</v>
      </c>
      <c r="M120" t="s">
        <v>27</v>
      </c>
      <c r="N120" t="s">
        <v>27</v>
      </c>
      <c r="O120">
        <v>10.5</v>
      </c>
      <c r="P120">
        <v>3.51633501052856</v>
      </c>
      <c r="Q120" t="s">
        <v>27</v>
      </c>
      <c r="R120">
        <v>48.930000305175803</v>
      </c>
      <c r="S120">
        <v>37.875</v>
      </c>
      <c r="T120">
        <v>3.3102080821990998</v>
      </c>
      <c r="U120">
        <v>48.425323486328097</v>
      </c>
      <c r="V120">
        <v>211000.4375</v>
      </c>
      <c r="W120">
        <v>4.2346677780151403</v>
      </c>
      <c r="X120">
        <v>0.34000000357627902</v>
      </c>
      <c r="Y120">
        <v>5.1320748329162598</v>
      </c>
      <c r="Z120">
        <v>2.7830009460449201</v>
      </c>
      <c r="AA120">
        <v>17589000</v>
      </c>
      <c r="AB120" t="s">
        <v>38</v>
      </c>
      <c r="AC120" t="s">
        <v>118</v>
      </c>
      <c r="AD120">
        <v>-1.7599999904632599</v>
      </c>
      <c r="AE120">
        <v>12.728362083435099</v>
      </c>
      <c r="AF120" t="s">
        <v>27</v>
      </c>
      <c r="AG120">
        <v>18903000</v>
      </c>
      <c r="AH120">
        <v>27.35671043396</v>
      </c>
      <c r="AI120">
        <v>-4.84792184829712</v>
      </c>
    </row>
    <row r="121" spans="1:35">
      <c r="A121">
        <f t="shared" si="8"/>
        <v>1</v>
      </c>
      <c r="B121">
        <f t="shared" si="9"/>
        <v>0</v>
      </c>
      <c r="C121">
        <f t="shared" si="10"/>
        <v>0</v>
      </c>
      <c r="D121">
        <f t="shared" si="11"/>
        <v>0</v>
      </c>
      <c r="E121">
        <f t="shared" si="12"/>
        <v>1</v>
      </c>
      <c r="F121">
        <f t="shared" si="13"/>
        <v>1</v>
      </c>
      <c r="G121">
        <f t="shared" si="14"/>
        <v>0</v>
      </c>
      <c r="H121">
        <v>0</v>
      </c>
      <c r="I121">
        <f t="shared" si="15"/>
        <v>0</v>
      </c>
      <c r="J121">
        <v>0</v>
      </c>
      <c r="K121" t="s">
        <v>586</v>
      </c>
      <c r="L121" t="s">
        <v>587</v>
      </c>
      <c r="M121" t="s">
        <v>27</v>
      </c>
      <c r="N121" t="s">
        <v>27</v>
      </c>
      <c r="O121">
        <v>1.77</v>
      </c>
      <c r="P121" t="s">
        <v>27</v>
      </c>
      <c r="Q121" t="s">
        <v>27</v>
      </c>
      <c r="R121">
        <v>7.1399998664856001</v>
      </c>
      <c r="S121" t="s">
        <v>27</v>
      </c>
      <c r="T121" t="s">
        <v>27</v>
      </c>
      <c r="U121" t="s">
        <v>27</v>
      </c>
      <c r="V121">
        <v>-4384000</v>
      </c>
      <c r="W121" t="s">
        <v>27</v>
      </c>
      <c r="X121" t="s">
        <v>27</v>
      </c>
      <c r="Y121" t="s">
        <v>27</v>
      </c>
      <c r="Z121" t="s">
        <v>27</v>
      </c>
      <c r="AA121" t="s">
        <v>27</v>
      </c>
      <c r="AB121" t="s">
        <v>27</v>
      </c>
      <c r="AC121" t="s">
        <v>27</v>
      </c>
      <c r="AD121" t="s">
        <v>27</v>
      </c>
      <c r="AE121">
        <v>36.369213104247997</v>
      </c>
      <c r="AF121">
        <v>12.6366762871703</v>
      </c>
      <c r="AG121" t="s">
        <v>27</v>
      </c>
      <c r="AH121">
        <v>20.4132404327393</v>
      </c>
      <c r="AI121">
        <v>1.7578760385513299</v>
      </c>
    </row>
    <row r="122" spans="1:35">
      <c r="A122">
        <f t="shared" si="8"/>
        <v>1</v>
      </c>
      <c r="B122">
        <f t="shared" si="9"/>
        <v>0</v>
      </c>
      <c r="C122">
        <f t="shared" si="10"/>
        <v>0</v>
      </c>
      <c r="D122">
        <f t="shared" si="11"/>
        <v>1</v>
      </c>
      <c r="E122">
        <f t="shared" si="12"/>
        <v>0</v>
      </c>
      <c r="F122">
        <f t="shared" si="13"/>
        <v>0</v>
      </c>
      <c r="G122">
        <f t="shared" si="14"/>
        <v>1</v>
      </c>
      <c r="H122">
        <v>0</v>
      </c>
      <c r="I122">
        <f t="shared" si="15"/>
        <v>0</v>
      </c>
      <c r="J122">
        <v>0</v>
      </c>
      <c r="K122" t="s">
        <v>594</v>
      </c>
      <c r="L122" t="s">
        <v>595</v>
      </c>
      <c r="M122" t="s">
        <v>27</v>
      </c>
      <c r="N122" t="s">
        <v>27</v>
      </c>
      <c r="O122">
        <v>9</v>
      </c>
      <c r="P122" t="s">
        <v>27</v>
      </c>
      <c r="Q122" t="s">
        <v>27</v>
      </c>
      <c r="R122">
        <v>64.500002860990705</v>
      </c>
      <c r="S122">
        <v>59.999999999970001</v>
      </c>
      <c r="T122">
        <v>48.6905326843262</v>
      </c>
      <c r="U122">
        <v>-47.827770233154297</v>
      </c>
      <c r="V122">
        <v>-9662000</v>
      </c>
      <c r="W122">
        <v>-217.41090393066401</v>
      </c>
      <c r="X122">
        <v>-6.2999998033015201</v>
      </c>
      <c r="Y122">
        <v>-14.925373077392599</v>
      </c>
      <c r="Z122">
        <v>-19.833332061767599</v>
      </c>
      <c r="AA122">
        <v>1341000.0000006701</v>
      </c>
      <c r="AB122" t="s">
        <v>27</v>
      </c>
      <c r="AC122" t="s">
        <v>27</v>
      </c>
      <c r="AD122">
        <v>-1.7999999597659599</v>
      </c>
      <c r="AE122">
        <v>67.243057250976605</v>
      </c>
      <c r="AF122" t="s">
        <v>27</v>
      </c>
      <c r="AG122">
        <v>2413133.33333454</v>
      </c>
      <c r="AH122">
        <v>12.79953956604</v>
      </c>
      <c r="AI122">
        <v>-252.032638549805</v>
      </c>
    </row>
    <row r="123" spans="1:35">
      <c r="A123">
        <f t="shared" si="8"/>
        <v>0</v>
      </c>
      <c r="B123">
        <f t="shared" si="9"/>
        <v>0</v>
      </c>
      <c r="C123">
        <f t="shared" si="10"/>
        <v>1</v>
      </c>
      <c r="D123">
        <f t="shared" si="11"/>
        <v>0</v>
      </c>
      <c r="E123">
        <f t="shared" si="12"/>
        <v>1</v>
      </c>
      <c r="F123">
        <f t="shared" si="13"/>
        <v>1</v>
      </c>
      <c r="G123">
        <f t="shared" si="14"/>
        <v>0</v>
      </c>
      <c r="H123">
        <v>0</v>
      </c>
      <c r="I123">
        <f t="shared" si="15"/>
        <v>0</v>
      </c>
      <c r="J123">
        <v>0</v>
      </c>
      <c r="K123" t="s">
        <v>596</v>
      </c>
      <c r="L123" t="s">
        <v>597</v>
      </c>
      <c r="M123" t="s">
        <v>27</v>
      </c>
      <c r="N123" t="s">
        <v>27</v>
      </c>
      <c r="O123">
        <v>6.54</v>
      </c>
      <c r="P123" t="s">
        <v>27</v>
      </c>
      <c r="Q123" t="s">
        <v>27</v>
      </c>
      <c r="R123">
        <v>19.5</v>
      </c>
      <c r="S123">
        <v>17.0625</v>
      </c>
      <c r="T123" t="s">
        <v>27</v>
      </c>
      <c r="U123" t="s">
        <v>27</v>
      </c>
      <c r="V123" t="s">
        <v>27</v>
      </c>
      <c r="W123" t="s">
        <v>27</v>
      </c>
      <c r="X123" t="s">
        <v>27</v>
      </c>
      <c r="Y123" t="s">
        <v>27</v>
      </c>
      <c r="Z123" t="s">
        <v>27</v>
      </c>
      <c r="AA123" t="s">
        <v>27</v>
      </c>
      <c r="AB123" t="s">
        <v>27</v>
      </c>
      <c r="AC123" t="s">
        <v>27</v>
      </c>
      <c r="AD123" t="s">
        <v>27</v>
      </c>
      <c r="AE123" t="s">
        <v>27</v>
      </c>
      <c r="AF123" t="s">
        <v>27</v>
      </c>
      <c r="AG123" t="s">
        <v>27</v>
      </c>
      <c r="AH123" t="s">
        <v>27</v>
      </c>
      <c r="AI123" t="s">
        <v>27</v>
      </c>
    </row>
    <row r="124" spans="1:35">
      <c r="A124">
        <f t="shared" ref="A124:A183" si="16">IF(AH124&lt;T124,1,0)</f>
        <v>1</v>
      </c>
      <c r="B124">
        <f t="shared" ref="B124:B183" si="17">IF(AI124&gt;W124,1,0)</f>
        <v>0</v>
      </c>
      <c r="C124">
        <f t="shared" ref="C124:C183" si="18">IF(V124&gt;0,1,0)</f>
        <v>0</v>
      </c>
      <c r="D124">
        <f t="shared" ref="D124:D183" si="19">IF(AD124&gt;X124,1,0)</f>
        <v>1</v>
      </c>
      <c r="E124">
        <f t="shared" ref="E124:E183" si="20">IF(AA124=AG124,1,0)</f>
        <v>0</v>
      </c>
      <c r="F124">
        <f t="shared" ref="F124:F183" si="21">IF(AI124&gt;0,1,0)</f>
        <v>1</v>
      </c>
      <c r="G124">
        <f t="shared" ref="G124:G183" si="22">IF(AE124&gt;U124,1,0)</f>
        <v>1</v>
      </c>
      <c r="H124">
        <v>0</v>
      </c>
      <c r="I124">
        <f t="shared" ref="I124:I183" si="23">IF(((O124-R124)/R124)&gt;0.075,1,0)</f>
        <v>0</v>
      </c>
      <c r="J124">
        <v>0</v>
      </c>
      <c r="K124" t="s">
        <v>604</v>
      </c>
      <c r="L124" t="s">
        <v>605</v>
      </c>
      <c r="M124" t="s">
        <v>27</v>
      </c>
      <c r="N124" t="s">
        <v>27</v>
      </c>
      <c r="O124">
        <v>17.8</v>
      </c>
      <c r="P124">
        <v>3.4941189289093</v>
      </c>
      <c r="Q124" t="s">
        <v>27</v>
      </c>
      <c r="R124">
        <v>17.25</v>
      </c>
      <c r="S124">
        <v>19.819999694824201</v>
      </c>
      <c r="T124">
        <v>11.3444938659668</v>
      </c>
      <c r="U124">
        <v>33.433982849121101</v>
      </c>
      <c r="V124">
        <v>-64732000</v>
      </c>
      <c r="W124">
        <v>6.9238390922546396</v>
      </c>
      <c r="X124">
        <v>-9.1666662527739307E-2</v>
      </c>
      <c r="Y124">
        <v>4.5106391906738299</v>
      </c>
      <c r="Z124" t="s">
        <v>27</v>
      </c>
      <c r="AA124">
        <v>49387201.9623181</v>
      </c>
      <c r="AB124" t="s">
        <v>27</v>
      </c>
      <c r="AC124" t="s">
        <v>27</v>
      </c>
      <c r="AD124">
        <v>-4.9999996895746399E-2</v>
      </c>
      <c r="AE124">
        <v>37.9491996765137</v>
      </c>
      <c r="AF124" t="s">
        <v>27</v>
      </c>
      <c r="AG124">
        <v>49510801.967229098</v>
      </c>
      <c r="AH124">
        <v>9.0449066162109393</v>
      </c>
      <c r="AI124">
        <v>2.03545093536377</v>
      </c>
    </row>
    <row r="125" spans="1:35">
      <c r="A125">
        <f t="shared" si="16"/>
        <v>1</v>
      </c>
      <c r="B125">
        <f t="shared" si="17"/>
        <v>0</v>
      </c>
      <c r="C125">
        <f t="shared" si="18"/>
        <v>1</v>
      </c>
      <c r="D125">
        <f t="shared" si="19"/>
        <v>1</v>
      </c>
      <c r="E125">
        <f t="shared" si="20"/>
        <v>0</v>
      </c>
      <c r="F125">
        <f t="shared" si="21"/>
        <v>0</v>
      </c>
      <c r="G125">
        <f t="shared" si="22"/>
        <v>1</v>
      </c>
      <c r="H125">
        <v>0</v>
      </c>
      <c r="I125">
        <f t="shared" si="23"/>
        <v>1</v>
      </c>
      <c r="J125">
        <v>0</v>
      </c>
      <c r="K125" t="s">
        <v>610</v>
      </c>
      <c r="L125" t="s">
        <v>611</v>
      </c>
      <c r="M125" t="s">
        <v>27</v>
      </c>
      <c r="N125" t="s">
        <v>27</v>
      </c>
      <c r="O125">
        <v>19.95</v>
      </c>
      <c r="P125" t="s">
        <v>27</v>
      </c>
      <c r="Q125" t="s">
        <v>27</v>
      </c>
      <c r="R125">
        <v>10.75</v>
      </c>
      <c r="S125">
        <v>3.8499999046325701</v>
      </c>
      <c r="T125">
        <v>37.929447174072301</v>
      </c>
      <c r="U125">
        <v>8.4734315872192401</v>
      </c>
      <c r="V125">
        <v>7614000.5</v>
      </c>
      <c r="W125">
        <v>-0.84001898765563998</v>
      </c>
      <c r="X125">
        <v>-0.259999990463257</v>
      </c>
      <c r="Y125">
        <v>0.405063986778259</v>
      </c>
      <c r="Z125">
        <v>-0.47619000077247597</v>
      </c>
      <c r="AA125">
        <v>9266818</v>
      </c>
      <c r="AB125" t="s">
        <v>27</v>
      </c>
      <c r="AC125" t="s">
        <v>27</v>
      </c>
      <c r="AD125">
        <v>0.15000000596046401</v>
      </c>
      <c r="AE125">
        <v>11.7121486663818</v>
      </c>
      <c r="AF125">
        <v>4.5078563407140599</v>
      </c>
      <c r="AG125">
        <v>8702000</v>
      </c>
      <c r="AH125">
        <v>37.490821838378899</v>
      </c>
      <c r="AI125">
        <v>-5.2043981552123997</v>
      </c>
    </row>
    <row r="126" spans="1:35">
      <c r="A126">
        <f t="shared" si="16"/>
        <v>0</v>
      </c>
      <c r="B126">
        <f t="shared" si="17"/>
        <v>1</v>
      </c>
      <c r="C126">
        <f t="shared" si="18"/>
        <v>0</v>
      </c>
      <c r="D126">
        <f t="shared" si="19"/>
        <v>0</v>
      </c>
      <c r="E126">
        <f t="shared" si="20"/>
        <v>0</v>
      </c>
      <c r="F126">
        <f t="shared" si="21"/>
        <v>1</v>
      </c>
      <c r="G126">
        <f t="shared" si="22"/>
        <v>0</v>
      </c>
      <c r="H126">
        <v>0</v>
      </c>
      <c r="I126">
        <f t="shared" si="23"/>
        <v>0</v>
      </c>
      <c r="J126">
        <v>0</v>
      </c>
      <c r="K126" t="s">
        <v>614</v>
      </c>
      <c r="L126" t="s">
        <v>615</v>
      </c>
      <c r="M126" t="s">
        <v>27</v>
      </c>
      <c r="N126" t="s">
        <v>27</v>
      </c>
      <c r="O126">
        <v>4.25</v>
      </c>
      <c r="P126">
        <v>11.235486984252899</v>
      </c>
      <c r="Q126" t="s">
        <v>27</v>
      </c>
      <c r="R126">
        <v>17.920000076293899</v>
      </c>
      <c r="S126">
        <v>11.8125</v>
      </c>
      <c r="T126">
        <v>0.61810797452926602</v>
      </c>
      <c r="U126">
        <v>27.155166625976602</v>
      </c>
      <c r="V126">
        <v>-15539000</v>
      </c>
      <c r="W126">
        <v>-0.332435011863708</v>
      </c>
      <c r="X126">
        <v>0.17000000178813901</v>
      </c>
      <c r="Y126">
        <v>3.3632650375366202</v>
      </c>
      <c r="Z126" t="s">
        <v>27</v>
      </c>
      <c r="AA126">
        <v>35274136</v>
      </c>
      <c r="AB126" t="s">
        <v>27</v>
      </c>
      <c r="AC126" t="s">
        <v>27</v>
      </c>
      <c r="AD126">
        <v>-0.17000000178813901</v>
      </c>
      <c r="AE126">
        <v>26.110521316528299</v>
      </c>
      <c r="AF126" t="s">
        <v>27</v>
      </c>
      <c r="AG126">
        <v>32255002</v>
      </c>
      <c r="AH126">
        <v>0.80763500928878795</v>
      </c>
      <c r="AI126" t="s">
        <v>27</v>
      </c>
    </row>
    <row r="127" spans="1:35">
      <c r="A127">
        <f t="shared" si="16"/>
        <v>0</v>
      </c>
      <c r="B127">
        <f t="shared" si="17"/>
        <v>0</v>
      </c>
      <c r="C127">
        <f t="shared" si="18"/>
        <v>1</v>
      </c>
      <c r="D127">
        <f t="shared" si="19"/>
        <v>0</v>
      </c>
      <c r="E127">
        <f t="shared" si="20"/>
        <v>0</v>
      </c>
      <c r="F127">
        <f t="shared" si="21"/>
        <v>0</v>
      </c>
      <c r="G127">
        <f t="shared" si="22"/>
        <v>0</v>
      </c>
      <c r="H127">
        <v>0</v>
      </c>
      <c r="I127">
        <f t="shared" si="23"/>
        <v>0</v>
      </c>
      <c r="J127">
        <v>0</v>
      </c>
      <c r="K127" t="s">
        <v>629</v>
      </c>
      <c r="L127" t="s">
        <v>630</v>
      </c>
      <c r="M127" t="s">
        <v>27</v>
      </c>
      <c r="N127" t="s">
        <v>27</v>
      </c>
      <c r="O127">
        <v>0.32</v>
      </c>
      <c r="P127" t="s">
        <v>27</v>
      </c>
      <c r="Q127" t="s">
        <v>27</v>
      </c>
      <c r="R127">
        <v>8.1999998092651403</v>
      </c>
      <c r="S127">
        <v>9.3125</v>
      </c>
      <c r="T127">
        <v>69.741806030273395</v>
      </c>
      <c r="U127">
        <v>21.6862907409668</v>
      </c>
      <c r="V127">
        <v>18408000</v>
      </c>
      <c r="W127">
        <v>-4.0115671157836896</v>
      </c>
      <c r="X127">
        <v>-9.9999997764825804E-3</v>
      </c>
      <c r="Y127">
        <v>-5</v>
      </c>
      <c r="Z127">
        <v>-10.1516923904419</v>
      </c>
      <c r="AA127">
        <v>35432912</v>
      </c>
      <c r="AB127" t="s">
        <v>254</v>
      </c>
      <c r="AC127" t="s">
        <v>255</v>
      </c>
      <c r="AD127">
        <v>-0.15000000596046401</v>
      </c>
      <c r="AE127">
        <v>15.6337938308716</v>
      </c>
      <c r="AF127">
        <v>13.973679578300301</v>
      </c>
      <c r="AG127">
        <v>36025296</v>
      </c>
      <c r="AH127">
        <v>72.349380493164105</v>
      </c>
      <c r="AI127">
        <v>-10.7147970199585</v>
      </c>
    </row>
    <row r="128" spans="1:35">
      <c r="A128">
        <f t="shared" si="16"/>
        <v>1</v>
      </c>
      <c r="B128">
        <f t="shared" si="17"/>
        <v>0</v>
      </c>
      <c r="C128">
        <f t="shared" si="18"/>
        <v>0</v>
      </c>
      <c r="D128">
        <f t="shared" si="19"/>
        <v>0</v>
      </c>
      <c r="E128">
        <f t="shared" si="20"/>
        <v>0</v>
      </c>
      <c r="F128">
        <f t="shared" si="21"/>
        <v>1</v>
      </c>
      <c r="G128">
        <f t="shared" si="22"/>
        <v>0</v>
      </c>
      <c r="H128">
        <v>0</v>
      </c>
      <c r="I128">
        <f t="shared" si="23"/>
        <v>0</v>
      </c>
      <c r="J128">
        <v>0</v>
      </c>
      <c r="K128" t="s">
        <v>637</v>
      </c>
      <c r="L128" t="s">
        <v>638</v>
      </c>
      <c r="M128" t="s">
        <v>27</v>
      </c>
      <c r="N128" t="s">
        <v>27</v>
      </c>
      <c r="O128">
        <v>11.24</v>
      </c>
      <c r="P128" t="s">
        <v>27</v>
      </c>
      <c r="Q128" t="s">
        <v>27</v>
      </c>
      <c r="R128">
        <v>11.550000190734901</v>
      </c>
      <c r="S128">
        <v>10.125</v>
      </c>
      <c r="T128" t="s">
        <v>27</v>
      </c>
      <c r="U128" t="s">
        <v>27</v>
      </c>
      <c r="V128">
        <v>-2083000</v>
      </c>
      <c r="W128">
        <v>4.5650768280029297</v>
      </c>
      <c r="X128" t="s">
        <v>27</v>
      </c>
      <c r="Y128" t="s">
        <v>27</v>
      </c>
      <c r="Z128" t="s">
        <v>27</v>
      </c>
      <c r="AA128" t="s">
        <v>27</v>
      </c>
      <c r="AB128" t="s">
        <v>34</v>
      </c>
      <c r="AC128" t="s">
        <v>35</v>
      </c>
      <c r="AD128">
        <v>0.270000010728836</v>
      </c>
      <c r="AE128" t="s">
        <v>27</v>
      </c>
      <c r="AF128">
        <v>4.1632843334391598</v>
      </c>
      <c r="AG128">
        <v>11235000</v>
      </c>
      <c r="AH128">
        <v>32.925765991210902</v>
      </c>
      <c r="AI128">
        <v>4.2468891143798801</v>
      </c>
    </row>
    <row r="129" spans="1:35">
      <c r="A129">
        <f t="shared" si="16"/>
        <v>1</v>
      </c>
      <c r="B129">
        <f t="shared" si="17"/>
        <v>1</v>
      </c>
      <c r="C129">
        <f t="shared" si="18"/>
        <v>0</v>
      </c>
      <c r="D129">
        <f t="shared" si="19"/>
        <v>0</v>
      </c>
      <c r="E129">
        <f t="shared" si="20"/>
        <v>0</v>
      </c>
      <c r="F129">
        <f t="shared" si="21"/>
        <v>0</v>
      </c>
      <c r="G129">
        <f t="shared" si="22"/>
        <v>0</v>
      </c>
      <c r="H129">
        <v>0</v>
      </c>
      <c r="I129">
        <f t="shared" si="23"/>
        <v>0</v>
      </c>
      <c r="J129">
        <v>0</v>
      </c>
      <c r="K129" t="s">
        <v>643</v>
      </c>
      <c r="L129" t="s">
        <v>644</v>
      </c>
      <c r="M129" t="s">
        <v>27</v>
      </c>
      <c r="N129" t="s">
        <v>27</v>
      </c>
      <c r="O129">
        <v>2.92</v>
      </c>
      <c r="P129" t="s">
        <v>27</v>
      </c>
      <c r="Q129" t="s">
        <v>27</v>
      </c>
      <c r="R129">
        <v>14.050000190734901</v>
      </c>
      <c r="S129">
        <v>42.6875</v>
      </c>
      <c r="T129">
        <v>2.4511868953704798</v>
      </c>
      <c r="U129" t="s">
        <v>27</v>
      </c>
      <c r="V129">
        <v>-9053000</v>
      </c>
      <c r="W129">
        <v>-19.8828315734863</v>
      </c>
      <c r="X129">
        <v>0.28000000119209301</v>
      </c>
      <c r="Y129">
        <v>-2.0539369583129901</v>
      </c>
      <c r="Z129">
        <v>-10.3783779144287</v>
      </c>
      <c r="AA129">
        <v>23606000</v>
      </c>
      <c r="AB129" t="s">
        <v>27</v>
      </c>
      <c r="AC129" t="s">
        <v>27</v>
      </c>
      <c r="AD129">
        <v>-0.34999999403953602</v>
      </c>
      <c r="AE129">
        <v>65.743110656738295</v>
      </c>
      <c r="AF129" t="s">
        <v>27</v>
      </c>
      <c r="AG129">
        <v>24131000</v>
      </c>
      <c r="AH129">
        <v>2.3791201114654501</v>
      </c>
      <c r="AI129">
        <v>-8.2878761291503906</v>
      </c>
    </row>
    <row r="130" spans="1:35">
      <c r="A130">
        <f t="shared" si="16"/>
        <v>0</v>
      </c>
      <c r="B130">
        <f t="shared" si="17"/>
        <v>0</v>
      </c>
      <c r="C130">
        <f t="shared" si="18"/>
        <v>0</v>
      </c>
      <c r="D130">
        <f t="shared" si="19"/>
        <v>0</v>
      </c>
      <c r="E130">
        <f t="shared" si="20"/>
        <v>0</v>
      </c>
      <c r="F130">
        <f t="shared" si="21"/>
        <v>1</v>
      </c>
      <c r="G130">
        <f t="shared" si="22"/>
        <v>1</v>
      </c>
      <c r="H130">
        <v>0</v>
      </c>
      <c r="I130">
        <f t="shared" si="23"/>
        <v>0</v>
      </c>
      <c r="J130">
        <v>0</v>
      </c>
      <c r="K130" t="s">
        <v>661</v>
      </c>
      <c r="L130" t="s">
        <v>662</v>
      </c>
      <c r="M130" t="s">
        <v>27</v>
      </c>
      <c r="N130" t="s">
        <v>27</v>
      </c>
      <c r="O130">
        <v>3.75</v>
      </c>
      <c r="P130" t="s">
        <v>27</v>
      </c>
      <c r="Q130" t="s">
        <v>27</v>
      </c>
      <c r="R130">
        <v>5.2399997711181596</v>
      </c>
      <c r="S130">
        <v>4.0625</v>
      </c>
      <c r="T130">
        <v>0</v>
      </c>
      <c r="U130">
        <v>78.727920532226605</v>
      </c>
      <c r="V130">
        <v>-1094000</v>
      </c>
      <c r="W130" t="s">
        <v>27</v>
      </c>
      <c r="X130">
        <v>9.9999997764825804E-3</v>
      </c>
      <c r="Y130" t="s">
        <v>27</v>
      </c>
      <c r="Z130" t="s">
        <v>27</v>
      </c>
      <c r="AA130">
        <v>27638000</v>
      </c>
      <c r="AB130" t="s">
        <v>73</v>
      </c>
      <c r="AC130" t="s">
        <v>141</v>
      </c>
      <c r="AD130">
        <v>-0.87000000476837203</v>
      </c>
      <c r="AE130">
        <v>79.683013916015597</v>
      </c>
      <c r="AF130" t="s">
        <v>27</v>
      </c>
      <c r="AG130">
        <v>30349942</v>
      </c>
      <c r="AH130">
        <v>0</v>
      </c>
      <c r="AI130" t="s">
        <v>27</v>
      </c>
    </row>
    <row r="131" spans="1:35">
      <c r="A131">
        <f t="shared" si="16"/>
        <v>0</v>
      </c>
      <c r="B131">
        <f t="shared" si="17"/>
        <v>0</v>
      </c>
      <c r="C131">
        <f t="shared" si="18"/>
        <v>1</v>
      </c>
      <c r="D131">
        <f t="shared" si="19"/>
        <v>0</v>
      </c>
      <c r="E131">
        <f t="shared" si="20"/>
        <v>1</v>
      </c>
      <c r="F131">
        <f t="shared" si="21"/>
        <v>1</v>
      </c>
      <c r="G131">
        <f t="shared" si="22"/>
        <v>0</v>
      </c>
      <c r="H131">
        <v>0</v>
      </c>
      <c r="I131">
        <f t="shared" si="23"/>
        <v>0</v>
      </c>
      <c r="J131">
        <v>0</v>
      </c>
      <c r="K131" t="s">
        <v>663</v>
      </c>
      <c r="L131" t="s">
        <v>664</v>
      </c>
      <c r="M131" t="s">
        <v>27</v>
      </c>
      <c r="N131" t="s">
        <v>27</v>
      </c>
      <c r="O131">
        <v>0.88</v>
      </c>
      <c r="P131" t="s">
        <v>27</v>
      </c>
      <c r="Q131" t="s">
        <v>27</v>
      </c>
      <c r="R131">
        <v>4.1999998092651403</v>
      </c>
      <c r="S131">
        <v>41</v>
      </c>
      <c r="T131" t="s">
        <v>27</v>
      </c>
      <c r="U131" t="s">
        <v>27</v>
      </c>
      <c r="V131" t="s">
        <v>27</v>
      </c>
      <c r="W131" t="s">
        <v>27</v>
      </c>
      <c r="X131" t="s">
        <v>27</v>
      </c>
      <c r="Y131" t="s">
        <v>27</v>
      </c>
      <c r="Z131" t="s">
        <v>27</v>
      </c>
      <c r="AA131" t="s">
        <v>27</v>
      </c>
      <c r="AB131" t="s">
        <v>61</v>
      </c>
      <c r="AC131" t="s">
        <v>106</v>
      </c>
      <c r="AD131" t="s">
        <v>27</v>
      </c>
      <c r="AE131" t="s">
        <v>27</v>
      </c>
      <c r="AF131" t="s">
        <v>27</v>
      </c>
      <c r="AG131" t="s">
        <v>27</v>
      </c>
      <c r="AH131" t="s">
        <v>27</v>
      </c>
      <c r="AI131" t="s">
        <v>27</v>
      </c>
    </row>
    <row r="132" spans="1:35">
      <c r="A132">
        <f t="shared" si="16"/>
        <v>0</v>
      </c>
      <c r="B132">
        <f t="shared" si="17"/>
        <v>0</v>
      </c>
      <c r="C132">
        <f t="shared" si="18"/>
        <v>1</v>
      </c>
      <c r="D132">
        <f t="shared" si="19"/>
        <v>1</v>
      </c>
      <c r="E132">
        <f t="shared" si="20"/>
        <v>0</v>
      </c>
      <c r="F132">
        <f t="shared" si="21"/>
        <v>1</v>
      </c>
      <c r="G132">
        <f t="shared" si="22"/>
        <v>1</v>
      </c>
      <c r="H132">
        <v>0</v>
      </c>
      <c r="I132">
        <f t="shared" si="23"/>
        <v>0</v>
      </c>
      <c r="J132">
        <v>0</v>
      </c>
      <c r="K132" t="s">
        <v>665</v>
      </c>
      <c r="L132" t="s">
        <v>666</v>
      </c>
      <c r="M132" t="s">
        <v>27</v>
      </c>
      <c r="N132" t="s">
        <v>27</v>
      </c>
      <c r="O132">
        <v>7.59</v>
      </c>
      <c r="P132">
        <v>5.2480750083923304</v>
      </c>
      <c r="Q132" t="s">
        <v>27</v>
      </c>
      <c r="R132">
        <v>8.1999998092651403</v>
      </c>
      <c r="S132">
        <v>12.125</v>
      </c>
      <c r="T132">
        <v>51.302886962890597</v>
      </c>
      <c r="U132">
        <v>20.213661193847699</v>
      </c>
      <c r="V132">
        <v>25722000</v>
      </c>
      <c r="W132">
        <v>5.4852318763732901</v>
      </c>
      <c r="X132">
        <v>-0.10000000149011599</v>
      </c>
      <c r="Y132">
        <v>9.8531084060668892</v>
      </c>
      <c r="Z132">
        <v>-2.1645019054412802</v>
      </c>
      <c r="AA132">
        <v>26187000</v>
      </c>
      <c r="AB132" t="s">
        <v>27</v>
      </c>
      <c r="AC132" t="s">
        <v>27</v>
      </c>
      <c r="AD132">
        <v>2.9999999329447701E-2</v>
      </c>
      <c r="AE132">
        <v>20.513008117675799</v>
      </c>
      <c r="AF132">
        <v>8.5837273802271792</v>
      </c>
      <c r="AG132">
        <v>27856000</v>
      </c>
      <c r="AH132">
        <v>52.929763793945298</v>
      </c>
      <c r="AI132">
        <v>0.90195000171661399</v>
      </c>
    </row>
    <row r="133" spans="1:35">
      <c r="A133">
        <f t="shared" si="16"/>
        <v>1</v>
      </c>
      <c r="B133">
        <f t="shared" si="17"/>
        <v>0</v>
      </c>
      <c r="C133">
        <f t="shared" si="18"/>
        <v>0</v>
      </c>
      <c r="D133">
        <f t="shared" si="19"/>
        <v>0</v>
      </c>
      <c r="E133">
        <f t="shared" si="20"/>
        <v>1</v>
      </c>
      <c r="F133">
        <f t="shared" si="21"/>
        <v>0</v>
      </c>
      <c r="G133">
        <f t="shared" si="22"/>
        <v>0</v>
      </c>
      <c r="H133">
        <v>0</v>
      </c>
      <c r="I133">
        <f t="shared" si="23"/>
        <v>0</v>
      </c>
      <c r="J133">
        <v>0</v>
      </c>
      <c r="K133" t="s">
        <v>669</v>
      </c>
      <c r="L133" t="s">
        <v>670</v>
      </c>
      <c r="M133" t="s">
        <v>27</v>
      </c>
      <c r="N133" t="s">
        <v>27</v>
      </c>
      <c r="O133">
        <v>2.5299999999999998</v>
      </c>
      <c r="P133">
        <v>13.405643463134799</v>
      </c>
      <c r="Q133" t="s">
        <v>27</v>
      </c>
      <c r="R133">
        <v>11.6199998855591</v>
      </c>
      <c r="S133">
        <v>35.5</v>
      </c>
      <c r="T133">
        <v>0.17128500342369099</v>
      </c>
      <c r="U133" t="s">
        <v>27</v>
      </c>
      <c r="V133">
        <v>-3542000</v>
      </c>
      <c r="W133">
        <v>10.2547903060913</v>
      </c>
      <c r="X133">
        <v>0.34000000357627902</v>
      </c>
      <c r="Y133">
        <v>1.1717170476913501</v>
      </c>
      <c r="Z133">
        <v>5.1776652336120597</v>
      </c>
      <c r="AA133">
        <v>23790000</v>
      </c>
      <c r="AB133" t="s">
        <v>27</v>
      </c>
      <c r="AC133" t="s">
        <v>27</v>
      </c>
      <c r="AD133">
        <v>-0.92000001668930098</v>
      </c>
      <c r="AE133" t="s">
        <v>27</v>
      </c>
      <c r="AF133" t="s">
        <v>27</v>
      </c>
      <c r="AG133">
        <v>23790000</v>
      </c>
      <c r="AH133">
        <v>0</v>
      </c>
      <c r="AI133">
        <v>-3.3348619937896702</v>
      </c>
    </row>
    <row r="134" spans="1:35">
      <c r="A134">
        <f t="shared" si="16"/>
        <v>0</v>
      </c>
      <c r="B134">
        <f t="shared" si="17"/>
        <v>1</v>
      </c>
      <c r="C134">
        <f t="shared" si="18"/>
        <v>0</v>
      </c>
      <c r="D134">
        <f t="shared" si="19"/>
        <v>1</v>
      </c>
      <c r="E134">
        <f t="shared" si="20"/>
        <v>0</v>
      </c>
      <c r="F134">
        <f t="shared" si="21"/>
        <v>0</v>
      </c>
      <c r="G134">
        <f t="shared" si="22"/>
        <v>1</v>
      </c>
      <c r="H134">
        <v>0</v>
      </c>
      <c r="I134">
        <f t="shared" si="23"/>
        <v>0</v>
      </c>
      <c r="J134">
        <v>0</v>
      </c>
      <c r="K134" t="s">
        <v>671</v>
      </c>
      <c r="L134" t="s">
        <v>672</v>
      </c>
      <c r="M134" t="s">
        <v>27</v>
      </c>
      <c r="N134" t="s">
        <v>27</v>
      </c>
      <c r="O134">
        <v>2.8</v>
      </c>
      <c r="P134" t="s">
        <v>27</v>
      </c>
      <c r="Q134" t="s">
        <v>27</v>
      </c>
      <c r="R134">
        <v>3.8599998950958301</v>
      </c>
      <c r="S134">
        <v>5.125</v>
      </c>
      <c r="T134">
        <v>0.89637100696563698</v>
      </c>
      <c r="U134">
        <v>12.3967018127441</v>
      </c>
      <c r="V134">
        <v>-4019000</v>
      </c>
      <c r="W134">
        <v>-179.53488159179699</v>
      </c>
      <c r="X134">
        <v>-0.87999999523162797</v>
      </c>
      <c r="Y134">
        <v>-10.5873613357544</v>
      </c>
      <c r="Z134">
        <v>-37.562435150146499</v>
      </c>
      <c r="AA134">
        <v>24145000</v>
      </c>
      <c r="AB134" t="s">
        <v>27</v>
      </c>
      <c r="AC134" t="s">
        <v>27</v>
      </c>
      <c r="AD134">
        <v>-0.31000000238418601</v>
      </c>
      <c r="AE134">
        <v>48.4472045898438</v>
      </c>
      <c r="AF134" t="s">
        <v>27</v>
      </c>
      <c r="AG134">
        <v>50080000</v>
      </c>
      <c r="AH134">
        <v>25.784471511840799</v>
      </c>
      <c r="AI134">
        <v>-163.17979431152301</v>
      </c>
    </row>
    <row r="135" spans="1:35">
      <c r="A135">
        <f t="shared" si="16"/>
        <v>1</v>
      </c>
      <c r="B135">
        <f t="shared" si="17"/>
        <v>0</v>
      </c>
      <c r="C135">
        <f t="shared" si="18"/>
        <v>0</v>
      </c>
      <c r="D135">
        <f t="shared" si="19"/>
        <v>0</v>
      </c>
      <c r="E135">
        <f t="shared" si="20"/>
        <v>0</v>
      </c>
      <c r="F135">
        <f t="shared" si="21"/>
        <v>0</v>
      </c>
      <c r="G135">
        <f t="shared" si="22"/>
        <v>0</v>
      </c>
      <c r="H135">
        <v>0</v>
      </c>
      <c r="I135">
        <f t="shared" si="23"/>
        <v>0</v>
      </c>
      <c r="J135">
        <v>0</v>
      </c>
      <c r="K135" t="s">
        <v>673</v>
      </c>
      <c r="L135" t="s">
        <v>674</v>
      </c>
      <c r="M135" t="s">
        <v>27</v>
      </c>
      <c r="N135" t="s">
        <v>27</v>
      </c>
      <c r="O135">
        <v>3.19</v>
      </c>
      <c r="P135" t="s">
        <v>27</v>
      </c>
      <c r="Q135" t="s">
        <v>27</v>
      </c>
      <c r="R135">
        <v>5.8000001907348597</v>
      </c>
      <c r="S135">
        <v>3.78125</v>
      </c>
      <c r="T135">
        <v>49.857028961181598</v>
      </c>
      <c r="U135">
        <v>64.746543884277301</v>
      </c>
      <c r="V135">
        <v>-3545342.25</v>
      </c>
      <c r="W135" t="s">
        <v>27</v>
      </c>
      <c r="X135">
        <v>-9.9999997764825804E-3</v>
      </c>
      <c r="Y135" t="s">
        <v>27</v>
      </c>
      <c r="Z135" t="s">
        <v>27</v>
      </c>
      <c r="AA135">
        <v>39889000</v>
      </c>
      <c r="AB135" t="s">
        <v>27</v>
      </c>
      <c r="AC135" t="s">
        <v>27</v>
      </c>
      <c r="AD135">
        <v>-0.15000000596046401</v>
      </c>
      <c r="AE135">
        <v>59.490135192871101</v>
      </c>
      <c r="AF135" t="s">
        <v>27</v>
      </c>
      <c r="AG135">
        <v>45519000</v>
      </c>
      <c r="AH135">
        <v>0.79769998788833596</v>
      </c>
      <c r="AI135">
        <v>-277.04730224609398</v>
      </c>
    </row>
    <row r="136" spans="1:35">
      <c r="A136">
        <f t="shared" si="16"/>
        <v>1</v>
      </c>
      <c r="B136">
        <f t="shared" si="17"/>
        <v>0</v>
      </c>
      <c r="C136">
        <f t="shared" si="18"/>
        <v>1</v>
      </c>
      <c r="D136">
        <f t="shared" si="19"/>
        <v>0</v>
      </c>
      <c r="E136">
        <f t="shared" si="20"/>
        <v>1</v>
      </c>
      <c r="F136">
        <f t="shared" si="21"/>
        <v>1</v>
      </c>
      <c r="G136">
        <f t="shared" si="22"/>
        <v>0</v>
      </c>
      <c r="H136">
        <v>0</v>
      </c>
      <c r="I136">
        <f t="shared" si="23"/>
        <v>0</v>
      </c>
      <c r="J136">
        <v>0</v>
      </c>
      <c r="K136" t="s">
        <v>675</v>
      </c>
      <c r="L136" t="s">
        <v>676</v>
      </c>
      <c r="M136" t="s">
        <v>27</v>
      </c>
      <c r="N136" t="s">
        <v>27</v>
      </c>
      <c r="O136">
        <v>14.95</v>
      </c>
      <c r="P136" t="s">
        <v>27</v>
      </c>
      <c r="Q136" t="s">
        <v>27</v>
      </c>
      <c r="R136">
        <v>22.75</v>
      </c>
      <c r="S136" t="s">
        <v>27</v>
      </c>
      <c r="T136" t="s">
        <v>27</v>
      </c>
      <c r="U136" t="s">
        <v>27</v>
      </c>
      <c r="V136">
        <v>2198000.25</v>
      </c>
      <c r="W136" t="s">
        <v>27</v>
      </c>
      <c r="X136" t="s">
        <v>27</v>
      </c>
      <c r="Y136" t="s">
        <v>27</v>
      </c>
      <c r="Z136" t="s">
        <v>27</v>
      </c>
      <c r="AA136" t="s">
        <v>27</v>
      </c>
      <c r="AB136" t="s">
        <v>27</v>
      </c>
      <c r="AC136" t="s">
        <v>27</v>
      </c>
      <c r="AD136" t="s">
        <v>27</v>
      </c>
      <c r="AE136">
        <v>47.492565155029297</v>
      </c>
      <c r="AF136">
        <v>8.7175893208352502</v>
      </c>
      <c r="AG136" t="s">
        <v>27</v>
      </c>
      <c r="AH136">
        <v>6.4364999532699599E-2</v>
      </c>
      <c r="AI136">
        <v>4.9043431282043501</v>
      </c>
    </row>
    <row r="137" spans="1:35">
      <c r="A137">
        <f t="shared" si="16"/>
        <v>1</v>
      </c>
      <c r="B137">
        <f t="shared" si="17"/>
        <v>1</v>
      </c>
      <c r="C137">
        <f t="shared" si="18"/>
        <v>1</v>
      </c>
      <c r="D137">
        <f t="shared" si="19"/>
        <v>1</v>
      </c>
      <c r="E137">
        <f t="shared" si="20"/>
        <v>0</v>
      </c>
      <c r="F137">
        <f t="shared" si="21"/>
        <v>0</v>
      </c>
      <c r="G137">
        <f t="shared" si="22"/>
        <v>1</v>
      </c>
      <c r="H137">
        <v>0</v>
      </c>
      <c r="I137">
        <f t="shared" si="23"/>
        <v>1</v>
      </c>
      <c r="J137">
        <v>0</v>
      </c>
      <c r="K137" t="s">
        <v>677</v>
      </c>
      <c r="L137" t="s">
        <v>678</v>
      </c>
      <c r="M137" t="s">
        <v>27</v>
      </c>
      <c r="N137" t="s">
        <v>27</v>
      </c>
      <c r="O137">
        <v>7</v>
      </c>
      <c r="P137" t="s">
        <v>27</v>
      </c>
      <c r="Q137" t="s">
        <v>27</v>
      </c>
      <c r="R137">
        <v>2.9500000476837198</v>
      </c>
      <c r="S137">
        <v>0.72000002861022905</v>
      </c>
      <c r="T137">
        <v>91.370910644531307</v>
      </c>
      <c r="U137">
        <v>45.191707611083999</v>
      </c>
      <c r="V137">
        <v>3968000.25</v>
      </c>
      <c r="W137">
        <v>-4.5198731422424299</v>
      </c>
      <c r="X137">
        <v>-0.109999999403954</v>
      </c>
      <c r="Y137">
        <v>7.1999998092651403</v>
      </c>
      <c r="Z137">
        <v>-8.4615383148193395</v>
      </c>
      <c r="AA137">
        <v>58845000</v>
      </c>
      <c r="AB137" t="s">
        <v>27</v>
      </c>
      <c r="AC137" t="s">
        <v>27</v>
      </c>
      <c r="AD137">
        <v>-1.9999999552965199E-2</v>
      </c>
      <c r="AE137">
        <v>48.104686737060497</v>
      </c>
      <c r="AF137" t="s">
        <v>27</v>
      </c>
      <c r="AG137">
        <v>58844000</v>
      </c>
      <c r="AH137">
        <v>90.267692565917997</v>
      </c>
      <c r="AI137">
        <v>-1.9643520116805999</v>
      </c>
    </row>
    <row r="138" spans="1:35">
      <c r="A138">
        <f t="shared" si="16"/>
        <v>0</v>
      </c>
      <c r="B138">
        <f t="shared" si="17"/>
        <v>1</v>
      </c>
      <c r="C138">
        <f t="shared" si="18"/>
        <v>1</v>
      </c>
      <c r="D138">
        <f t="shared" si="19"/>
        <v>0</v>
      </c>
      <c r="E138">
        <f t="shared" si="20"/>
        <v>0</v>
      </c>
      <c r="F138">
        <f t="shared" si="21"/>
        <v>1</v>
      </c>
      <c r="G138">
        <f t="shared" si="22"/>
        <v>0</v>
      </c>
      <c r="H138">
        <v>0</v>
      </c>
      <c r="I138">
        <f t="shared" si="23"/>
        <v>0</v>
      </c>
      <c r="J138">
        <v>0</v>
      </c>
      <c r="K138" t="s">
        <v>684</v>
      </c>
      <c r="L138" t="s">
        <v>685</v>
      </c>
      <c r="M138" t="s">
        <v>27</v>
      </c>
      <c r="N138" t="s">
        <v>27</v>
      </c>
      <c r="O138">
        <v>2.86</v>
      </c>
      <c r="P138">
        <v>12.7891178131104</v>
      </c>
      <c r="Q138" t="s">
        <v>27</v>
      </c>
      <c r="R138">
        <v>5.25</v>
      </c>
      <c r="S138">
        <v>25.6875</v>
      </c>
      <c r="T138">
        <v>0</v>
      </c>
      <c r="U138">
        <v>53.900634765625</v>
      </c>
      <c r="V138">
        <v>831000</v>
      </c>
      <c r="W138">
        <v>10.4169969558716</v>
      </c>
      <c r="X138">
        <v>0.18999999761581399</v>
      </c>
      <c r="Y138">
        <v>4.9305138587951696</v>
      </c>
      <c r="Z138">
        <v>2.63852190971375</v>
      </c>
      <c r="AA138">
        <v>18657000</v>
      </c>
      <c r="AB138" t="s">
        <v>27</v>
      </c>
      <c r="AC138" t="s">
        <v>27</v>
      </c>
      <c r="AD138">
        <v>-0.52999997138977095</v>
      </c>
      <c r="AE138">
        <v>39.899673461914098</v>
      </c>
      <c r="AF138" t="s">
        <v>27</v>
      </c>
      <c r="AG138">
        <v>21864000</v>
      </c>
      <c r="AH138">
        <v>19.259056091308601</v>
      </c>
      <c r="AI138">
        <v>11.7749471664429</v>
      </c>
    </row>
    <row r="139" spans="1:35">
      <c r="A139">
        <f t="shared" si="16"/>
        <v>0</v>
      </c>
      <c r="B139">
        <f t="shared" si="17"/>
        <v>0</v>
      </c>
      <c r="C139">
        <f t="shared" si="18"/>
        <v>1</v>
      </c>
      <c r="D139">
        <f t="shared" si="19"/>
        <v>1</v>
      </c>
      <c r="E139">
        <f t="shared" si="20"/>
        <v>0</v>
      </c>
      <c r="F139">
        <f t="shared" si="21"/>
        <v>0</v>
      </c>
      <c r="G139">
        <f t="shared" si="22"/>
        <v>1</v>
      </c>
      <c r="H139">
        <v>0</v>
      </c>
      <c r="I139">
        <f t="shared" si="23"/>
        <v>0</v>
      </c>
      <c r="J139">
        <v>0</v>
      </c>
      <c r="K139" t="s">
        <v>692</v>
      </c>
      <c r="L139" t="s">
        <v>693</v>
      </c>
      <c r="M139" t="s">
        <v>27</v>
      </c>
      <c r="N139" t="s">
        <v>27</v>
      </c>
      <c r="O139">
        <v>8.9</v>
      </c>
      <c r="P139">
        <v>3.9792399406433101</v>
      </c>
      <c r="Q139" t="s">
        <v>27</v>
      </c>
      <c r="R139">
        <v>13.579999923706101</v>
      </c>
      <c r="S139">
        <v>7.53125</v>
      </c>
      <c r="T139">
        <v>47.152866363525398</v>
      </c>
      <c r="U139">
        <v>34.109672546386697</v>
      </c>
      <c r="V139">
        <v>1434999.5</v>
      </c>
      <c r="W139">
        <v>1.9145699739456199</v>
      </c>
      <c r="X139">
        <v>1.9999999552965199E-2</v>
      </c>
      <c r="Y139">
        <v>2.8776979446411102</v>
      </c>
      <c r="Z139">
        <v>1.7964069843292201</v>
      </c>
      <c r="AA139">
        <v>23174000</v>
      </c>
      <c r="AB139" t="s">
        <v>61</v>
      </c>
      <c r="AC139" t="s">
        <v>77</v>
      </c>
      <c r="AD139">
        <v>0.15999999642372101</v>
      </c>
      <c r="AE139">
        <v>34.439613342285199</v>
      </c>
      <c r="AF139">
        <v>5.8923424976299197</v>
      </c>
      <c r="AG139">
        <v>23428000</v>
      </c>
      <c r="AH139">
        <v>47.350521087646499</v>
      </c>
      <c r="AI139">
        <v>-13.030087471008301</v>
      </c>
    </row>
    <row r="140" spans="1:35">
      <c r="A140">
        <f t="shared" si="16"/>
        <v>0</v>
      </c>
      <c r="B140">
        <f t="shared" si="17"/>
        <v>1</v>
      </c>
      <c r="C140">
        <f t="shared" si="18"/>
        <v>1</v>
      </c>
      <c r="D140">
        <f t="shared" si="19"/>
        <v>1</v>
      </c>
      <c r="E140">
        <f t="shared" si="20"/>
        <v>0</v>
      </c>
      <c r="F140">
        <f t="shared" si="21"/>
        <v>0</v>
      </c>
      <c r="G140">
        <f t="shared" si="22"/>
        <v>0</v>
      </c>
      <c r="H140">
        <v>0</v>
      </c>
      <c r="I140">
        <f t="shared" si="23"/>
        <v>0</v>
      </c>
      <c r="J140">
        <v>0</v>
      </c>
      <c r="K140" t="s">
        <v>699</v>
      </c>
      <c r="L140" t="s">
        <v>700</v>
      </c>
      <c r="M140" t="s">
        <v>27</v>
      </c>
      <c r="N140" t="s">
        <v>27</v>
      </c>
      <c r="O140">
        <v>4.2610000000000001</v>
      </c>
      <c r="P140" t="s">
        <v>27</v>
      </c>
      <c r="Q140" t="s">
        <v>27</v>
      </c>
      <c r="R140">
        <v>6.3000001907348597</v>
      </c>
      <c r="S140">
        <v>4.5</v>
      </c>
      <c r="T140">
        <v>0</v>
      </c>
      <c r="U140">
        <v>47.162464141845703</v>
      </c>
      <c r="V140">
        <v>288999.96875</v>
      </c>
      <c r="W140">
        <v>-39.540073394775398</v>
      </c>
      <c r="X140">
        <v>-0.119999997317791</v>
      </c>
      <c r="Y140" t="s">
        <v>27</v>
      </c>
      <c r="Z140">
        <v>-1.9455250501632699</v>
      </c>
      <c r="AA140">
        <v>27600000</v>
      </c>
      <c r="AB140" t="s">
        <v>27</v>
      </c>
      <c r="AC140" t="s">
        <v>27</v>
      </c>
      <c r="AD140">
        <v>0</v>
      </c>
      <c r="AE140">
        <v>32.510646820068402</v>
      </c>
      <c r="AF140" t="s">
        <v>27</v>
      </c>
      <c r="AG140">
        <v>31487000</v>
      </c>
      <c r="AH140">
        <v>0</v>
      </c>
      <c r="AI140">
        <v>-32.592594146728501</v>
      </c>
    </row>
    <row r="141" spans="1:35">
      <c r="A141">
        <f t="shared" si="16"/>
        <v>1</v>
      </c>
      <c r="B141">
        <f t="shared" si="17"/>
        <v>0</v>
      </c>
      <c r="C141">
        <f t="shared" si="18"/>
        <v>1</v>
      </c>
      <c r="D141">
        <f t="shared" si="19"/>
        <v>0</v>
      </c>
      <c r="E141">
        <f t="shared" si="20"/>
        <v>0</v>
      </c>
      <c r="F141">
        <f t="shared" si="21"/>
        <v>0</v>
      </c>
      <c r="G141">
        <f t="shared" si="22"/>
        <v>0</v>
      </c>
      <c r="H141">
        <v>0</v>
      </c>
      <c r="I141">
        <f t="shared" si="23"/>
        <v>0</v>
      </c>
      <c r="J141">
        <v>0</v>
      </c>
      <c r="K141" t="s">
        <v>709</v>
      </c>
      <c r="L141" t="s">
        <v>710</v>
      </c>
      <c r="M141" t="s">
        <v>27</v>
      </c>
      <c r="N141" t="s">
        <v>27</v>
      </c>
      <c r="O141">
        <v>2.5409999999999999</v>
      </c>
      <c r="P141" t="s">
        <v>27</v>
      </c>
      <c r="Q141" t="s">
        <v>27</v>
      </c>
      <c r="R141">
        <v>2.9000000953674299</v>
      </c>
      <c r="S141">
        <v>1.84375</v>
      </c>
      <c r="T141">
        <v>19.722551345825199</v>
      </c>
      <c r="U141">
        <v>11.683403015136699</v>
      </c>
      <c r="V141">
        <v>7246000.5</v>
      </c>
      <c r="W141">
        <v>1.0718230009078999</v>
      </c>
      <c r="X141">
        <v>-2.9999999329447701E-2</v>
      </c>
      <c r="Y141" t="s">
        <v>27</v>
      </c>
      <c r="Z141">
        <v>-0.40000000596046398</v>
      </c>
      <c r="AA141">
        <v>95479632</v>
      </c>
      <c r="AB141" t="s">
        <v>61</v>
      </c>
      <c r="AC141" t="s">
        <v>80</v>
      </c>
      <c r="AD141">
        <v>-0.10000000149011599</v>
      </c>
      <c r="AE141">
        <v>5.3415818214416504</v>
      </c>
      <c r="AF141">
        <v>8.2784823372159604</v>
      </c>
      <c r="AG141">
        <v>95514000</v>
      </c>
      <c r="AH141">
        <v>12.596666336059601</v>
      </c>
      <c r="AI141">
        <v>-17.287509918212901</v>
      </c>
    </row>
    <row r="142" spans="1:35">
      <c r="A142">
        <f t="shared" si="16"/>
        <v>0</v>
      </c>
      <c r="B142">
        <f t="shared" si="17"/>
        <v>0</v>
      </c>
      <c r="C142">
        <f t="shared" si="18"/>
        <v>1</v>
      </c>
      <c r="D142">
        <f t="shared" si="19"/>
        <v>1</v>
      </c>
      <c r="E142">
        <f t="shared" si="20"/>
        <v>0</v>
      </c>
      <c r="F142">
        <f t="shared" si="21"/>
        <v>0</v>
      </c>
      <c r="G142">
        <f t="shared" si="22"/>
        <v>0</v>
      </c>
      <c r="H142">
        <v>0</v>
      </c>
      <c r="I142">
        <f t="shared" si="23"/>
        <v>1</v>
      </c>
      <c r="J142">
        <v>0</v>
      </c>
      <c r="K142" t="s">
        <v>715</v>
      </c>
      <c r="L142" t="s">
        <v>716</v>
      </c>
      <c r="M142" t="s">
        <v>27</v>
      </c>
      <c r="N142" t="s">
        <v>27</v>
      </c>
      <c r="O142">
        <v>20.98</v>
      </c>
      <c r="P142">
        <v>21.073066711425799</v>
      </c>
      <c r="Q142" t="s">
        <v>27</v>
      </c>
      <c r="R142">
        <v>7.75</v>
      </c>
      <c r="S142">
        <v>8.25</v>
      </c>
      <c r="T142">
        <v>33.158287048339801</v>
      </c>
      <c r="U142" t="s">
        <v>27</v>
      </c>
      <c r="V142">
        <v>8347000</v>
      </c>
      <c r="W142">
        <v>0.91950100660324097</v>
      </c>
      <c r="X142">
        <v>-0.34999999403953602</v>
      </c>
      <c r="Y142">
        <v>-0.99224799871444702</v>
      </c>
      <c r="Z142">
        <v>-9.4391241073608398</v>
      </c>
      <c r="AA142">
        <v>21626000</v>
      </c>
      <c r="AB142" t="s">
        <v>27</v>
      </c>
      <c r="AC142" t="s">
        <v>27</v>
      </c>
      <c r="AD142">
        <v>5.0000000745058101E-2</v>
      </c>
      <c r="AE142" t="s">
        <v>27</v>
      </c>
      <c r="AF142">
        <v>11.9831900565831</v>
      </c>
      <c r="AG142">
        <v>21836000</v>
      </c>
      <c r="AH142">
        <v>62.173873901367202</v>
      </c>
      <c r="AI142">
        <v>-10.313717842102101</v>
      </c>
    </row>
    <row r="143" spans="1:35">
      <c r="A143">
        <f t="shared" si="16"/>
        <v>1</v>
      </c>
      <c r="B143">
        <f t="shared" si="17"/>
        <v>0</v>
      </c>
      <c r="C143">
        <f t="shared" si="18"/>
        <v>1</v>
      </c>
      <c r="D143">
        <f t="shared" si="19"/>
        <v>1</v>
      </c>
      <c r="E143">
        <f t="shared" si="20"/>
        <v>0</v>
      </c>
      <c r="F143">
        <f t="shared" si="21"/>
        <v>1</v>
      </c>
      <c r="G143">
        <f t="shared" si="22"/>
        <v>1</v>
      </c>
      <c r="H143">
        <v>0</v>
      </c>
      <c r="I143">
        <f t="shared" si="23"/>
        <v>1</v>
      </c>
      <c r="J143">
        <v>0</v>
      </c>
      <c r="K143" t="s">
        <v>717</v>
      </c>
      <c r="L143" t="s">
        <v>718</v>
      </c>
      <c r="M143" t="s">
        <v>27</v>
      </c>
      <c r="N143" t="s">
        <v>27</v>
      </c>
      <c r="O143">
        <v>24.95</v>
      </c>
      <c r="P143" t="s">
        <v>27</v>
      </c>
      <c r="Q143" t="s">
        <v>27</v>
      </c>
      <c r="R143">
        <v>21</v>
      </c>
      <c r="S143">
        <v>16.100000381469702</v>
      </c>
      <c r="T143">
        <v>12.517894744873001</v>
      </c>
      <c r="U143">
        <v>27.3831386566162</v>
      </c>
      <c r="V143" t="s">
        <v>27</v>
      </c>
      <c r="W143">
        <v>10.8418235778809</v>
      </c>
      <c r="X143">
        <v>0.58999997377395597</v>
      </c>
      <c r="Y143" t="s">
        <v>27</v>
      </c>
      <c r="Z143" t="s">
        <v>27</v>
      </c>
      <c r="AA143">
        <v>19079000</v>
      </c>
      <c r="AB143" t="s">
        <v>61</v>
      </c>
      <c r="AC143" t="s">
        <v>80</v>
      </c>
      <c r="AD143" t="s">
        <v>27</v>
      </c>
      <c r="AE143" t="s">
        <v>27</v>
      </c>
      <c r="AF143">
        <v>18.5815633132794</v>
      </c>
      <c r="AG143">
        <v>19081000</v>
      </c>
      <c r="AH143">
        <v>4.8386287689209002</v>
      </c>
      <c r="AI143">
        <v>5.9803810119628897</v>
      </c>
    </row>
    <row r="144" spans="1:35">
      <c r="A144">
        <f t="shared" si="16"/>
        <v>1</v>
      </c>
      <c r="B144">
        <f t="shared" si="17"/>
        <v>0</v>
      </c>
      <c r="C144">
        <f t="shared" si="18"/>
        <v>0</v>
      </c>
      <c r="D144">
        <f t="shared" si="19"/>
        <v>1</v>
      </c>
      <c r="E144">
        <f t="shared" si="20"/>
        <v>0</v>
      </c>
      <c r="F144">
        <f t="shared" si="21"/>
        <v>0</v>
      </c>
      <c r="G144">
        <f t="shared" si="22"/>
        <v>1</v>
      </c>
      <c r="H144">
        <v>0</v>
      </c>
      <c r="I144">
        <f t="shared" si="23"/>
        <v>0</v>
      </c>
      <c r="J144">
        <v>0</v>
      </c>
      <c r="K144" t="s">
        <v>721</v>
      </c>
      <c r="L144" t="s">
        <v>722</v>
      </c>
      <c r="M144" t="s">
        <v>27</v>
      </c>
      <c r="N144" t="s">
        <v>27</v>
      </c>
      <c r="O144">
        <v>9.2799999999999994</v>
      </c>
      <c r="P144" t="s">
        <v>27</v>
      </c>
      <c r="Q144" t="s">
        <v>27</v>
      </c>
      <c r="R144">
        <v>20.899999618530298</v>
      </c>
      <c r="S144">
        <v>49</v>
      </c>
      <c r="T144">
        <v>3.31035304069519</v>
      </c>
      <c r="U144">
        <v>-156.08940124511699</v>
      </c>
      <c r="V144">
        <v>-24246000</v>
      </c>
      <c r="W144">
        <v>-10.550422668456999</v>
      </c>
      <c r="X144">
        <v>-0.43000000715255698</v>
      </c>
      <c r="Y144">
        <v>-1.5156840085983301</v>
      </c>
      <c r="Z144">
        <v>-6.8879671096801802</v>
      </c>
      <c r="AA144">
        <v>60784000</v>
      </c>
      <c r="AB144" t="s">
        <v>27</v>
      </c>
      <c r="AC144" t="s">
        <v>27</v>
      </c>
      <c r="AD144">
        <v>-0.25</v>
      </c>
      <c r="AE144">
        <v>56.313705444335902</v>
      </c>
      <c r="AF144" t="s">
        <v>27</v>
      </c>
      <c r="AG144">
        <v>62172000</v>
      </c>
      <c r="AH144">
        <v>0</v>
      </c>
      <c r="AI144">
        <v>-14.1436548233032</v>
      </c>
    </row>
    <row r="145" spans="1:35">
      <c r="A145">
        <f t="shared" si="16"/>
        <v>1</v>
      </c>
      <c r="B145">
        <f t="shared" si="17"/>
        <v>0</v>
      </c>
      <c r="C145">
        <f t="shared" si="18"/>
        <v>1</v>
      </c>
      <c r="D145">
        <f t="shared" si="19"/>
        <v>0</v>
      </c>
      <c r="E145">
        <f t="shared" si="20"/>
        <v>1</v>
      </c>
      <c r="F145">
        <f t="shared" si="21"/>
        <v>1</v>
      </c>
      <c r="G145">
        <f t="shared" si="22"/>
        <v>0</v>
      </c>
      <c r="H145">
        <v>0</v>
      </c>
      <c r="I145">
        <f t="shared" si="23"/>
        <v>1</v>
      </c>
      <c r="J145">
        <v>0</v>
      </c>
      <c r="K145" t="s">
        <v>725</v>
      </c>
      <c r="L145" t="s">
        <v>726</v>
      </c>
      <c r="M145" t="s">
        <v>27</v>
      </c>
      <c r="N145" t="s">
        <v>27</v>
      </c>
      <c r="O145">
        <v>28.2</v>
      </c>
      <c r="P145" t="s">
        <v>27</v>
      </c>
      <c r="Q145" t="s">
        <v>27</v>
      </c>
      <c r="R145">
        <v>18.5</v>
      </c>
      <c r="S145" t="s">
        <v>27</v>
      </c>
      <c r="T145" t="s">
        <v>27</v>
      </c>
      <c r="U145" t="s">
        <v>27</v>
      </c>
      <c r="V145">
        <v>10825000</v>
      </c>
      <c r="W145" t="s">
        <v>27</v>
      </c>
      <c r="X145" t="s">
        <v>27</v>
      </c>
      <c r="Y145" t="s">
        <v>27</v>
      </c>
      <c r="Z145" t="s">
        <v>27</v>
      </c>
      <c r="AA145" t="s">
        <v>27</v>
      </c>
      <c r="AB145" t="s">
        <v>73</v>
      </c>
      <c r="AC145" t="s">
        <v>210</v>
      </c>
      <c r="AD145" t="s">
        <v>27</v>
      </c>
      <c r="AE145">
        <v>17.4924507141113</v>
      </c>
      <c r="AF145" t="s">
        <v>27</v>
      </c>
      <c r="AG145" t="s">
        <v>27</v>
      </c>
      <c r="AH145">
        <v>3.8472270965576199</v>
      </c>
      <c r="AI145">
        <v>13.073488235473601</v>
      </c>
    </row>
    <row r="146" spans="1:35">
      <c r="A146">
        <f t="shared" si="16"/>
        <v>0</v>
      </c>
      <c r="B146">
        <f t="shared" si="17"/>
        <v>1</v>
      </c>
      <c r="C146">
        <f t="shared" si="18"/>
        <v>0</v>
      </c>
      <c r="D146">
        <f t="shared" si="19"/>
        <v>0</v>
      </c>
      <c r="E146">
        <f t="shared" si="20"/>
        <v>0</v>
      </c>
      <c r="F146">
        <f t="shared" si="21"/>
        <v>1</v>
      </c>
      <c r="G146">
        <f t="shared" si="22"/>
        <v>0</v>
      </c>
      <c r="H146">
        <v>0</v>
      </c>
      <c r="I146">
        <f t="shared" si="23"/>
        <v>0</v>
      </c>
      <c r="J146">
        <v>0</v>
      </c>
      <c r="K146" t="s">
        <v>727</v>
      </c>
      <c r="L146" t="s">
        <v>728</v>
      </c>
      <c r="M146" t="s">
        <v>27</v>
      </c>
      <c r="N146" t="s">
        <v>27</v>
      </c>
      <c r="O146">
        <v>2.04</v>
      </c>
      <c r="P146">
        <v>9.1134510040283203</v>
      </c>
      <c r="Q146" t="s">
        <v>27</v>
      </c>
      <c r="R146">
        <v>8</v>
      </c>
      <c r="S146">
        <v>20.0625</v>
      </c>
      <c r="T146">
        <v>101.367477416992</v>
      </c>
      <c r="U146">
        <v>72.168151855468807</v>
      </c>
      <c r="V146">
        <v>-22486000</v>
      </c>
      <c r="W146">
        <v>1.54487204551697</v>
      </c>
      <c r="X146">
        <v>1.9299999475479099</v>
      </c>
      <c r="Y146">
        <v>0.70588201284408603</v>
      </c>
      <c r="Z146">
        <v>-5.6722688674926802</v>
      </c>
      <c r="AA146">
        <v>94583000</v>
      </c>
      <c r="AB146" t="s">
        <v>27</v>
      </c>
      <c r="AC146" t="s">
        <v>27</v>
      </c>
      <c r="AD146">
        <v>-0.20999999344348899</v>
      </c>
      <c r="AE146">
        <v>68.463798522949205</v>
      </c>
      <c r="AF146" t="s">
        <v>27</v>
      </c>
      <c r="AG146">
        <v>95324000</v>
      </c>
      <c r="AH146">
        <v>107.537467956543</v>
      </c>
      <c r="AI146">
        <v>13.221284866333001</v>
      </c>
    </row>
    <row r="147" spans="1:35">
      <c r="A147">
        <f t="shared" si="16"/>
        <v>1</v>
      </c>
      <c r="B147">
        <f t="shared" si="17"/>
        <v>0</v>
      </c>
      <c r="C147">
        <f t="shared" si="18"/>
        <v>0</v>
      </c>
      <c r="D147">
        <f t="shared" si="19"/>
        <v>0</v>
      </c>
      <c r="E147">
        <f t="shared" si="20"/>
        <v>0</v>
      </c>
      <c r="F147">
        <f t="shared" si="21"/>
        <v>1</v>
      </c>
      <c r="G147">
        <f t="shared" si="22"/>
        <v>0</v>
      </c>
      <c r="H147">
        <v>0</v>
      </c>
      <c r="I147">
        <f t="shared" si="23"/>
        <v>0</v>
      </c>
      <c r="J147">
        <v>0</v>
      </c>
      <c r="K147" t="s">
        <v>733</v>
      </c>
      <c r="L147" t="s">
        <v>734</v>
      </c>
      <c r="M147" t="s">
        <v>27</v>
      </c>
      <c r="N147" t="s">
        <v>27</v>
      </c>
      <c r="O147">
        <v>3.681</v>
      </c>
      <c r="P147" t="s">
        <v>27</v>
      </c>
      <c r="Q147" t="s">
        <v>27</v>
      </c>
      <c r="R147">
        <v>11.5100002288818</v>
      </c>
      <c r="S147">
        <v>48.5625</v>
      </c>
      <c r="T147" t="s">
        <v>27</v>
      </c>
      <c r="U147" t="s">
        <v>27</v>
      </c>
      <c r="V147">
        <v>-5249000</v>
      </c>
      <c r="W147" t="s">
        <v>27</v>
      </c>
      <c r="X147" t="s">
        <v>27</v>
      </c>
      <c r="Y147" t="s">
        <v>27</v>
      </c>
      <c r="Z147" t="s">
        <v>27</v>
      </c>
      <c r="AA147" t="s">
        <v>27</v>
      </c>
      <c r="AB147" t="s">
        <v>27</v>
      </c>
      <c r="AC147" t="s">
        <v>27</v>
      </c>
      <c r="AD147">
        <v>-0.259999990463257</v>
      </c>
      <c r="AE147">
        <v>47.627456665039098</v>
      </c>
      <c r="AF147" t="s">
        <v>27</v>
      </c>
      <c r="AG147">
        <v>33030110</v>
      </c>
      <c r="AH147">
        <v>0.45958000421523998</v>
      </c>
      <c r="AI147" t="s">
        <v>27</v>
      </c>
    </row>
    <row r="148" spans="1:35">
      <c r="A148">
        <f t="shared" si="16"/>
        <v>0</v>
      </c>
      <c r="B148">
        <f t="shared" si="17"/>
        <v>1</v>
      </c>
      <c r="C148">
        <f t="shared" si="18"/>
        <v>1</v>
      </c>
      <c r="D148">
        <f t="shared" si="19"/>
        <v>1</v>
      </c>
      <c r="E148">
        <f t="shared" si="20"/>
        <v>0</v>
      </c>
      <c r="F148">
        <f t="shared" si="21"/>
        <v>0</v>
      </c>
      <c r="G148">
        <f t="shared" si="22"/>
        <v>1</v>
      </c>
      <c r="H148">
        <v>0</v>
      </c>
      <c r="I148">
        <f t="shared" si="23"/>
        <v>1</v>
      </c>
      <c r="J148">
        <v>0</v>
      </c>
      <c r="K148" t="s">
        <v>739</v>
      </c>
      <c r="L148" t="s">
        <v>740</v>
      </c>
      <c r="M148" t="s">
        <v>27</v>
      </c>
      <c r="N148" t="s">
        <v>27</v>
      </c>
      <c r="O148">
        <v>21.89</v>
      </c>
      <c r="P148" t="s">
        <v>27</v>
      </c>
      <c r="Q148" t="s">
        <v>27</v>
      </c>
      <c r="R148">
        <v>7.6399998664856001</v>
      </c>
      <c r="S148">
        <v>8.375</v>
      </c>
      <c r="T148">
        <v>29.845115661621101</v>
      </c>
      <c r="U148">
        <v>24.5098571777344</v>
      </c>
      <c r="V148">
        <v>18085000</v>
      </c>
      <c r="W148">
        <v>-1.2413519620895399</v>
      </c>
      <c r="X148">
        <v>-1.6399999856948899</v>
      </c>
      <c r="Y148">
        <v>11.0990991592407</v>
      </c>
      <c r="Z148">
        <v>9.7590360641479492</v>
      </c>
      <c r="AA148">
        <v>18340000</v>
      </c>
      <c r="AB148" t="s">
        <v>194</v>
      </c>
      <c r="AC148" t="s">
        <v>741</v>
      </c>
      <c r="AD148">
        <v>-0.81999999284744296</v>
      </c>
      <c r="AE148">
        <v>29.039342880248999</v>
      </c>
      <c r="AF148">
        <v>8.8066589371980708</v>
      </c>
      <c r="AG148">
        <v>18446000</v>
      </c>
      <c r="AH148">
        <v>30.339309692382798</v>
      </c>
      <c r="AI148">
        <v>-0.99246597290039096</v>
      </c>
    </row>
    <row r="149" spans="1:35">
      <c r="A149">
        <f t="shared" si="16"/>
        <v>1</v>
      </c>
      <c r="B149">
        <f t="shared" si="17"/>
        <v>1</v>
      </c>
      <c r="C149">
        <f t="shared" si="18"/>
        <v>1</v>
      </c>
      <c r="D149">
        <f t="shared" si="19"/>
        <v>1</v>
      </c>
      <c r="E149">
        <f t="shared" si="20"/>
        <v>0</v>
      </c>
      <c r="F149">
        <f t="shared" si="21"/>
        <v>1</v>
      </c>
      <c r="G149">
        <f t="shared" si="22"/>
        <v>0</v>
      </c>
      <c r="H149">
        <v>0</v>
      </c>
      <c r="I149">
        <f t="shared" si="23"/>
        <v>0</v>
      </c>
      <c r="J149">
        <v>0</v>
      </c>
      <c r="K149" t="s">
        <v>748</v>
      </c>
      <c r="L149" t="s">
        <v>749</v>
      </c>
      <c r="M149" t="s">
        <v>27</v>
      </c>
      <c r="N149" t="s">
        <v>27</v>
      </c>
      <c r="O149">
        <v>6.26</v>
      </c>
      <c r="P149" t="s">
        <v>27</v>
      </c>
      <c r="Q149" t="s">
        <v>27</v>
      </c>
      <c r="R149">
        <v>6.6799998283386204</v>
      </c>
      <c r="S149">
        <v>5.71000003814697</v>
      </c>
      <c r="T149">
        <v>26.386491775512699</v>
      </c>
      <c r="U149">
        <v>15.611412048339799</v>
      </c>
      <c r="V149">
        <v>66700000</v>
      </c>
      <c r="W149">
        <v>0.40048599243164101</v>
      </c>
      <c r="X149">
        <v>-0.74000000953674305</v>
      </c>
      <c r="Y149">
        <v>26.3783779144287</v>
      </c>
      <c r="Z149">
        <v>6.0498218536376998</v>
      </c>
      <c r="AA149">
        <v>82478000</v>
      </c>
      <c r="AB149" t="s">
        <v>328</v>
      </c>
      <c r="AC149" t="s">
        <v>329</v>
      </c>
      <c r="AD149">
        <v>9.00000035762787E-2</v>
      </c>
      <c r="AE149">
        <v>13.558729171752899</v>
      </c>
      <c r="AF149">
        <v>10.2375565874126</v>
      </c>
      <c r="AG149">
        <v>80566000</v>
      </c>
      <c r="AH149">
        <v>22.6500568389893</v>
      </c>
      <c r="AI149">
        <v>3.6533939838409402</v>
      </c>
    </row>
    <row r="150" spans="1:35">
      <c r="A150">
        <f t="shared" si="16"/>
        <v>0</v>
      </c>
      <c r="B150">
        <f t="shared" si="17"/>
        <v>0</v>
      </c>
      <c r="C150">
        <f t="shared" si="18"/>
        <v>1</v>
      </c>
      <c r="D150">
        <f t="shared" si="19"/>
        <v>0</v>
      </c>
      <c r="E150">
        <f t="shared" si="20"/>
        <v>0</v>
      </c>
      <c r="F150">
        <f t="shared" si="21"/>
        <v>1</v>
      </c>
      <c r="G150">
        <f t="shared" si="22"/>
        <v>0</v>
      </c>
      <c r="H150">
        <v>0</v>
      </c>
      <c r="I150">
        <f t="shared" si="23"/>
        <v>0</v>
      </c>
      <c r="J150">
        <v>0</v>
      </c>
      <c r="K150" t="s">
        <v>754</v>
      </c>
      <c r="L150" t="s">
        <v>755</v>
      </c>
      <c r="M150" t="s">
        <v>27</v>
      </c>
      <c r="N150" t="s">
        <v>27</v>
      </c>
      <c r="O150">
        <v>2.0299999999999998</v>
      </c>
      <c r="P150">
        <v>7.0608038902282697</v>
      </c>
      <c r="Q150" t="s">
        <v>27</v>
      </c>
      <c r="R150">
        <v>5.7699999809265101</v>
      </c>
      <c r="S150">
        <v>6.1500000953674299</v>
      </c>
      <c r="T150">
        <v>53.749271392822301</v>
      </c>
      <c r="U150">
        <v>20.431661605835</v>
      </c>
      <c r="V150">
        <v>18063000</v>
      </c>
      <c r="W150">
        <v>5.2169971466064498</v>
      </c>
      <c r="X150">
        <v>0.140000000596046</v>
      </c>
      <c r="Y150">
        <v>20.4210529327393</v>
      </c>
      <c r="Z150">
        <v>1.0810810327529901</v>
      </c>
      <c r="AA150">
        <v>48574000</v>
      </c>
      <c r="AB150" t="s">
        <v>61</v>
      </c>
      <c r="AC150" t="s">
        <v>77</v>
      </c>
      <c r="AD150">
        <v>-2.9999999329447701E-2</v>
      </c>
      <c r="AE150">
        <v>19.640609741210898</v>
      </c>
      <c r="AF150">
        <v>6.7022672325299899</v>
      </c>
      <c r="AG150">
        <v>47657000</v>
      </c>
      <c r="AH150">
        <v>56.806221008300803</v>
      </c>
      <c r="AI150">
        <v>1.8430440425872801</v>
      </c>
    </row>
    <row r="151" spans="1:35">
      <c r="A151">
        <f t="shared" si="16"/>
        <v>0</v>
      </c>
      <c r="B151">
        <f t="shared" si="17"/>
        <v>1</v>
      </c>
      <c r="C151">
        <f t="shared" si="18"/>
        <v>0</v>
      </c>
      <c r="D151">
        <f t="shared" si="19"/>
        <v>0</v>
      </c>
      <c r="E151">
        <f t="shared" si="20"/>
        <v>0</v>
      </c>
      <c r="F151">
        <f t="shared" si="21"/>
        <v>0</v>
      </c>
      <c r="G151">
        <f t="shared" si="22"/>
        <v>1</v>
      </c>
      <c r="H151">
        <v>0</v>
      </c>
      <c r="I151">
        <f t="shared" si="23"/>
        <v>1</v>
      </c>
      <c r="J151">
        <v>0</v>
      </c>
      <c r="K151" t="s">
        <v>756</v>
      </c>
      <c r="L151" t="s">
        <v>757</v>
      </c>
      <c r="M151" t="s">
        <v>27</v>
      </c>
      <c r="N151" t="s">
        <v>27</v>
      </c>
      <c r="O151">
        <v>5.31</v>
      </c>
      <c r="P151" t="s">
        <v>27</v>
      </c>
      <c r="Q151" t="s">
        <v>27</v>
      </c>
      <c r="R151">
        <v>3.1600000858306898</v>
      </c>
      <c r="S151">
        <v>7.796875</v>
      </c>
      <c r="T151">
        <v>2.7689630985260001</v>
      </c>
      <c r="U151">
        <v>39.302627563476598</v>
      </c>
      <c r="V151">
        <v>-2877000</v>
      </c>
      <c r="W151">
        <v>-99.422401428222699</v>
      </c>
      <c r="X151">
        <v>-0.15000000596046401</v>
      </c>
      <c r="Y151" t="s">
        <v>27</v>
      </c>
      <c r="Z151">
        <v>-24.137931823730501</v>
      </c>
      <c r="AA151">
        <v>26380000</v>
      </c>
      <c r="AB151" t="s">
        <v>73</v>
      </c>
      <c r="AC151" t="s">
        <v>141</v>
      </c>
      <c r="AD151">
        <v>-0.15000000596046401</v>
      </c>
      <c r="AE151">
        <v>50.053741455078097</v>
      </c>
      <c r="AF151" t="s">
        <v>27</v>
      </c>
      <c r="AG151">
        <v>26567000</v>
      </c>
      <c r="AH151">
        <v>6.0891189575195304</v>
      </c>
      <c r="AI151">
        <v>-56.735389709472699</v>
      </c>
    </row>
    <row r="152" spans="1:35">
      <c r="A152">
        <f t="shared" si="16"/>
        <v>1</v>
      </c>
      <c r="B152">
        <f t="shared" si="17"/>
        <v>1</v>
      </c>
      <c r="C152">
        <f t="shared" si="18"/>
        <v>0</v>
      </c>
      <c r="D152">
        <f t="shared" si="19"/>
        <v>0</v>
      </c>
      <c r="E152">
        <f t="shared" si="20"/>
        <v>0</v>
      </c>
      <c r="F152">
        <f t="shared" si="21"/>
        <v>1</v>
      </c>
      <c r="G152">
        <f t="shared" si="22"/>
        <v>0</v>
      </c>
      <c r="H152">
        <v>0</v>
      </c>
      <c r="I152">
        <f t="shared" si="23"/>
        <v>0</v>
      </c>
      <c r="J152">
        <v>0</v>
      </c>
      <c r="K152" t="s">
        <v>760</v>
      </c>
      <c r="L152" t="s">
        <v>761</v>
      </c>
      <c r="M152" t="s">
        <v>27</v>
      </c>
      <c r="N152" t="s">
        <v>27</v>
      </c>
      <c r="O152">
        <v>8.36</v>
      </c>
      <c r="P152" t="s">
        <v>27</v>
      </c>
      <c r="Q152" t="s">
        <v>27</v>
      </c>
      <c r="R152">
        <v>50.090000152587898</v>
      </c>
      <c r="S152">
        <v>68.5</v>
      </c>
      <c r="T152">
        <v>0.34944999217987099</v>
      </c>
      <c r="U152" t="s">
        <v>27</v>
      </c>
      <c r="V152">
        <v>-12114000</v>
      </c>
      <c r="W152">
        <v>-102.919082641602</v>
      </c>
      <c r="X152">
        <v>-0.60000002384185802</v>
      </c>
      <c r="Y152" t="s">
        <v>27</v>
      </c>
      <c r="Z152" t="s">
        <v>27</v>
      </c>
      <c r="AA152">
        <v>11744000</v>
      </c>
      <c r="AB152" t="s">
        <v>73</v>
      </c>
      <c r="AC152" t="s">
        <v>74</v>
      </c>
      <c r="AD152">
        <v>-0.769999980926514</v>
      </c>
      <c r="AE152" t="s">
        <v>27</v>
      </c>
      <c r="AF152" t="s">
        <v>27</v>
      </c>
      <c r="AG152">
        <v>14052000</v>
      </c>
      <c r="AH152">
        <v>0.12319199740886699</v>
      </c>
      <c r="AI152" t="s">
        <v>27</v>
      </c>
    </row>
    <row r="153" spans="1:35">
      <c r="A153">
        <f t="shared" si="16"/>
        <v>0</v>
      </c>
      <c r="B153">
        <f t="shared" si="17"/>
        <v>0</v>
      </c>
      <c r="C153">
        <f t="shared" si="18"/>
        <v>1</v>
      </c>
      <c r="D153">
        <f t="shared" si="19"/>
        <v>1</v>
      </c>
      <c r="E153">
        <f t="shared" si="20"/>
        <v>0</v>
      </c>
      <c r="F153">
        <f t="shared" si="21"/>
        <v>0</v>
      </c>
      <c r="G153">
        <f t="shared" si="22"/>
        <v>1</v>
      </c>
      <c r="H153">
        <v>0</v>
      </c>
      <c r="I153">
        <f t="shared" si="23"/>
        <v>0</v>
      </c>
      <c r="J153">
        <v>0</v>
      </c>
      <c r="K153" t="s">
        <v>768</v>
      </c>
      <c r="L153" t="s">
        <v>769</v>
      </c>
      <c r="M153" t="s">
        <v>27</v>
      </c>
      <c r="N153" t="s">
        <v>27</v>
      </c>
      <c r="O153">
        <v>2.95</v>
      </c>
      <c r="P153">
        <v>2.89407110214233</v>
      </c>
      <c r="Q153" t="s">
        <v>27</v>
      </c>
      <c r="R153">
        <v>12.3599996566772</v>
      </c>
      <c r="S153">
        <v>7.0500001907348597</v>
      </c>
      <c r="T153">
        <v>31.082912445068398</v>
      </c>
      <c r="U153">
        <v>16.2441921234131</v>
      </c>
      <c r="V153">
        <v>35059000</v>
      </c>
      <c r="W153">
        <v>4.53975582122803</v>
      </c>
      <c r="X153">
        <v>-7.9999998211860698E-2</v>
      </c>
      <c r="Y153">
        <v>3.0588231086731001</v>
      </c>
      <c r="Z153">
        <v>-9.6402883529663104</v>
      </c>
      <c r="AA153">
        <v>47246000</v>
      </c>
      <c r="AB153" t="s">
        <v>27</v>
      </c>
      <c r="AC153" t="s">
        <v>27</v>
      </c>
      <c r="AD153">
        <v>5.0000000745058101E-2</v>
      </c>
      <c r="AE153">
        <v>18.114921569824201</v>
      </c>
      <c r="AF153">
        <v>221.020347067378</v>
      </c>
      <c r="AG153">
        <v>47990000</v>
      </c>
      <c r="AH153">
        <v>32.1003227233887</v>
      </c>
      <c r="AI153">
        <v>-13.8665676116943</v>
      </c>
    </row>
    <row r="154" spans="1:35">
      <c r="A154">
        <f t="shared" si="16"/>
        <v>1</v>
      </c>
      <c r="B154">
        <f t="shared" si="17"/>
        <v>1</v>
      </c>
      <c r="C154">
        <f t="shared" si="18"/>
        <v>0</v>
      </c>
      <c r="D154">
        <f t="shared" si="19"/>
        <v>0</v>
      </c>
      <c r="E154">
        <f t="shared" si="20"/>
        <v>0</v>
      </c>
      <c r="F154">
        <f t="shared" si="21"/>
        <v>0</v>
      </c>
      <c r="G154">
        <f t="shared" si="22"/>
        <v>1</v>
      </c>
      <c r="H154">
        <v>0</v>
      </c>
      <c r="I154">
        <f t="shared" si="23"/>
        <v>0</v>
      </c>
      <c r="J154">
        <v>0</v>
      </c>
      <c r="K154" t="s">
        <v>772</v>
      </c>
      <c r="L154" t="s">
        <v>773</v>
      </c>
      <c r="M154" t="s">
        <v>27</v>
      </c>
      <c r="N154" t="s">
        <v>27</v>
      </c>
      <c r="O154">
        <v>8.36</v>
      </c>
      <c r="P154" t="s">
        <v>27</v>
      </c>
      <c r="Q154" t="s">
        <v>27</v>
      </c>
      <c r="R154">
        <v>11.5</v>
      </c>
      <c r="S154">
        <v>7.875</v>
      </c>
      <c r="T154">
        <v>28.801811218261701</v>
      </c>
      <c r="U154">
        <v>5.2679080963134801</v>
      </c>
      <c r="V154">
        <v>-19037000</v>
      </c>
      <c r="W154">
        <v>-29.184808731079102</v>
      </c>
      <c r="X154">
        <v>0.109999999403954</v>
      </c>
      <c r="Y154" t="s">
        <v>27</v>
      </c>
      <c r="Z154" t="s">
        <v>27</v>
      </c>
      <c r="AA154">
        <v>11659000</v>
      </c>
      <c r="AB154" t="s">
        <v>27</v>
      </c>
      <c r="AC154" t="s">
        <v>27</v>
      </c>
      <c r="AD154">
        <v>2.9999999329447701E-2</v>
      </c>
      <c r="AE154">
        <v>21.651288986206101</v>
      </c>
      <c r="AF154" t="s">
        <v>27</v>
      </c>
      <c r="AG154">
        <v>12018000</v>
      </c>
      <c r="AH154">
        <v>21.5119934082031</v>
      </c>
      <c r="AI154">
        <v>-26.181272506713899</v>
      </c>
    </row>
    <row r="155" spans="1:35">
      <c r="A155">
        <f t="shared" si="16"/>
        <v>1</v>
      </c>
      <c r="B155">
        <f t="shared" si="17"/>
        <v>1</v>
      </c>
      <c r="C155">
        <f t="shared" si="18"/>
        <v>0</v>
      </c>
      <c r="D155">
        <f t="shared" si="19"/>
        <v>0</v>
      </c>
      <c r="E155">
        <f t="shared" si="20"/>
        <v>1</v>
      </c>
      <c r="F155">
        <f t="shared" si="21"/>
        <v>1</v>
      </c>
      <c r="G155">
        <f t="shared" si="22"/>
        <v>0</v>
      </c>
      <c r="H155">
        <v>0</v>
      </c>
      <c r="I155">
        <f t="shared" si="23"/>
        <v>1</v>
      </c>
      <c r="J155">
        <v>0</v>
      </c>
      <c r="K155" t="s">
        <v>778</v>
      </c>
      <c r="L155" t="s">
        <v>779</v>
      </c>
      <c r="M155" t="s">
        <v>27</v>
      </c>
      <c r="N155" t="s">
        <v>27</v>
      </c>
      <c r="O155">
        <v>31.07</v>
      </c>
      <c r="P155" t="s">
        <v>27</v>
      </c>
      <c r="Q155" t="s">
        <v>27</v>
      </c>
      <c r="R155">
        <v>23</v>
      </c>
      <c r="S155" t="s">
        <v>27</v>
      </c>
      <c r="T155" t="s">
        <v>27</v>
      </c>
      <c r="U155" t="s">
        <v>27</v>
      </c>
      <c r="V155">
        <v>-3889000</v>
      </c>
      <c r="W155">
        <v>6.9897003471851293E-2</v>
      </c>
      <c r="X155" t="s">
        <v>27</v>
      </c>
      <c r="Y155" t="s">
        <v>27</v>
      </c>
      <c r="Z155" t="s">
        <v>27</v>
      </c>
      <c r="AA155" t="s">
        <v>27</v>
      </c>
      <c r="AB155" t="s">
        <v>34</v>
      </c>
      <c r="AC155" t="s">
        <v>458</v>
      </c>
      <c r="AD155" t="s">
        <v>27</v>
      </c>
      <c r="AE155" t="s">
        <v>27</v>
      </c>
      <c r="AF155" t="s">
        <v>27</v>
      </c>
      <c r="AG155" t="s">
        <v>27</v>
      </c>
      <c r="AH155">
        <v>34.575607299804702</v>
      </c>
      <c r="AI155">
        <v>0.523823022842407</v>
      </c>
    </row>
    <row r="156" spans="1:35">
      <c r="A156">
        <f t="shared" si="16"/>
        <v>1</v>
      </c>
      <c r="B156">
        <f t="shared" si="17"/>
        <v>0</v>
      </c>
      <c r="C156">
        <f t="shared" si="18"/>
        <v>1</v>
      </c>
      <c r="D156">
        <f t="shared" si="19"/>
        <v>0</v>
      </c>
      <c r="E156">
        <f t="shared" si="20"/>
        <v>0</v>
      </c>
      <c r="F156">
        <f t="shared" si="21"/>
        <v>0</v>
      </c>
      <c r="G156">
        <f t="shared" si="22"/>
        <v>0</v>
      </c>
      <c r="H156">
        <v>0</v>
      </c>
      <c r="I156">
        <f t="shared" si="23"/>
        <v>1</v>
      </c>
      <c r="J156">
        <v>0</v>
      </c>
      <c r="K156" t="s">
        <v>782</v>
      </c>
      <c r="L156" t="s">
        <v>783</v>
      </c>
      <c r="M156" t="s">
        <v>27</v>
      </c>
      <c r="N156" t="s">
        <v>27</v>
      </c>
      <c r="O156">
        <v>15.17</v>
      </c>
      <c r="P156">
        <v>10.160133361816399</v>
      </c>
      <c r="Q156" t="s">
        <v>27</v>
      </c>
      <c r="R156">
        <v>7.125</v>
      </c>
      <c r="S156">
        <v>4</v>
      </c>
      <c r="T156">
        <v>74.497482299804702</v>
      </c>
      <c r="U156">
        <v>73.845443725585895</v>
      </c>
      <c r="V156">
        <v>13515000</v>
      </c>
      <c r="W156">
        <v>4.6839780807495099</v>
      </c>
      <c r="X156">
        <v>0.27500000596046398</v>
      </c>
      <c r="Y156">
        <v>17.887178421020501</v>
      </c>
      <c r="Z156">
        <v>4.7436881065368697</v>
      </c>
      <c r="AA156">
        <v>18510000</v>
      </c>
      <c r="AB156" t="s">
        <v>27</v>
      </c>
      <c r="AC156" t="s">
        <v>27</v>
      </c>
      <c r="AD156">
        <v>0.119999997317791</v>
      </c>
      <c r="AE156">
        <v>71.989471435546903</v>
      </c>
      <c r="AF156">
        <v>9.4820396474928792</v>
      </c>
      <c r="AG156">
        <v>17964000</v>
      </c>
      <c r="AH156">
        <v>67.472496032714801</v>
      </c>
      <c r="AI156">
        <v>-0.37126600742340099</v>
      </c>
    </row>
    <row r="157" spans="1:35">
      <c r="A157">
        <f t="shared" si="16"/>
        <v>0</v>
      </c>
      <c r="B157">
        <f t="shared" si="17"/>
        <v>1</v>
      </c>
      <c r="C157">
        <f t="shared" si="18"/>
        <v>0</v>
      </c>
      <c r="D157">
        <f t="shared" si="19"/>
        <v>0</v>
      </c>
      <c r="E157">
        <f t="shared" si="20"/>
        <v>0</v>
      </c>
      <c r="F157">
        <f t="shared" si="21"/>
        <v>1</v>
      </c>
      <c r="G157">
        <f t="shared" si="22"/>
        <v>0</v>
      </c>
      <c r="H157">
        <v>0</v>
      </c>
      <c r="I157">
        <f t="shared" si="23"/>
        <v>0</v>
      </c>
      <c r="J157">
        <v>0</v>
      </c>
      <c r="K157" t="s">
        <v>794</v>
      </c>
      <c r="L157" t="s">
        <v>795</v>
      </c>
      <c r="M157" t="s">
        <v>27</v>
      </c>
      <c r="N157" t="s">
        <v>27</v>
      </c>
      <c r="O157">
        <v>6.18</v>
      </c>
      <c r="P157" t="s">
        <v>27</v>
      </c>
      <c r="Q157" t="s">
        <v>27</v>
      </c>
      <c r="R157">
        <v>9.0500001907348597</v>
      </c>
      <c r="S157">
        <v>11.2600002288818</v>
      </c>
      <c r="T157">
        <v>42.500057220458999</v>
      </c>
      <c r="U157">
        <v>24.680955886840799</v>
      </c>
      <c r="V157">
        <v>-10758000</v>
      </c>
      <c r="W157">
        <v>-6.8167700767517099</v>
      </c>
      <c r="X157">
        <v>0.18999999761581399</v>
      </c>
      <c r="Y157">
        <v>11.301587104797401</v>
      </c>
      <c r="Z157">
        <v>5.1948051452636701</v>
      </c>
      <c r="AA157">
        <v>113370000</v>
      </c>
      <c r="AB157" t="s">
        <v>27</v>
      </c>
      <c r="AC157" t="s">
        <v>27</v>
      </c>
      <c r="AD157">
        <v>-0.60000002384185802</v>
      </c>
      <c r="AE157">
        <v>23.0742702484131</v>
      </c>
      <c r="AF157">
        <v>6.5680779362818198</v>
      </c>
      <c r="AG157">
        <v>113010000</v>
      </c>
      <c r="AH157">
        <v>43.608932495117202</v>
      </c>
      <c r="AI157">
        <v>2.4610249996185298</v>
      </c>
    </row>
    <row r="158" spans="1:35">
      <c r="A158">
        <f t="shared" si="16"/>
        <v>1</v>
      </c>
      <c r="B158">
        <f t="shared" si="17"/>
        <v>1</v>
      </c>
      <c r="C158">
        <f t="shared" si="18"/>
        <v>1</v>
      </c>
      <c r="D158">
        <f t="shared" si="19"/>
        <v>1</v>
      </c>
      <c r="E158">
        <f t="shared" si="20"/>
        <v>0</v>
      </c>
      <c r="F158">
        <f t="shared" si="21"/>
        <v>1</v>
      </c>
      <c r="G158">
        <f t="shared" si="22"/>
        <v>1</v>
      </c>
      <c r="H158">
        <v>0</v>
      </c>
      <c r="I158">
        <f t="shared" si="23"/>
        <v>1</v>
      </c>
      <c r="J158">
        <v>0</v>
      </c>
      <c r="K158" t="s">
        <v>798</v>
      </c>
      <c r="L158" t="s">
        <v>799</v>
      </c>
      <c r="M158" t="s">
        <v>27</v>
      </c>
      <c r="N158" t="s">
        <v>27</v>
      </c>
      <c r="O158">
        <v>8.1</v>
      </c>
      <c r="P158">
        <v>14.8339376449585</v>
      </c>
      <c r="Q158" t="s">
        <v>27</v>
      </c>
      <c r="R158">
        <v>5.8899998664856001</v>
      </c>
      <c r="S158">
        <v>8.6199998855590803</v>
      </c>
      <c r="T158">
        <v>91.681938171386705</v>
      </c>
      <c r="U158">
        <v>48.842327117919901</v>
      </c>
      <c r="V158">
        <v>22007000</v>
      </c>
      <c r="W158">
        <v>4.0003662109375</v>
      </c>
      <c r="X158">
        <v>0.33000001311302202</v>
      </c>
      <c r="Y158">
        <v>10.7130432128906</v>
      </c>
      <c r="Z158">
        <v>26.725664138793899</v>
      </c>
      <c r="AA158">
        <v>152904992</v>
      </c>
      <c r="AB158" t="s">
        <v>328</v>
      </c>
      <c r="AC158" t="s">
        <v>329</v>
      </c>
      <c r="AD158">
        <v>0.40000000596046398</v>
      </c>
      <c r="AE158">
        <v>57.669174194335902</v>
      </c>
      <c r="AF158">
        <v>6.5397027120696496</v>
      </c>
      <c r="AG158">
        <v>164467008</v>
      </c>
      <c r="AH158">
        <v>60.711383819580099</v>
      </c>
      <c r="AI158">
        <v>39.7711181640625</v>
      </c>
    </row>
    <row r="159" spans="1:35">
      <c r="A159">
        <f t="shared" si="16"/>
        <v>0</v>
      </c>
      <c r="B159">
        <f t="shared" si="17"/>
        <v>1</v>
      </c>
      <c r="C159">
        <f t="shared" si="18"/>
        <v>0</v>
      </c>
      <c r="D159">
        <f t="shared" si="19"/>
        <v>0</v>
      </c>
      <c r="E159">
        <f t="shared" si="20"/>
        <v>0</v>
      </c>
      <c r="F159">
        <f t="shared" si="21"/>
        <v>0</v>
      </c>
      <c r="G159">
        <f t="shared" si="22"/>
        <v>0</v>
      </c>
      <c r="H159">
        <v>0</v>
      </c>
      <c r="I159">
        <f t="shared" si="23"/>
        <v>0</v>
      </c>
      <c r="J159">
        <v>0</v>
      </c>
      <c r="K159" t="s">
        <v>800</v>
      </c>
      <c r="L159" t="s">
        <v>801</v>
      </c>
      <c r="M159" t="s">
        <v>27</v>
      </c>
      <c r="N159" t="s">
        <v>27</v>
      </c>
      <c r="O159">
        <v>0.21199999999999999</v>
      </c>
      <c r="P159" t="s">
        <v>27</v>
      </c>
      <c r="Q159" t="s">
        <v>27</v>
      </c>
      <c r="R159">
        <v>4.5</v>
      </c>
      <c r="S159">
        <v>2.625</v>
      </c>
      <c r="T159">
        <v>23.326005935668899</v>
      </c>
      <c r="U159">
        <v>41.13134765625</v>
      </c>
      <c r="V159">
        <v>-47632000</v>
      </c>
      <c r="W159">
        <v>-44.803504943847699</v>
      </c>
      <c r="X159">
        <v>0.15999999642372101</v>
      </c>
      <c r="Y159">
        <v>-18.943998336791999</v>
      </c>
      <c r="Z159">
        <v>-99.251014709472699</v>
      </c>
      <c r="AA159">
        <v>5617000</v>
      </c>
      <c r="AB159" t="s">
        <v>27</v>
      </c>
      <c r="AC159" t="s">
        <v>27</v>
      </c>
      <c r="AD159">
        <v>-4.0700001716613796</v>
      </c>
      <c r="AE159">
        <v>36.359138488769503</v>
      </c>
      <c r="AF159" t="s">
        <v>27</v>
      </c>
      <c r="AG159">
        <v>8057999.5</v>
      </c>
      <c r="AH159">
        <v>59.604572296142599</v>
      </c>
      <c r="AI159">
        <v>-29.0931072235107</v>
      </c>
    </row>
    <row r="160" spans="1:35">
      <c r="A160">
        <f t="shared" si="16"/>
        <v>1</v>
      </c>
      <c r="B160">
        <f t="shared" si="17"/>
        <v>0</v>
      </c>
      <c r="C160">
        <f t="shared" si="18"/>
        <v>1</v>
      </c>
      <c r="D160">
        <f t="shared" si="19"/>
        <v>1</v>
      </c>
      <c r="E160">
        <f t="shared" si="20"/>
        <v>0</v>
      </c>
      <c r="F160">
        <f t="shared" si="21"/>
        <v>1</v>
      </c>
      <c r="G160">
        <f t="shared" si="22"/>
        <v>1</v>
      </c>
      <c r="H160">
        <v>0</v>
      </c>
      <c r="I160">
        <f t="shared" si="23"/>
        <v>0</v>
      </c>
      <c r="J160">
        <v>0</v>
      </c>
      <c r="K160" t="s">
        <v>802</v>
      </c>
      <c r="L160" t="s">
        <v>803</v>
      </c>
      <c r="M160" t="s">
        <v>27</v>
      </c>
      <c r="N160" t="s">
        <v>27</v>
      </c>
      <c r="O160">
        <v>10.66</v>
      </c>
      <c r="P160">
        <v>29.648805618286101</v>
      </c>
      <c r="Q160" t="s">
        <v>27</v>
      </c>
      <c r="R160">
        <v>32.709999084472699</v>
      </c>
      <c r="S160">
        <v>23.8125</v>
      </c>
      <c r="T160">
        <v>10.085203170776399</v>
      </c>
      <c r="U160">
        <v>43.765861511230497</v>
      </c>
      <c r="V160">
        <v>16205000</v>
      </c>
      <c r="W160">
        <v>24.882152557373001</v>
      </c>
      <c r="X160">
        <v>0.64999997615814198</v>
      </c>
      <c r="Y160">
        <v>6.8950281143188503</v>
      </c>
      <c r="Z160" t="s">
        <v>27</v>
      </c>
      <c r="AA160">
        <v>25890000</v>
      </c>
      <c r="AB160" t="s">
        <v>30</v>
      </c>
      <c r="AC160" t="s">
        <v>68</v>
      </c>
      <c r="AD160">
        <v>0.70999997854232799</v>
      </c>
      <c r="AE160">
        <v>46.336662292480497</v>
      </c>
      <c r="AF160">
        <v>3.61106404948606</v>
      </c>
      <c r="AG160">
        <v>26876000</v>
      </c>
      <c r="AH160">
        <v>2.6840379238128702</v>
      </c>
      <c r="AI160">
        <v>21.2042560577393</v>
      </c>
    </row>
    <row r="161" spans="1:35">
      <c r="A161">
        <f t="shared" si="16"/>
        <v>0</v>
      </c>
      <c r="B161">
        <f t="shared" si="17"/>
        <v>1</v>
      </c>
      <c r="C161">
        <f t="shared" si="18"/>
        <v>0</v>
      </c>
      <c r="D161">
        <f t="shared" si="19"/>
        <v>0</v>
      </c>
      <c r="E161">
        <f t="shared" si="20"/>
        <v>0</v>
      </c>
      <c r="F161">
        <f t="shared" si="21"/>
        <v>1</v>
      </c>
      <c r="G161">
        <f t="shared" si="22"/>
        <v>0</v>
      </c>
      <c r="H161">
        <v>0</v>
      </c>
      <c r="I161">
        <f t="shared" si="23"/>
        <v>0</v>
      </c>
      <c r="J161">
        <v>0</v>
      </c>
      <c r="K161" t="s">
        <v>804</v>
      </c>
      <c r="L161" t="s">
        <v>805</v>
      </c>
      <c r="M161" t="s">
        <v>27</v>
      </c>
      <c r="N161" t="s">
        <v>27</v>
      </c>
      <c r="O161">
        <v>2.6</v>
      </c>
      <c r="P161" t="s">
        <v>27</v>
      </c>
      <c r="Q161" t="s">
        <v>27</v>
      </c>
      <c r="R161">
        <v>6.75</v>
      </c>
      <c r="S161">
        <v>5.5</v>
      </c>
      <c r="T161">
        <v>68.116813659667997</v>
      </c>
      <c r="U161">
        <v>22.830001831054702</v>
      </c>
      <c r="V161">
        <v>-8962000</v>
      </c>
      <c r="W161">
        <v>-2.0793828964233398</v>
      </c>
      <c r="X161">
        <v>-2.9999999329447701E-2</v>
      </c>
      <c r="Y161" t="s">
        <v>27</v>
      </c>
      <c r="Z161">
        <v>-18.260868072509801</v>
      </c>
      <c r="AA161">
        <v>68470000</v>
      </c>
      <c r="AB161" t="s">
        <v>27</v>
      </c>
      <c r="AC161" t="s">
        <v>27</v>
      </c>
      <c r="AD161">
        <v>-0.239999994635582</v>
      </c>
      <c r="AE161">
        <v>2.7122249603271502</v>
      </c>
      <c r="AF161">
        <v>7.4580361355161902</v>
      </c>
      <c r="AG161">
        <v>69323000</v>
      </c>
      <c r="AH161">
        <v>78.277946472167997</v>
      </c>
      <c r="AI161">
        <v>2.9669950008392298</v>
      </c>
    </row>
    <row r="162" spans="1:35">
      <c r="A162">
        <f t="shared" si="16"/>
        <v>0</v>
      </c>
      <c r="B162">
        <f t="shared" si="17"/>
        <v>0</v>
      </c>
      <c r="C162">
        <f t="shared" si="18"/>
        <v>1</v>
      </c>
      <c r="D162">
        <f t="shared" si="19"/>
        <v>0</v>
      </c>
      <c r="E162">
        <f t="shared" si="20"/>
        <v>0</v>
      </c>
      <c r="F162">
        <f t="shared" si="21"/>
        <v>0</v>
      </c>
      <c r="G162">
        <f t="shared" si="22"/>
        <v>0</v>
      </c>
      <c r="H162">
        <v>0</v>
      </c>
      <c r="I162">
        <f t="shared" si="23"/>
        <v>0</v>
      </c>
      <c r="J162">
        <v>0</v>
      </c>
      <c r="K162" t="s">
        <v>810</v>
      </c>
      <c r="L162" t="s">
        <v>811</v>
      </c>
      <c r="M162" t="s">
        <v>27</v>
      </c>
      <c r="N162" t="s">
        <v>27</v>
      </c>
      <c r="O162">
        <v>7.1</v>
      </c>
      <c r="P162" t="s">
        <v>27</v>
      </c>
      <c r="Q162" t="s">
        <v>27</v>
      </c>
      <c r="R162">
        <v>17.610000610351602</v>
      </c>
      <c r="S162">
        <v>5.5</v>
      </c>
      <c r="T162">
        <v>0</v>
      </c>
      <c r="U162">
        <v>62.680988311767599</v>
      </c>
      <c r="V162">
        <v>704000</v>
      </c>
      <c r="W162" t="s">
        <v>27</v>
      </c>
      <c r="X162">
        <v>0.119999997317791</v>
      </c>
      <c r="Y162" t="s">
        <v>27</v>
      </c>
      <c r="Z162" t="s">
        <v>27</v>
      </c>
      <c r="AA162">
        <v>11921251</v>
      </c>
      <c r="AB162" t="s">
        <v>27</v>
      </c>
      <c r="AC162" t="s">
        <v>27</v>
      </c>
      <c r="AD162">
        <v>-0.239999994635582</v>
      </c>
      <c r="AE162">
        <v>55.108104705810497</v>
      </c>
      <c r="AF162" t="s">
        <v>27</v>
      </c>
      <c r="AG162">
        <v>12101000</v>
      </c>
      <c r="AH162">
        <v>0</v>
      </c>
      <c r="AI162">
        <v>-39.213245391845703</v>
      </c>
    </row>
    <row r="163" spans="1:35">
      <c r="A163">
        <f t="shared" si="16"/>
        <v>1</v>
      </c>
      <c r="B163">
        <f t="shared" si="17"/>
        <v>1</v>
      </c>
      <c r="C163">
        <f t="shared" si="18"/>
        <v>0</v>
      </c>
      <c r="D163">
        <f t="shared" si="19"/>
        <v>0</v>
      </c>
      <c r="E163">
        <f t="shared" si="20"/>
        <v>0</v>
      </c>
      <c r="F163">
        <f t="shared" si="21"/>
        <v>1</v>
      </c>
      <c r="G163">
        <f t="shared" si="22"/>
        <v>0</v>
      </c>
      <c r="H163">
        <v>0</v>
      </c>
      <c r="I163">
        <f t="shared" si="23"/>
        <v>0</v>
      </c>
      <c r="J163">
        <v>0</v>
      </c>
      <c r="K163" t="s">
        <v>812</v>
      </c>
      <c r="L163" t="s">
        <v>813</v>
      </c>
      <c r="M163" t="s">
        <v>27</v>
      </c>
      <c r="N163" t="s">
        <v>27</v>
      </c>
      <c r="O163">
        <v>1.65</v>
      </c>
      <c r="P163" t="s">
        <v>27</v>
      </c>
      <c r="Q163" t="s">
        <v>27</v>
      </c>
      <c r="R163">
        <v>7.8499999046325701</v>
      </c>
      <c r="S163">
        <v>3.875</v>
      </c>
      <c r="T163" t="s">
        <v>27</v>
      </c>
      <c r="U163" t="s">
        <v>27</v>
      </c>
      <c r="V163">
        <v>-7463000</v>
      </c>
      <c r="W163">
        <v>-137.69154357910199</v>
      </c>
      <c r="X163" t="s">
        <v>27</v>
      </c>
      <c r="Y163" t="s">
        <v>27</v>
      </c>
      <c r="Z163">
        <v>-29.4117641448975</v>
      </c>
      <c r="AA163" t="s">
        <v>27</v>
      </c>
      <c r="AB163" t="s">
        <v>27</v>
      </c>
      <c r="AC163" t="s">
        <v>27</v>
      </c>
      <c r="AD163">
        <v>-0.20000000298023199</v>
      </c>
      <c r="AE163">
        <v>50.605525970458999</v>
      </c>
      <c r="AF163" t="s">
        <v>27</v>
      </c>
      <c r="AG163">
        <v>53000000</v>
      </c>
      <c r="AH163">
        <v>0.15026199817657501</v>
      </c>
      <c r="AI163" t="s">
        <v>27</v>
      </c>
    </row>
    <row r="164" spans="1:35">
      <c r="A164">
        <f t="shared" si="16"/>
        <v>0</v>
      </c>
      <c r="B164">
        <f t="shared" si="17"/>
        <v>0</v>
      </c>
      <c r="C164">
        <f t="shared" si="18"/>
        <v>0</v>
      </c>
      <c r="D164">
        <f t="shared" si="19"/>
        <v>0</v>
      </c>
      <c r="E164">
        <f t="shared" si="20"/>
        <v>0</v>
      </c>
      <c r="F164">
        <f t="shared" si="21"/>
        <v>0</v>
      </c>
      <c r="G164">
        <f t="shared" si="22"/>
        <v>0</v>
      </c>
      <c r="H164">
        <v>0</v>
      </c>
      <c r="I164">
        <f t="shared" si="23"/>
        <v>0</v>
      </c>
      <c r="J164">
        <v>0</v>
      </c>
      <c r="K164" t="s">
        <v>822</v>
      </c>
      <c r="L164" t="s">
        <v>823</v>
      </c>
      <c r="M164" t="s">
        <v>27</v>
      </c>
      <c r="N164" t="s">
        <v>27</v>
      </c>
      <c r="O164">
        <v>3.99</v>
      </c>
      <c r="P164" t="s">
        <v>27</v>
      </c>
      <c r="Q164" t="s">
        <v>27</v>
      </c>
      <c r="R164">
        <v>7.9899997711181596</v>
      </c>
      <c r="S164">
        <v>28.079999923706101</v>
      </c>
      <c r="T164">
        <v>37.728187561035199</v>
      </c>
      <c r="U164">
        <v>52.597892761230497</v>
      </c>
      <c r="V164">
        <v>-95100008</v>
      </c>
      <c r="W164">
        <v>0.83218497037887595</v>
      </c>
      <c r="X164">
        <v>-0.119999997317791</v>
      </c>
      <c r="Y164">
        <v>-1.2909539937973</v>
      </c>
      <c r="Z164">
        <v>-4.2288560867309597</v>
      </c>
      <c r="AA164">
        <v>216403648</v>
      </c>
      <c r="AB164" t="s">
        <v>171</v>
      </c>
      <c r="AC164" t="s">
        <v>172</v>
      </c>
      <c r="AD164">
        <v>-0.140000000596046</v>
      </c>
      <c r="AE164">
        <v>50.242214202880902</v>
      </c>
      <c r="AF164">
        <v>6.3797649446138998</v>
      </c>
      <c r="AG164">
        <v>217914992</v>
      </c>
      <c r="AH164">
        <v>43.156375885009801</v>
      </c>
      <c r="AI164">
        <v>-5.8091349601745597</v>
      </c>
    </row>
    <row r="165" spans="1:35">
      <c r="A165">
        <f t="shared" si="16"/>
        <v>1</v>
      </c>
      <c r="B165">
        <f t="shared" si="17"/>
        <v>1</v>
      </c>
      <c r="C165">
        <f t="shared" si="18"/>
        <v>1</v>
      </c>
      <c r="D165">
        <f t="shared" si="19"/>
        <v>0</v>
      </c>
      <c r="E165">
        <f t="shared" si="20"/>
        <v>0</v>
      </c>
      <c r="F165">
        <f t="shared" si="21"/>
        <v>1</v>
      </c>
      <c r="G165">
        <f t="shared" si="22"/>
        <v>0</v>
      </c>
      <c r="H165">
        <v>0</v>
      </c>
      <c r="I165">
        <f t="shared" si="23"/>
        <v>0</v>
      </c>
      <c r="J165">
        <v>0</v>
      </c>
      <c r="K165" t="s">
        <v>826</v>
      </c>
      <c r="L165" t="s">
        <v>827</v>
      </c>
      <c r="M165" t="s">
        <v>27</v>
      </c>
      <c r="N165" t="s">
        <v>27</v>
      </c>
      <c r="O165">
        <v>2.29</v>
      </c>
      <c r="P165">
        <v>11.0290584564209</v>
      </c>
      <c r="Q165" t="s">
        <v>27</v>
      </c>
      <c r="R165">
        <v>18.879999160766602</v>
      </c>
      <c r="S165">
        <v>28.25</v>
      </c>
      <c r="T165">
        <v>46.3590698242188</v>
      </c>
      <c r="U165">
        <v>41.693180084228501</v>
      </c>
      <c r="V165">
        <v>15252999</v>
      </c>
      <c r="W165">
        <v>-9.0790786743164098</v>
      </c>
      <c r="X165">
        <v>0.25</v>
      </c>
      <c r="Y165">
        <v>3.0892410278320299</v>
      </c>
      <c r="Z165">
        <v>3.0997300148010298</v>
      </c>
      <c r="AA165">
        <v>67087996</v>
      </c>
      <c r="AB165" t="s">
        <v>38</v>
      </c>
      <c r="AC165" t="s">
        <v>118</v>
      </c>
      <c r="AD165">
        <v>-0.230000004172325</v>
      </c>
      <c r="AE165">
        <v>40.009227752685497</v>
      </c>
      <c r="AF165" t="s">
        <v>27</v>
      </c>
      <c r="AG165">
        <v>74044000</v>
      </c>
      <c r="AH165">
        <v>0</v>
      </c>
      <c r="AI165">
        <v>25.965034484863299</v>
      </c>
    </row>
    <row r="166" spans="1:35">
      <c r="A166">
        <f t="shared" si="16"/>
        <v>1</v>
      </c>
      <c r="B166">
        <f t="shared" si="17"/>
        <v>0</v>
      </c>
      <c r="C166">
        <f t="shared" si="18"/>
        <v>1</v>
      </c>
      <c r="D166">
        <f t="shared" si="19"/>
        <v>0</v>
      </c>
      <c r="E166">
        <f t="shared" si="20"/>
        <v>0</v>
      </c>
      <c r="F166">
        <f t="shared" si="21"/>
        <v>1</v>
      </c>
      <c r="G166">
        <f t="shared" si="22"/>
        <v>0</v>
      </c>
      <c r="H166">
        <v>0</v>
      </c>
      <c r="I166">
        <f t="shared" si="23"/>
        <v>1</v>
      </c>
      <c r="J166">
        <v>0</v>
      </c>
      <c r="K166" t="s">
        <v>828</v>
      </c>
      <c r="L166" t="s">
        <v>829</v>
      </c>
      <c r="M166" t="s">
        <v>27</v>
      </c>
      <c r="N166" t="s">
        <v>27</v>
      </c>
      <c r="O166">
        <v>19.97</v>
      </c>
      <c r="P166" t="s">
        <v>27</v>
      </c>
      <c r="Q166" t="s">
        <v>27</v>
      </c>
      <c r="R166">
        <v>16.899999618530298</v>
      </c>
      <c r="S166" t="s">
        <v>27</v>
      </c>
      <c r="T166" t="s">
        <v>27</v>
      </c>
      <c r="U166" t="s">
        <v>27</v>
      </c>
      <c r="V166">
        <v>4057999.75</v>
      </c>
      <c r="W166" t="s">
        <v>27</v>
      </c>
      <c r="X166" t="s">
        <v>27</v>
      </c>
      <c r="Y166" t="s">
        <v>27</v>
      </c>
      <c r="Z166" t="s">
        <v>27</v>
      </c>
      <c r="AA166" t="s">
        <v>27</v>
      </c>
      <c r="AB166" t="s">
        <v>34</v>
      </c>
      <c r="AC166" t="s">
        <v>458</v>
      </c>
      <c r="AD166">
        <v>0.31999999284744302</v>
      </c>
      <c r="AE166" t="s">
        <v>27</v>
      </c>
      <c r="AF166" t="s">
        <v>27</v>
      </c>
      <c r="AG166">
        <v>8340000</v>
      </c>
      <c r="AH166">
        <v>15.999792098999</v>
      </c>
      <c r="AI166">
        <v>0.85142201185226396</v>
      </c>
    </row>
    <row r="167" spans="1:35">
      <c r="A167">
        <f t="shared" si="16"/>
        <v>1</v>
      </c>
      <c r="B167">
        <f t="shared" si="17"/>
        <v>0</v>
      </c>
      <c r="C167">
        <f t="shared" si="18"/>
        <v>1</v>
      </c>
      <c r="D167">
        <f t="shared" si="19"/>
        <v>0</v>
      </c>
      <c r="E167">
        <f t="shared" si="20"/>
        <v>0</v>
      </c>
      <c r="F167">
        <f t="shared" si="21"/>
        <v>1</v>
      </c>
      <c r="G167">
        <f t="shared" si="22"/>
        <v>0</v>
      </c>
      <c r="H167">
        <v>0</v>
      </c>
      <c r="I167">
        <f t="shared" si="23"/>
        <v>0</v>
      </c>
      <c r="J167">
        <v>0</v>
      </c>
      <c r="K167" t="s">
        <v>832</v>
      </c>
      <c r="L167" t="s">
        <v>833</v>
      </c>
      <c r="M167" t="s">
        <v>27</v>
      </c>
      <c r="N167" t="s">
        <v>27</v>
      </c>
      <c r="O167">
        <v>25</v>
      </c>
      <c r="P167" t="s">
        <v>27</v>
      </c>
      <c r="Q167" t="s">
        <v>27</v>
      </c>
      <c r="R167">
        <v>24.389999389648398</v>
      </c>
      <c r="S167">
        <v>21.375</v>
      </c>
      <c r="T167" t="s">
        <v>27</v>
      </c>
      <c r="U167" t="s">
        <v>27</v>
      </c>
      <c r="V167">
        <v>6316000</v>
      </c>
      <c r="W167" t="s">
        <v>27</v>
      </c>
      <c r="X167" t="s">
        <v>27</v>
      </c>
      <c r="Y167" t="s">
        <v>27</v>
      </c>
      <c r="Z167" t="s">
        <v>27</v>
      </c>
      <c r="AA167" t="s">
        <v>27</v>
      </c>
      <c r="AB167" t="s">
        <v>27</v>
      </c>
      <c r="AC167" t="s">
        <v>27</v>
      </c>
      <c r="AD167">
        <v>0.519999980926514</v>
      </c>
      <c r="AE167" t="s">
        <v>27</v>
      </c>
      <c r="AF167" t="s">
        <v>27</v>
      </c>
      <c r="AG167">
        <v>9576000</v>
      </c>
      <c r="AH167">
        <v>8.5759849548339808</v>
      </c>
      <c r="AI167">
        <v>3.4986588954925502</v>
      </c>
    </row>
    <row r="168" spans="1:35">
      <c r="A168">
        <f t="shared" si="16"/>
        <v>1</v>
      </c>
      <c r="B168">
        <f t="shared" si="17"/>
        <v>0</v>
      </c>
      <c r="C168">
        <f t="shared" si="18"/>
        <v>1</v>
      </c>
      <c r="D168">
        <f t="shared" si="19"/>
        <v>0</v>
      </c>
      <c r="E168">
        <f t="shared" si="20"/>
        <v>1</v>
      </c>
      <c r="F168">
        <f t="shared" si="21"/>
        <v>0</v>
      </c>
      <c r="G168">
        <f t="shared" si="22"/>
        <v>0</v>
      </c>
      <c r="H168">
        <v>0</v>
      </c>
      <c r="I168">
        <f t="shared" si="23"/>
        <v>1</v>
      </c>
      <c r="J168">
        <v>0</v>
      </c>
      <c r="K168" t="s">
        <v>834</v>
      </c>
      <c r="L168" t="s">
        <v>835</v>
      </c>
      <c r="M168" t="s">
        <v>27</v>
      </c>
      <c r="N168" t="s">
        <v>27</v>
      </c>
      <c r="O168">
        <v>27.4009</v>
      </c>
      <c r="P168" t="s">
        <v>27</v>
      </c>
      <c r="Q168" t="s">
        <v>27</v>
      </c>
      <c r="R168">
        <v>14</v>
      </c>
      <c r="S168">
        <v>5.75</v>
      </c>
      <c r="T168">
        <v>15.586861610412599</v>
      </c>
      <c r="U168" t="s">
        <v>27</v>
      </c>
      <c r="V168">
        <v>20315990</v>
      </c>
      <c r="W168">
        <v>0.225988999009132</v>
      </c>
      <c r="X168">
        <v>-5.0000000745058101E-2</v>
      </c>
      <c r="Y168">
        <v>0.13912999629974401</v>
      </c>
      <c r="Z168">
        <v>-14.3999996185303</v>
      </c>
      <c r="AA168">
        <v>16888000</v>
      </c>
      <c r="AB168" t="s">
        <v>34</v>
      </c>
      <c r="AC168" t="s">
        <v>35</v>
      </c>
      <c r="AD168">
        <v>-0.46000000834464999</v>
      </c>
      <c r="AE168" t="s">
        <v>27</v>
      </c>
      <c r="AF168" t="s">
        <v>27</v>
      </c>
      <c r="AG168">
        <v>16888000</v>
      </c>
      <c r="AH168">
        <v>10.992150306701699</v>
      </c>
      <c r="AI168">
        <v>-1.4045779705047601</v>
      </c>
    </row>
    <row r="169" spans="1:35">
      <c r="A169">
        <f t="shared" si="16"/>
        <v>0</v>
      </c>
      <c r="B169">
        <f t="shared" si="17"/>
        <v>0</v>
      </c>
      <c r="C169">
        <f t="shared" si="18"/>
        <v>1</v>
      </c>
      <c r="D169">
        <f t="shared" si="19"/>
        <v>1</v>
      </c>
      <c r="E169">
        <f t="shared" si="20"/>
        <v>0</v>
      </c>
      <c r="F169">
        <f t="shared" si="21"/>
        <v>1</v>
      </c>
      <c r="G169">
        <f t="shared" si="22"/>
        <v>0</v>
      </c>
      <c r="H169">
        <v>0</v>
      </c>
      <c r="I169">
        <f t="shared" si="23"/>
        <v>0</v>
      </c>
      <c r="J169">
        <v>0</v>
      </c>
      <c r="K169" t="s">
        <v>836</v>
      </c>
      <c r="L169" t="s">
        <v>837</v>
      </c>
      <c r="M169" t="s">
        <v>27</v>
      </c>
      <c r="N169" t="s">
        <v>27</v>
      </c>
      <c r="O169">
        <v>3.53</v>
      </c>
      <c r="P169">
        <v>11.037294387817401</v>
      </c>
      <c r="Q169" t="s">
        <v>27</v>
      </c>
      <c r="R169">
        <v>9.8999996185302699</v>
      </c>
      <c r="S169">
        <v>3.0799999237060498</v>
      </c>
      <c r="T169">
        <v>21.198829650878899</v>
      </c>
      <c r="U169">
        <v>27.895196914672901</v>
      </c>
      <c r="V169">
        <v>3272998.75</v>
      </c>
      <c r="W169">
        <v>1.43427705764771</v>
      </c>
      <c r="X169">
        <v>0.15454545651611701</v>
      </c>
      <c r="Y169">
        <v>3.3915710449218799</v>
      </c>
      <c r="Z169" t="s">
        <v>27</v>
      </c>
      <c r="AA169">
        <v>44214610.958251201</v>
      </c>
      <c r="AB169" t="s">
        <v>27</v>
      </c>
      <c r="AC169" t="s">
        <v>27</v>
      </c>
      <c r="AD169">
        <v>0.245454555208033</v>
      </c>
      <c r="AE169">
        <v>27.302568435668899</v>
      </c>
      <c r="AF169" t="s">
        <v>27</v>
      </c>
      <c r="AG169">
        <v>51175300</v>
      </c>
      <c r="AH169">
        <v>22.661689758300799</v>
      </c>
      <c r="AI169">
        <v>0.51965397596359297</v>
      </c>
    </row>
    <row r="170" spans="1:35">
      <c r="A170">
        <f t="shared" si="16"/>
        <v>1</v>
      </c>
      <c r="B170">
        <f t="shared" si="17"/>
        <v>1</v>
      </c>
      <c r="C170">
        <f t="shared" si="18"/>
        <v>1</v>
      </c>
      <c r="D170">
        <f t="shared" si="19"/>
        <v>0</v>
      </c>
      <c r="E170">
        <f t="shared" si="20"/>
        <v>0</v>
      </c>
      <c r="F170">
        <f t="shared" si="21"/>
        <v>1</v>
      </c>
      <c r="G170">
        <f t="shared" si="22"/>
        <v>0</v>
      </c>
      <c r="H170">
        <v>0</v>
      </c>
      <c r="I170">
        <f t="shared" si="23"/>
        <v>1</v>
      </c>
      <c r="J170">
        <v>0</v>
      </c>
      <c r="K170" t="s">
        <v>849</v>
      </c>
      <c r="L170" t="s">
        <v>850</v>
      </c>
      <c r="M170" t="s">
        <v>27</v>
      </c>
      <c r="N170" t="s">
        <v>27</v>
      </c>
      <c r="O170">
        <v>20.49</v>
      </c>
      <c r="P170" t="s">
        <v>27</v>
      </c>
      <c r="Q170" t="s">
        <v>27</v>
      </c>
      <c r="R170">
        <v>17.399999618530298</v>
      </c>
      <c r="S170">
        <v>16.299999237060501</v>
      </c>
      <c r="T170">
        <v>10.202594757080099</v>
      </c>
      <c r="U170">
        <v>11.2299480438232</v>
      </c>
      <c r="V170">
        <v>37500000</v>
      </c>
      <c r="W170">
        <v>0.68415099382400502</v>
      </c>
      <c r="X170">
        <v>0.60000002384185802</v>
      </c>
      <c r="Y170">
        <v>6.3825139999389604</v>
      </c>
      <c r="Z170">
        <v>-17.013889312744102</v>
      </c>
      <c r="AA170">
        <v>10292000</v>
      </c>
      <c r="AB170" t="s">
        <v>52</v>
      </c>
      <c r="AC170" t="s">
        <v>56</v>
      </c>
      <c r="AD170">
        <v>-0.15999999642372101</v>
      </c>
      <c r="AE170">
        <v>-0.82169300317764304</v>
      </c>
      <c r="AF170">
        <v>40.535689951012799</v>
      </c>
      <c r="AG170">
        <v>10144000</v>
      </c>
      <c r="AH170">
        <v>8.8017101287841797</v>
      </c>
      <c r="AI170">
        <v>2.5719358921050999</v>
      </c>
    </row>
    <row r="171" spans="1:35">
      <c r="A171">
        <f t="shared" si="16"/>
        <v>1</v>
      </c>
      <c r="B171">
        <f t="shared" si="17"/>
        <v>0</v>
      </c>
      <c r="C171">
        <f t="shared" si="18"/>
        <v>0</v>
      </c>
      <c r="D171">
        <f t="shared" si="19"/>
        <v>1</v>
      </c>
      <c r="E171">
        <f t="shared" si="20"/>
        <v>0</v>
      </c>
      <c r="F171">
        <f t="shared" si="21"/>
        <v>0</v>
      </c>
      <c r="G171">
        <f t="shared" si="22"/>
        <v>0</v>
      </c>
      <c r="H171">
        <v>0</v>
      </c>
      <c r="I171">
        <f t="shared" si="23"/>
        <v>0</v>
      </c>
      <c r="J171">
        <v>0</v>
      </c>
      <c r="K171" t="s">
        <v>851</v>
      </c>
      <c r="L171" t="s">
        <v>852</v>
      </c>
      <c r="M171" t="s">
        <v>27</v>
      </c>
      <c r="N171" t="s">
        <v>27</v>
      </c>
      <c r="O171">
        <v>10.25</v>
      </c>
      <c r="P171" t="s">
        <v>27</v>
      </c>
      <c r="Q171" t="s">
        <v>27</v>
      </c>
      <c r="R171">
        <v>23.440000534057599</v>
      </c>
      <c r="S171">
        <v>22.5</v>
      </c>
      <c r="T171">
        <v>11.0261373519897</v>
      </c>
      <c r="U171">
        <v>74.469230651855497</v>
      </c>
      <c r="V171">
        <v>-470000</v>
      </c>
      <c r="W171">
        <v>-10.1219682693481</v>
      </c>
      <c r="X171">
        <v>-9.9999997764825804E-3</v>
      </c>
      <c r="Y171">
        <v>-0.55583101511001598</v>
      </c>
      <c r="Z171">
        <v>0.57142901420593295</v>
      </c>
      <c r="AA171">
        <v>13411000</v>
      </c>
      <c r="AB171" t="s">
        <v>27</v>
      </c>
      <c r="AC171" t="s">
        <v>27</v>
      </c>
      <c r="AD171">
        <v>5.0000000745058101E-2</v>
      </c>
      <c r="AE171">
        <v>69.915863037109403</v>
      </c>
      <c r="AF171">
        <v>26.0873369249896</v>
      </c>
      <c r="AG171">
        <v>13491000</v>
      </c>
      <c r="AH171">
        <v>6.9534020423889196</v>
      </c>
      <c r="AI171">
        <v>-15.982083320617701</v>
      </c>
    </row>
    <row r="172" spans="1:35">
      <c r="A172">
        <f t="shared" si="16"/>
        <v>0</v>
      </c>
      <c r="B172">
        <f t="shared" si="17"/>
        <v>0</v>
      </c>
      <c r="C172">
        <f t="shared" si="18"/>
        <v>0</v>
      </c>
      <c r="D172">
        <f t="shared" si="19"/>
        <v>0</v>
      </c>
      <c r="E172">
        <f t="shared" si="20"/>
        <v>0</v>
      </c>
      <c r="F172">
        <f t="shared" si="21"/>
        <v>0</v>
      </c>
      <c r="G172">
        <f t="shared" si="22"/>
        <v>0</v>
      </c>
      <c r="H172">
        <v>0</v>
      </c>
      <c r="I172">
        <f t="shared" si="23"/>
        <v>0</v>
      </c>
      <c r="J172">
        <v>0</v>
      </c>
      <c r="K172" t="s">
        <v>855</v>
      </c>
      <c r="L172" t="s">
        <v>856</v>
      </c>
      <c r="M172" t="s">
        <v>27</v>
      </c>
      <c r="N172" t="s">
        <v>27</v>
      </c>
      <c r="O172">
        <v>2.5299999999999998</v>
      </c>
      <c r="P172">
        <v>2.2574210166931201</v>
      </c>
      <c r="Q172" t="s">
        <v>27</v>
      </c>
      <c r="R172">
        <v>6.0500001907348597</v>
      </c>
      <c r="S172">
        <v>17.9375</v>
      </c>
      <c r="T172">
        <v>14.4699907302856</v>
      </c>
      <c r="U172">
        <v>64.645011901855497</v>
      </c>
      <c r="V172">
        <v>-33771000</v>
      </c>
      <c r="W172">
        <v>63.231681823730497</v>
      </c>
      <c r="X172">
        <v>-0.5</v>
      </c>
      <c r="Y172">
        <v>-1.43681800365448</v>
      </c>
      <c r="Z172">
        <v>-8.6046514511108398</v>
      </c>
      <c r="AA172">
        <v>137140000</v>
      </c>
      <c r="AB172" t="s">
        <v>27</v>
      </c>
      <c r="AC172" t="s">
        <v>27</v>
      </c>
      <c r="AD172">
        <v>-9.9799995422363299</v>
      </c>
      <c r="AE172">
        <v>27.658838272094702</v>
      </c>
      <c r="AF172" t="s">
        <v>27</v>
      </c>
      <c r="AG172">
        <v>137634000</v>
      </c>
      <c r="AH172">
        <v>19.948020935058601</v>
      </c>
      <c r="AI172">
        <v>-23.6510524749756</v>
      </c>
    </row>
    <row r="173" spans="1:35">
      <c r="A173">
        <f t="shared" si="16"/>
        <v>0</v>
      </c>
      <c r="B173">
        <f t="shared" si="17"/>
        <v>1</v>
      </c>
      <c r="C173">
        <f t="shared" si="18"/>
        <v>1</v>
      </c>
      <c r="D173">
        <f t="shared" si="19"/>
        <v>0</v>
      </c>
      <c r="E173">
        <f t="shared" si="20"/>
        <v>1</v>
      </c>
      <c r="F173">
        <f t="shared" si="21"/>
        <v>0</v>
      </c>
      <c r="G173">
        <f t="shared" si="22"/>
        <v>0</v>
      </c>
      <c r="H173">
        <v>0</v>
      </c>
      <c r="I173">
        <f t="shared" si="23"/>
        <v>1</v>
      </c>
      <c r="J173">
        <v>0</v>
      </c>
      <c r="K173" t="s">
        <v>861</v>
      </c>
      <c r="L173" t="s">
        <v>862</v>
      </c>
      <c r="M173" t="s">
        <v>27</v>
      </c>
      <c r="N173" t="s">
        <v>27</v>
      </c>
      <c r="O173">
        <v>12.69</v>
      </c>
      <c r="P173" t="s">
        <v>27</v>
      </c>
      <c r="Q173" t="s">
        <v>27</v>
      </c>
      <c r="R173">
        <v>5.5500001907348597</v>
      </c>
      <c r="S173">
        <v>5.4000000953674299</v>
      </c>
      <c r="T173" t="s">
        <v>27</v>
      </c>
      <c r="U173" t="s">
        <v>27</v>
      </c>
      <c r="V173" t="s">
        <v>27</v>
      </c>
      <c r="W173">
        <v>-9.7433156967163104</v>
      </c>
      <c r="X173" t="s">
        <v>27</v>
      </c>
      <c r="Y173" t="s">
        <v>27</v>
      </c>
      <c r="Z173" t="s">
        <v>27</v>
      </c>
      <c r="AA173" t="s">
        <v>27</v>
      </c>
      <c r="AB173" t="s">
        <v>27</v>
      </c>
      <c r="AC173" t="s">
        <v>27</v>
      </c>
      <c r="AD173" t="s">
        <v>27</v>
      </c>
      <c r="AE173" t="s">
        <v>27</v>
      </c>
      <c r="AF173" t="s">
        <v>27</v>
      </c>
      <c r="AG173" t="s">
        <v>27</v>
      </c>
      <c r="AH173" t="s">
        <v>27</v>
      </c>
      <c r="AI173">
        <v>-4.9558057785034197</v>
      </c>
    </row>
    <row r="174" spans="1:35">
      <c r="A174">
        <f t="shared" si="16"/>
        <v>1</v>
      </c>
      <c r="B174">
        <f t="shared" si="17"/>
        <v>1</v>
      </c>
      <c r="C174">
        <f t="shared" si="18"/>
        <v>1</v>
      </c>
      <c r="D174">
        <f t="shared" si="19"/>
        <v>0</v>
      </c>
      <c r="E174">
        <f t="shared" si="20"/>
        <v>0</v>
      </c>
      <c r="F174">
        <f t="shared" si="21"/>
        <v>1</v>
      </c>
      <c r="G174">
        <f t="shared" si="22"/>
        <v>0</v>
      </c>
      <c r="H174">
        <v>0</v>
      </c>
      <c r="I174">
        <f t="shared" si="23"/>
        <v>1</v>
      </c>
      <c r="J174">
        <v>0</v>
      </c>
      <c r="K174" t="s">
        <v>865</v>
      </c>
      <c r="L174" t="s">
        <v>866</v>
      </c>
      <c r="M174" t="s">
        <v>27</v>
      </c>
      <c r="N174" t="s">
        <v>27</v>
      </c>
      <c r="O174">
        <v>68.19</v>
      </c>
      <c r="P174" t="s">
        <v>27</v>
      </c>
      <c r="Q174" t="s">
        <v>27</v>
      </c>
      <c r="R174">
        <v>42</v>
      </c>
      <c r="S174">
        <v>40.8125</v>
      </c>
      <c r="T174">
        <v>66.170761108398395</v>
      </c>
      <c r="U174" t="s">
        <v>27</v>
      </c>
      <c r="V174">
        <v>16488999</v>
      </c>
      <c r="W174">
        <v>0.335225999355316</v>
      </c>
      <c r="X174" t="s">
        <v>27</v>
      </c>
      <c r="Y174" t="s">
        <v>27</v>
      </c>
      <c r="Z174">
        <v>2.01324510574341</v>
      </c>
      <c r="AA174">
        <v>8734000</v>
      </c>
      <c r="AB174" t="s">
        <v>194</v>
      </c>
      <c r="AC174" t="s">
        <v>555</v>
      </c>
      <c r="AD174">
        <v>0.89999997615814198</v>
      </c>
      <c r="AE174">
        <v>44.839519500732401</v>
      </c>
      <c r="AF174">
        <v>8.6368876496333407</v>
      </c>
      <c r="AG174">
        <v>8754000</v>
      </c>
      <c r="AH174">
        <v>63.418182373046903</v>
      </c>
      <c r="AI174">
        <v>0.57996100187301602</v>
      </c>
    </row>
    <row r="175" spans="1:35">
      <c r="A175">
        <f t="shared" si="16"/>
        <v>0</v>
      </c>
      <c r="B175">
        <f t="shared" si="17"/>
        <v>1</v>
      </c>
      <c r="C175">
        <f t="shared" si="18"/>
        <v>0</v>
      </c>
      <c r="D175">
        <f t="shared" si="19"/>
        <v>0</v>
      </c>
      <c r="E175">
        <f t="shared" si="20"/>
        <v>0</v>
      </c>
      <c r="F175">
        <f t="shared" si="21"/>
        <v>1</v>
      </c>
      <c r="G175">
        <f t="shared" si="22"/>
        <v>0</v>
      </c>
      <c r="H175">
        <v>0</v>
      </c>
      <c r="I175">
        <f t="shared" si="23"/>
        <v>0</v>
      </c>
      <c r="J175">
        <v>0</v>
      </c>
      <c r="K175" t="s">
        <v>873</v>
      </c>
      <c r="L175" t="s">
        <v>874</v>
      </c>
      <c r="M175" t="s">
        <v>27</v>
      </c>
      <c r="N175" t="s">
        <v>27</v>
      </c>
      <c r="O175">
        <v>13.94</v>
      </c>
      <c r="P175">
        <v>22.756952285766602</v>
      </c>
      <c r="Q175" t="s">
        <v>27</v>
      </c>
      <c r="R175">
        <v>20.200000762939499</v>
      </c>
      <c r="S175">
        <v>18.875</v>
      </c>
      <c r="T175">
        <v>0</v>
      </c>
      <c r="U175">
        <v>39.747669219970703</v>
      </c>
      <c r="V175">
        <v>-52999.97265625</v>
      </c>
      <c r="W175">
        <v>13.5396537780762</v>
      </c>
      <c r="X175">
        <v>0.44999998807907099</v>
      </c>
      <c r="Y175">
        <v>13.7795915603638</v>
      </c>
      <c r="Z175">
        <v>0.33422499895095797</v>
      </c>
      <c r="AA175">
        <v>20253000</v>
      </c>
      <c r="AB175" t="s">
        <v>38</v>
      </c>
      <c r="AC175" t="s">
        <v>118</v>
      </c>
      <c r="AD175">
        <v>-7.0000000298023196E-2</v>
      </c>
      <c r="AE175">
        <v>15.898549079895</v>
      </c>
      <c r="AF175" t="s">
        <v>27</v>
      </c>
      <c r="AG175">
        <v>20482000</v>
      </c>
      <c r="AH175">
        <v>0</v>
      </c>
      <c r="AI175">
        <v>14.9212341308594</v>
      </c>
    </row>
    <row r="176" spans="1:35">
      <c r="A176">
        <f t="shared" si="16"/>
        <v>1</v>
      </c>
      <c r="B176">
        <f t="shared" si="17"/>
        <v>1</v>
      </c>
      <c r="C176">
        <f t="shared" si="18"/>
        <v>1</v>
      </c>
      <c r="D176">
        <f t="shared" si="19"/>
        <v>0</v>
      </c>
      <c r="E176">
        <f t="shared" si="20"/>
        <v>0</v>
      </c>
      <c r="F176">
        <f t="shared" si="21"/>
        <v>1</v>
      </c>
      <c r="G176">
        <f t="shared" si="22"/>
        <v>0</v>
      </c>
      <c r="H176">
        <v>0</v>
      </c>
      <c r="I176">
        <f t="shared" si="23"/>
        <v>0</v>
      </c>
      <c r="J176">
        <v>0</v>
      </c>
      <c r="K176" t="s">
        <v>879</v>
      </c>
      <c r="L176" t="s">
        <v>880</v>
      </c>
      <c r="M176" t="s">
        <v>27</v>
      </c>
      <c r="N176" t="s">
        <v>27</v>
      </c>
      <c r="O176">
        <v>3.97</v>
      </c>
      <c r="P176" t="s">
        <v>27</v>
      </c>
      <c r="Q176" t="s">
        <v>27</v>
      </c>
      <c r="R176">
        <v>25.499999523162799</v>
      </c>
      <c r="S176">
        <v>12.775000333786</v>
      </c>
      <c r="T176">
        <v>67.607276916503906</v>
      </c>
      <c r="U176">
        <v>12.5756216049194</v>
      </c>
      <c r="V176">
        <v>37800000</v>
      </c>
      <c r="W176">
        <v>-0.74804997444152799</v>
      </c>
      <c r="X176">
        <v>-0.199999995529652</v>
      </c>
      <c r="Y176">
        <v>7.7226672172546396</v>
      </c>
      <c r="Z176">
        <v>-3.6747970581054701</v>
      </c>
      <c r="AA176">
        <v>24758000</v>
      </c>
      <c r="AB176" t="s">
        <v>27</v>
      </c>
      <c r="AC176" t="s">
        <v>27</v>
      </c>
      <c r="AD176">
        <v>-0.28999999165535001</v>
      </c>
      <c r="AE176">
        <v>12.383826255798301</v>
      </c>
      <c r="AF176">
        <v>6.5297229272599804</v>
      </c>
      <c r="AG176">
        <v>47152000</v>
      </c>
      <c r="AH176">
        <v>53.389919281005902</v>
      </c>
      <c r="AI176">
        <v>0.339496999979019</v>
      </c>
    </row>
    <row r="177" spans="1:35">
      <c r="A177">
        <f t="shared" si="16"/>
        <v>1</v>
      </c>
      <c r="B177">
        <f t="shared" si="17"/>
        <v>0</v>
      </c>
      <c r="C177">
        <f t="shared" si="18"/>
        <v>1</v>
      </c>
      <c r="D177">
        <f t="shared" si="19"/>
        <v>1</v>
      </c>
      <c r="E177">
        <f t="shared" si="20"/>
        <v>0</v>
      </c>
      <c r="F177">
        <f t="shared" si="21"/>
        <v>0</v>
      </c>
      <c r="G177">
        <f t="shared" si="22"/>
        <v>1</v>
      </c>
      <c r="H177">
        <v>0</v>
      </c>
      <c r="I177">
        <f t="shared" si="23"/>
        <v>0</v>
      </c>
      <c r="J177">
        <v>0</v>
      </c>
      <c r="K177" t="s">
        <v>889</v>
      </c>
      <c r="L177" t="s">
        <v>890</v>
      </c>
      <c r="M177" t="s">
        <v>27</v>
      </c>
      <c r="N177" t="s">
        <v>27</v>
      </c>
      <c r="O177">
        <v>3.09</v>
      </c>
      <c r="P177">
        <v>4.3237791061401403</v>
      </c>
      <c r="Q177" t="s">
        <v>27</v>
      </c>
      <c r="R177">
        <v>4.1199998855590803</v>
      </c>
      <c r="S177">
        <v>2.4700000286102299</v>
      </c>
      <c r="T177">
        <v>30.466377258300799</v>
      </c>
      <c r="U177">
        <v>16.768175125122099</v>
      </c>
      <c r="V177">
        <v>8278000</v>
      </c>
      <c r="W177">
        <v>4.9102492332458496</v>
      </c>
      <c r="X177">
        <v>-0.10000000149011599</v>
      </c>
      <c r="Y177">
        <v>7.9036140441894496</v>
      </c>
      <c r="Z177">
        <v>8.2781457901000994</v>
      </c>
      <c r="AA177">
        <v>37331000</v>
      </c>
      <c r="AB177" t="s">
        <v>61</v>
      </c>
      <c r="AC177" t="s">
        <v>131</v>
      </c>
      <c r="AD177">
        <v>0.15000000596046401</v>
      </c>
      <c r="AE177">
        <v>19.0729274749756</v>
      </c>
      <c r="AF177">
        <v>3.2236910483786301</v>
      </c>
      <c r="AG177">
        <v>37510000</v>
      </c>
      <c r="AH177">
        <v>25.444307327270501</v>
      </c>
      <c r="AI177">
        <v>-1.81123495101929</v>
      </c>
    </row>
    <row r="178" spans="1:35">
      <c r="A178">
        <f t="shared" si="16"/>
        <v>1</v>
      </c>
      <c r="B178">
        <f t="shared" si="17"/>
        <v>0</v>
      </c>
      <c r="C178">
        <f t="shared" si="18"/>
        <v>1</v>
      </c>
      <c r="D178">
        <f t="shared" si="19"/>
        <v>1</v>
      </c>
      <c r="E178">
        <f t="shared" si="20"/>
        <v>0</v>
      </c>
      <c r="F178">
        <f t="shared" si="21"/>
        <v>0</v>
      </c>
      <c r="G178">
        <f t="shared" si="22"/>
        <v>1</v>
      </c>
      <c r="H178">
        <v>0</v>
      </c>
      <c r="I178">
        <f t="shared" si="23"/>
        <v>0</v>
      </c>
      <c r="J178">
        <v>0</v>
      </c>
      <c r="K178" t="s">
        <v>895</v>
      </c>
      <c r="L178" t="s">
        <v>896</v>
      </c>
      <c r="M178" t="s">
        <v>27</v>
      </c>
      <c r="N178" t="s">
        <v>27</v>
      </c>
      <c r="O178">
        <v>35.75</v>
      </c>
      <c r="P178">
        <v>4.4155411720275897</v>
      </c>
      <c r="Q178" t="s">
        <v>27</v>
      </c>
      <c r="R178">
        <v>39.889999389648402</v>
      </c>
      <c r="S178">
        <v>36.9375</v>
      </c>
      <c r="T178">
        <v>47.8830757141113</v>
      </c>
      <c r="U178">
        <v>31.149877548217798</v>
      </c>
      <c r="V178">
        <v>12473000</v>
      </c>
      <c r="W178">
        <v>4.5553970336914098</v>
      </c>
      <c r="X178">
        <v>2.9999999329447701E-2</v>
      </c>
      <c r="Y178">
        <v>1.7355929613113401</v>
      </c>
      <c r="Z178">
        <v>2.6938779354095499</v>
      </c>
      <c r="AA178">
        <v>22710000</v>
      </c>
      <c r="AB178" t="s">
        <v>27</v>
      </c>
      <c r="AC178" t="s">
        <v>27</v>
      </c>
      <c r="AD178">
        <v>0.769999980926514</v>
      </c>
      <c r="AE178">
        <v>47.940910339355497</v>
      </c>
      <c r="AF178">
        <v>6.3684026441996098</v>
      </c>
      <c r="AG178">
        <v>23415000</v>
      </c>
      <c r="AH178">
        <v>45.076892852783203</v>
      </c>
      <c r="AI178">
        <v>-9.9499359130859393</v>
      </c>
    </row>
    <row r="179" spans="1:35">
      <c r="A179">
        <f t="shared" si="16"/>
        <v>1</v>
      </c>
      <c r="B179">
        <f t="shared" si="17"/>
        <v>0</v>
      </c>
      <c r="C179">
        <f t="shared" si="18"/>
        <v>0</v>
      </c>
      <c r="D179">
        <f t="shared" si="19"/>
        <v>0</v>
      </c>
      <c r="E179">
        <f t="shared" si="20"/>
        <v>0</v>
      </c>
      <c r="F179">
        <f t="shared" si="21"/>
        <v>1</v>
      </c>
      <c r="G179">
        <f t="shared" si="22"/>
        <v>0</v>
      </c>
      <c r="H179">
        <v>0</v>
      </c>
      <c r="I179">
        <f t="shared" si="23"/>
        <v>1</v>
      </c>
      <c r="J179">
        <v>0</v>
      </c>
      <c r="K179" t="s">
        <v>909</v>
      </c>
      <c r="L179" t="s">
        <v>910</v>
      </c>
      <c r="M179" t="s">
        <v>27</v>
      </c>
      <c r="N179" t="s">
        <v>27</v>
      </c>
      <c r="O179">
        <v>3.76</v>
      </c>
      <c r="P179" t="s">
        <v>27</v>
      </c>
      <c r="Q179" t="s">
        <v>27</v>
      </c>
      <c r="R179">
        <v>3.3499999046325701</v>
      </c>
      <c r="S179">
        <v>4.375</v>
      </c>
      <c r="T179" t="s">
        <v>27</v>
      </c>
      <c r="U179" t="s">
        <v>27</v>
      </c>
      <c r="V179">
        <v>-1049000</v>
      </c>
      <c r="W179" t="s">
        <v>27</v>
      </c>
      <c r="X179" t="s">
        <v>27</v>
      </c>
      <c r="Y179" t="s">
        <v>27</v>
      </c>
      <c r="Z179">
        <v>-7.6923079490661603</v>
      </c>
      <c r="AA179" t="s">
        <v>27</v>
      </c>
      <c r="AB179" t="s">
        <v>27</v>
      </c>
      <c r="AC179" t="s">
        <v>27</v>
      </c>
      <c r="AD179">
        <v>-0.15000000596046401</v>
      </c>
      <c r="AE179">
        <v>28.1705112457275</v>
      </c>
      <c r="AF179" t="s">
        <v>27</v>
      </c>
      <c r="AG179">
        <v>31859000</v>
      </c>
      <c r="AH179">
        <v>5.4252839088439897</v>
      </c>
      <c r="AI179" t="s">
        <v>27</v>
      </c>
    </row>
    <row r="180" spans="1:35">
      <c r="A180">
        <f t="shared" si="16"/>
        <v>1</v>
      </c>
      <c r="B180">
        <f t="shared" si="17"/>
        <v>0</v>
      </c>
      <c r="C180">
        <f t="shared" si="18"/>
        <v>1</v>
      </c>
      <c r="D180">
        <f t="shared" si="19"/>
        <v>0</v>
      </c>
      <c r="E180">
        <f t="shared" si="20"/>
        <v>0</v>
      </c>
      <c r="F180">
        <f t="shared" si="21"/>
        <v>1</v>
      </c>
      <c r="G180">
        <f t="shared" si="22"/>
        <v>0</v>
      </c>
      <c r="H180">
        <v>0</v>
      </c>
      <c r="I180">
        <f t="shared" si="23"/>
        <v>0</v>
      </c>
      <c r="J180">
        <v>0</v>
      </c>
      <c r="K180" t="s">
        <v>911</v>
      </c>
      <c r="L180" t="s">
        <v>912</v>
      </c>
      <c r="M180" t="s">
        <v>27</v>
      </c>
      <c r="N180" t="s">
        <v>27</v>
      </c>
      <c r="O180">
        <v>7.49</v>
      </c>
      <c r="P180" t="s">
        <v>27</v>
      </c>
      <c r="Q180" t="s">
        <v>27</v>
      </c>
      <c r="R180">
        <v>21.409999847412099</v>
      </c>
      <c r="S180">
        <v>28.1875</v>
      </c>
      <c r="T180">
        <v>1.3623139858245801</v>
      </c>
      <c r="U180">
        <v>52.396209716796903</v>
      </c>
      <c r="V180">
        <v>397000</v>
      </c>
      <c r="W180">
        <v>24.010971069335898</v>
      </c>
      <c r="X180">
        <v>0.15000000596046401</v>
      </c>
      <c r="Y180" t="s">
        <v>27</v>
      </c>
      <c r="Z180">
        <v>0.273972988128662</v>
      </c>
      <c r="AA180">
        <v>29014000</v>
      </c>
      <c r="AB180" t="s">
        <v>27</v>
      </c>
      <c r="AC180" t="s">
        <v>27</v>
      </c>
      <c r="AD180">
        <v>7.9999998211860698E-2</v>
      </c>
      <c r="AE180">
        <v>39.787220001220703</v>
      </c>
      <c r="AF180">
        <v>29.071887107334501</v>
      </c>
      <c r="AG180">
        <v>29922000</v>
      </c>
      <c r="AH180">
        <v>0.84071701765060403</v>
      </c>
      <c r="AI180">
        <v>3.3141660690307599</v>
      </c>
    </row>
    <row r="181" spans="1:35">
      <c r="A181">
        <f t="shared" si="16"/>
        <v>0</v>
      </c>
      <c r="B181">
        <f t="shared" si="17"/>
        <v>0</v>
      </c>
      <c r="C181">
        <f t="shared" si="18"/>
        <v>0</v>
      </c>
      <c r="D181">
        <f t="shared" si="19"/>
        <v>0</v>
      </c>
      <c r="E181">
        <f t="shared" si="20"/>
        <v>0</v>
      </c>
      <c r="F181">
        <f t="shared" si="21"/>
        <v>0</v>
      </c>
      <c r="G181">
        <f t="shared" si="22"/>
        <v>0</v>
      </c>
      <c r="H181">
        <v>0</v>
      </c>
      <c r="I181">
        <f t="shared" si="23"/>
        <v>0</v>
      </c>
      <c r="J181">
        <v>0</v>
      </c>
      <c r="K181" t="s">
        <v>917</v>
      </c>
      <c r="L181" t="s">
        <v>918</v>
      </c>
      <c r="M181" t="s">
        <v>27</v>
      </c>
      <c r="N181" t="s">
        <v>27</v>
      </c>
      <c r="O181">
        <v>8.5</v>
      </c>
      <c r="P181" t="s">
        <v>27</v>
      </c>
      <c r="Q181" t="s">
        <v>27</v>
      </c>
      <c r="R181">
        <v>20.2299995422363</v>
      </c>
      <c r="S181">
        <v>14.0625</v>
      </c>
      <c r="T181">
        <v>0</v>
      </c>
      <c r="U181" t="s">
        <v>27</v>
      </c>
      <c r="V181">
        <v>-5213000</v>
      </c>
      <c r="W181">
        <v>-47.190792083740199</v>
      </c>
      <c r="X181">
        <v>-0.33000001311302202</v>
      </c>
      <c r="Y181">
        <v>-12.1643838882446</v>
      </c>
      <c r="Z181">
        <v>-8.9655170440673793</v>
      </c>
      <c r="AA181">
        <v>11669000</v>
      </c>
      <c r="AB181" t="s">
        <v>27</v>
      </c>
      <c r="AC181" t="s">
        <v>27</v>
      </c>
      <c r="AD181">
        <v>-0.33000001311302202</v>
      </c>
      <c r="AE181">
        <v>-336.58535766601602</v>
      </c>
      <c r="AF181" t="s">
        <v>27</v>
      </c>
      <c r="AG181">
        <v>13878574</v>
      </c>
      <c r="AH181">
        <v>0</v>
      </c>
      <c r="AI181">
        <v>-111.13845062255901</v>
      </c>
    </row>
    <row r="182" spans="1:35">
      <c r="A182">
        <f t="shared" si="16"/>
        <v>1</v>
      </c>
      <c r="B182">
        <f t="shared" si="17"/>
        <v>0</v>
      </c>
      <c r="C182">
        <f t="shared" si="18"/>
        <v>1</v>
      </c>
      <c r="D182">
        <f t="shared" si="19"/>
        <v>0</v>
      </c>
      <c r="E182">
        <f t="shared" si="20"/>
        <v>0</v>
      </c>
      <c r="F182">
        <f t="shared" si="21"/>
        <v>0</v>
      </c>
      <c r="G182">
        <f t="shared" si="22"/>
        <v>0</v>
      </c>
      <c r="H182">
        <v>0</v>
      </c>
      <c r="I182">
        <f t="shared" si="23"/>
        <v>0</v>
      </c>
      <c r="J182">
        <v>0</v>
      </c>
      <c r="K182" t="s">
        <v>919</v>
      </c>
      <c r="L182" t="s">
        <v>920</v>
      </c>
      <c r="M182" t="s">
        <v>27</v>
      </c>
      <c r="N182" t="s">
        <v>27</v>
      </c>
      <c r="O182">
        <v>5.6020000000000003</v>
      </c>
      <c r="P182" t="s">
        <v>27</v>
      </c>
      <c r="Q182" t="s">
        <v>27</v>
      </c>
      <c r="R182">
        <v>7.0799999237060502</v>
      </c>
      <c r="S182">
        <v>13.1875</v>
      </c>
      <c r="T182">
        <v>7.7265729904174796</v>
      </c>
      <c r="U182">
        <v>23.322454452514599</v>
      </c>
      <c r="V182">
        <v>1688000.125</v>
      </c>
      <c r="W182">
        <v>16.9945068359375</v>
      </c>
      <c r="X182">
        <v>0.28000000119209301</v>
      </c>
      <c r="Y182">
        <v>2.92682909965515</v>
      </c>
      <c r="Z182">
        <v>-2.0547940731048602</v>
      </c>
      <c r="AA182">
        <v>26283000</v>
      </c>
      <c r="AB182" t="s">
        <v>27</v>
      </c>
      <c r="AC182" t="s">
        <v>27</v>
      </c>
      <c r="AD182">
        <v>-5.0000000745058101E-2</v>
      </c>
      <c r="AE182">
        <v>17.468910217285199</v>
      </c>
      <c r="AF182">
        <v>71.194980071571194</v>
      </c>
      <c r="AG182">
        <v>27414000</v>
      </c>
      <c r="AH182">
        <v>7.3008151054382298</v>
      </c>
      <c r="AI182">
        <v>-6.7708082199096697</v>
      </c>
    </row>
    <row r="183" spans="1:35">
      <c r="A183">
        <f t="shared" si="16"/>
        <v>0</v>
      </c>
      <c r="B183">
        <f t="shared" si="17"/>
        <v>0</v>
      </c>
      <c r="C183">
        <f t="shared" si="18"/>
        <v>1</v>
      </c>
      <c r="D183">
        <f t="shared" si="19"/>
        <v>0</v>
      </c>
      <c r="E183">
        <f t="shared" si="20"/>
        <v>0</v>
      </c>
      <c r="F183">
        <f t="shared" si="21"/>
        <v>1</v>
      </c>
      <c r="G183">
        <f t="shared" si="22"/>
        <v>0</v>
      </c>
      <c r="H183">
        <v>0</v>
      </c>
      <c r="I183">
        <f t="shared" si="23"/>
        <v>0</v>
      </c>
      <c r="J183">
        <v>0</v>
      </c>
      <c r="K183" t="s">
        <v>921</v>
      </c>
      <c r="L183" t="s">
        <v>922</v>
      </c>
      <c r="M183" t="s">
        <v>27</v>
      </c>
      <c r="N183" t="s">
        <v>27</v>
      </c>
      <c r="O183">
        <v>9.2799999999999994</v>
      </c>
      <c r="P183">
        <v>11.770362854003899</v>
      </c>
      <c r="Q183" t="s">
        <v>27</v>
      </c>
      <c r="R183">
        <v>22.899999618530298</v>
      </c>
      <c r="S183">
        <v>14.5625</v>
      </c>
      <c r="T183">
        <v>0</v>
      </c>
      <c r="U183">
        <v>83.402450561523395</v>
      </c>
      <c r="V183">
        <v>2530000</v>
      </c>
      <c r="W183">
        <v>8.2760086059570295</v>
      </c>
      <c r="X183">
        <v>5.9999998658895499E-2</v>
      </c>
      <c r="Y183">
        <v>1.96226394176483</v>
      </c>
      <c r="Z183">
        <v>-3.9325840473175</v>
      </c>
      <c r="AA183">
        <v>16371000</v>
      </c>
      <c r="AB183" t="s">
        <v>27</v>
      </c>
      <c r="AC183" t="s">
        <v>27</v>
      </c>
      <c r="AD183">
        <v>-0.140000000596046</v>
      </c>
      <c r="AE183">
        <v>81.213371276855497</v>
      </c>
      <c r="AF183">
        <v>15.708939017809</v>
      </c>
      <c r="AG183">
        <v>16704000</v>
      </c>
      <c r="AH183">
        <v>0</v>
      </c>
      <c r="AI183">
        <v>1.1725380420684799</v>
      </c>
    </row>
    <row r="184" spans="1:35">
      <c r="A184">
        <f t="shared" ref="A184:A246" si="24">IF(AH184&lt;T184,1,0)</f>
        <v>0</v>
      </c>
      <c r="B184">
        <f t="shared" ref="B184:B246" si="25">IF(AI184&gt;W184,1,0)</f>
        <v>1</v>
      </c>
      <c r="C184">
        <f t="shared" ref="C184:C246" si="26">IF(V184&gt;0,1,0)</f>
        <v>1</v>
      </c>
      <c r="D184">
        <f t="shared" ref="D184:D246" si="27">IF(AD184&gt;X184,1,0)</f>
        <v>1</v>
      </c>
      <c r="E184">
        <f t="shared" ref="E184:E246" si="28">IF(AA184=AG184,1,0)</f>
        <v>0</v>
      </c>
      <c r="F184">
        <f t="shared" ref="F184:F246" si="29">IF(AI184&gt;0,1,0)</f>
        <v>0</v>
      </c>
      <c r="G184">
        <f t="shared" ref="G184:G246" si="30">IF(AE184&gt;U184,1,0)</f>
        <v>0</v>
      </c>
      <c r="H184">
        <v>0</v>
      </c>
      <c r="I184">
        <f t="shared" ref="I184:I246" si="31">IF(((O184-R184)/R184)&gt;0.075,1,0)</f>
        <v>0</v>
      </c>
      <c r="J184">
        <v>0</v>
      </c>
      <c r="K184" t="s">
        <v>923</v>
      </c>
      <c r="L184" t="s">
        <v>924</v>
      </c>
      <c r="M184" t="s">
        <v>27</v>
      </c>
      <c r="N184" t="s">
        <v>27</v>
      </c>
      <c r="O184">
        <v>3.3</v>
      </c>
      <c r="P184" t="s">
        <v>27</v>
      </c>
      <c r="Q184" t="s">
        <v>27</v>
      </c>
      <c r="R184">
        <v>14.1599998474121</v>
      </c>
      <c r="S184">
        <v>6.8125</v>
      </c>
      <c r="T184">
        <v>0</v>
      </c>
      <c r="U184">
        <v>46.360485076904297</v>
      </c>
      <c r="V184">
        <v>3053000</v>
      </c>
      <c r="W184">
        <v>-28.419731140136701</v>
      </c>
      <c r="X184">
        <v>-2.9999999329447701E-2</v>
      </c>
      <c r="Y184" t="s">
        <v>27</v>
      </c>
      <c r="Z184" t="s">
        <v>27</v>
      </c>
      <c r="AA184">
        <v>53910000</v>
      </c>
      <c r="AB184" t="s">
        <v>38</v>
      </c>
      <c r="AC184" t="s">
        <v>39</v>
      </c>
      <c r="AD184">
        <v>-9.9999997764825804E-3</v>
      </c>
      <c r="AE184">
        <v>43.010807037353501</v>
      </c>
      <c r="AF184" t="s">
        <v>27</v>
      </c>
      <c r="AG184">
        <v>55061000</v>
      </c>
      <c r="AH184">
        <v>0</v>
      </c>
      <c r="AI184">
        <v>-1.8110500574111901</v>
      </c>
    </row>
    <row r="185" spans="1:35">
      <c r="A185">
        <f t="shared" si="24"/>
        <v>0</v>
      </c>
      <c r="B185">
        <f t="shared" si="25"/>
        <v>0</v>
      </c>
      <c r="C185">
        <f t="shared" si="26"/>
        <v>1</v>
      </c>
      <c r="D185">
        <f t="shared" si="27"/>
        <v>0</v>
      </c>
      <c r="E185">
        <f t="shared" si="28"/>
        <v>0</v>
      </c>
      <c r="F185">
        <f t="shared" si="29"/>
        <v>0</v>
      </c>
      <c r="G185">
        <f t="shared" si="30"/>
        <v>1</v>
      </c>
      <c r="H185">
        <v>0</v>
      </c>
      <c r="I185">
        <f t="shared" si="31"/>
        <v>0</v>
      </c>
      <c r="J185">
        <v>0</v>
      </c>
      <c r="K185" t="s">
        <v>935</v>
      </c>
      <c r="L185" t="s">
        <v>936</v>
      </c>
      <c r="M185" t="s">
        <v>27</v>
      </c>
      <c r="N185" t="s">
        <v>27</v>
      </c>
      <c r="O185">
        <v>2.75</v>
      </c>
      <c r="P185" t="s">
        <v>27</v>
      </c>
      <c r="Q185" t="s">
        <v>27</v>
      </c>
      <c r="R185">
        <v>2.7198750972747798</v>
      </c>
      <c r="S185">
        <v>5.5</v>
      </c>
      <c r="T185">
        <v>0</v>
      </c>
      <c r="U185">
        <v>53.0247993469238</v>
      </c>
      <c r="V185">
        <v>343000.03125</v>
      </c>
      <c r="W185">
        <v>-12.9814910888672</v>
      </c>
      <c r="X185">
        <v>0</v>
      </c>
      <c r="Y185" t="s">
        <v>27</v>
      </c>
      <c r="Z185">
        <v>1.45631098747253</v>
      </c>
      <c r="AA185">
        <v>28046000</v>
      </c>
      <c r="AB185" t="s">
        <v>38</v>
      </c>
      <c r="AC185" t="s">
        <v>157</v>
      </c>
      <c r="AD185">
        <v>-3.9999999105930301E-2</v>
      </c>
      <c r="AE185">
        <v>55.224025726318402</v>
      </c>
      <c r="AF185" t="s">
        <v>27</v>
      </c>
      <c r="AG185">
        <v>51935000</v>
      </c>
      <c r="AH185">
        <v>0.58055901527404796</v>
      </c>
      <c r="AI185">
        <v>-64.467384338378906</v>
      </c>
    </row>
    <row r="186" spans="1:35">
      <c r="A186">
        <f t="shared" si="24"/>
        <v>0</v>
      </c>
      <c r="B186">
        <f t="shared" si="25"/>
        <v>0</v>
      </c>
      <c r="C186">
        <f t="shared" si="26"/>
        <v>1</v>
      </c>
      <c r="D186">
        <f t="shared" si="27"/>
        <v>0</v>
      </c>
      <c r="E186">
        <f t="shared" si="28"/>
        <v>1</v>
      </c>
      <c r="F186">
        <f t="shared" si="29"/>
        <v>0</v>
      </c>
      <c r="G186">
        <f t="shared" si="30"/>
        <v>0</v>
      </c>
      <c r="H186">
        <v>0</v>
      </c>
      <c r="I186">
        <f t="shared" si="31"/>
        <v>0</v>
      </c>
      <c r="J186">
        <v>0</v>
      </c>
      <c r="K186" t="s">
        <v>941</v>
      </c>
      <c r="L186" t="s">
        <v>942</v>
      </c>
      <c r="M186" t="s">
        <v>27</v>
      </c>
      <c r="N186" t="s">
        <v>27</v>
      </c>
      <c r="O186">
        <v>17.170000000000002</v>
      </c>
      <c r="P186" t="s">
        <v>27</v>
      </c>
      <c r="Q186" t="s">
        <v>27</v>
      </c>
      <c r="R186">
        <v>18</v>
      </c>
      <c r="S186">
        <v>11.399999856948901</v>
      </c>
      <c r="T186" t="s">
        <v>27</v>
      </c>
      <c r="U186" t="s">
        <v>27</v>
      </c>
      <c r="V186" t="s">
        <v>27</v>
      </c>
      <c r="W186">
        <v>-3.8167819976806601</v>
      </c>
      <c r="X186" t="s">
        <v>27</v>
      </c>
      <c r="Y186" t="s">
        <v>27</v>
      </c>
      <c r="Z186" t="s">
        <v>27</v>
      </c>
      <c r="AA186" t="s">
        <v>27</v>
      </c>
      <c r="AB186" t="s">
        <v>83</v>
      </c>
      <c r="AC186" t="s">
        <v>84</v>
      </c>
      <c r="AD186" t="s">
        <v>27</v>
      </c>
      <c r="AE186" t="s">
        <v>27</v>
      </c>
      <c r="AF186" t="s">
        <v>27</v>
      </c>
      <c r="AG186" t="s">
        <v>27</v>
      </c>
      <c r="AH186" t="s">
        <v>27</v>
      </c>
      <c r="AI186">
        <v>-29.866626739501999</v>
      </c>
    </row>
    <row r="187" spans="1:35">
      <c r="A187">
        <f t="shared" si="24"/>
        <v>1</v>
      </c>
      <c r="B187">
        <f t="shared" si="25"/>
        <v>0</v>
      </c>
      <c r="C187">
        <f t="shared" si="26"/>
        <v>0</v>
      </c>
      <c r="D187">
        <f t="shared" si="27"/>
        <v>0</v>
      </c>
      <c r="E187">
        <f t="shared" si="28"/>
        <v>0</v>
      </c>
      <c r="F187">
        <f t="shared" si="29"/>
        <v>0</v>
      </c>
      <c r="G187">
        <f t="shared" si="30"/>
        <v>0</v>
      </c>
      <c r="H187">
        <v>0</v>
      </c>
      <c r="I187">
        <f t="shared" si="31"/>
        <v>0</v>
      </c>
      <c r="J187">
        <v>0</v>
      </c>
      <c r="K187" t="s">
        <v>946</v>
      </c>
      <c r="L187" t="s">
        <v>947</v>
      </c>
      <c r="M187" t="s">
        <v>27</v>
      </c>
      <c r="N187" t="s">
        <v>27</v>
      </c>
      <c r="O187">
        <v>5.7</v>
      </c>
      <c r="P187" t="s">
        <v>27</v>
      </c>
      <c r="Q187" t="s">
        <v>27</v>
      </c>
      <c r="R187">
        <v>11.050000190734901</v>
      </c>
      <c r="S187">
        <v>27.625</v>
      </c>
      <c r="T187">
        <v>10.0435237884521</v>
      </c>
      <c r="U187" t="s">
        <v>27</v>
      </c>
      <c r="V187">
        <v>-26374000</v>
      </c>
      <c r="W187">
        <v>-71.269783020019503</v>
      </c>
      <c r="X187">
        <v>-0.31999999284744302</v>
      </c>
      <c r="Y187">
        <v>-5.8905467987060502</v>
      </c>
      <c r="Z187">
        <v>-28.3833312988281</v>
      </c>
      <c r="AA187">
        <v>21071000</v>
      </c>
      <c r="AB187" t="s">
        <v>27</v>
      </c>
      <c r="AC187" t="s">
        <v>27</v>
      </c>
      <c r="AD187">
        <v>-0.99000000953674305</v>
      </c>
      <c r="AE187" t="s">
        <v>27</v>
      </c>
      <c r="AF187" t="s">
        <v>27</v>
      </c>
      <c r="AG187">
        <v>41089000</v>
      </c>
      <c r="AH187">
        <v>8.76361179351807</v>
      </c>
      <c r="AI187">
        <v>-223.37249755859401</v>
      </c>
    </row>
    <row r="188" spans="1:35">
      <c r="A188">
        <f t="shared" si="24"/>
        <v>1</v>
      </c>
      <c r="B188">
        <f t="shared" si="25"/>
        <v>0</v>
      </c>
      <c r="C188">
        <f t="shared" si="26"/>
        <v>0</v>
      </c>
      <c r="D188">
        <f t="shared" si="27"/>
        <v>1</v>
      </c>
      <c r="E188">
        <f t="shared" si="28"/>
        <v>0</v>
      </c>
      <c r="F188">
        <f t="shared" si="29"/>
        <v>1</v>
      </c>
      <c r="G188">
        <f t="shared" si="30"/>
        <v>0</v>
      </c>
      <c r="H188">
        <v>0</v>
      </c>
      <c r="I188">
        <f t="shared" si="31"/>
        <v>1</v>
      </c>
      <c r="J188">
        <v>0</v>
      </c>
      <c r="K188" t="s">
        <v>950</v>
      </c>
      <c r="L188" t="s">
        <v>951</v>
      </c>
      <c r="M188" t="s">
        <v>27</v>
      </c>
      <c r="N188" t="s">
        <v>27</v>
      </c>
      <c r="O188">
        <v>14.1</v>
      </c>
      <c r="P188" t="s">
        <v>27</v>
      </c>
      <c r="Q188" t="s">
        <v>27</v>
      </c>
      <c r="R188">
        <v>12.5</v>
      </c>
      <c r="S188">
        <v>9.6099996566772496</v>
      </c>
      <c r="T188">
        <v>59.3345336914063</v>
      </c>
      <c r="U188" t="s">
        <v>27</v>
      </c>
      <c r="V188">
        <v>-16184000</v>
      </c>
      <c r="W188" t="s">
        <v>27</v>
      </c>
      <c r="X188">
        <v>0.15000000596046401</v>
      </c>
      <c r="Y188">
        <v>6.0377359390258798</v>
      </c>
      <c r="Z188">
        <v>5.87156009674072</v>
      </c>
      <c r="AA188">
        <v>20406536</v>
      </c>
      <c r="AB188" t="s">
        <v>83</v>
      </c>
      <c r="AC188" t="s">
        <v>84</v>
      </c>
      <c r="AD188">
        <v>0.17000000178813901</v>
      </c>
      <c r="AE188" t="s">
        <v>27</v>
      </c>
      <c r="AF188">
        <v>13.407254758245699</v>
      </c>
      <c r="AG188">
        <v>20590048</v>
      </c>
      <c r="AH188">
        <v>55.6066284179688</v>
      </c>
      <c r="AI188">
        <v>1.9967399835586499</v>
      </c>
    </row>
    <row r="189" spans="1:35">
      <c r="A189">
        <f t="shared" si="24"/>
        <v>0</v>
      </c>
      <c r="B189">
        <f t="shared" si="25"/>
        <v>0</v>
      </c>
      <c r="C189">
        <f t="shared" si="26"/>
        <v>0</v>
      </c>
      <c r="D189">
        <f t="shared" si="27"/>
        <v>1</v>
      </c>
      <c r="E189">
        <f t="shared" si="28"/>
        <v>0</v>
      </c>
      <c r="F189">
        <f t="shared" si="29"/>
        <v>0</v>
      </c>
      <c r="G189">
        <f t="shared" si="30"/>
        <v>1</v>
      </c>
      <c r="H189">
        <v>0</v>
      </c>
      <c r="I189">
        <f t="shared" si="31"/>
        <v>0</v>
      </c>
      <c r="J189">
        <v>0</v>
      </c>
      <c r="K189" t="s">
        <v>958</v>
      </c>
      <c r="L189" t="s">
        <v>959</v>
      </c>
      <c r="M189" t="s">
        <v>27</v>
      </c>
      <c r="N189" t="s">
        <v>27</v>
      </c>
      <c r="O189">
        <v>20.149999999999999</v>
      </c>
      <c r="P189" t="s">
        <v>27</v>
      </c>
      <c r="Q189" t="s">
        <v>27</v>
      </c>
      <c r="R189">
        <v>23.25</v>
      </c>
      <c r="S189">
        <v>28.3125</v>
      </c>
      <c r="T189">
        <v>0</v>
      </c>
      <c r="U189">
        <v>46.834636688232401</v>
      </c>
      <c r="V189">
        <v>-1056000</v>
      </c>
      <c r="W189">
        <v>-14.930876731872599</v>
      </c>
      <c r="X189">
        <v>-0.75</v>
      </c>
      <c r="Y189">
        <v>-5.5135130882263201</v>
      </c>
      <c r="Z189">
        <v>-5.2309398651123002</v>
      </c>
      <c r="AA189">
        <v>15430000</v>
      </c>
      <c r="AB189" t="s">
        <v>38</v>
      </c>
      <c r="AC189" t="s">
        <v>157</v>
      </c>
      <c r="AD189">
        <v>-0.259999990463257</v>
      </c>
      <c r="AE189">
        <v>59.169513702392599</v>
      </c>
      <c r="AF189">
        <v>31.374606428201002</v>
      </c>
      <c r="AG189">
        <v>15692000</v>
      </c>
      <c r="AH189">
        <v>0</v>
      </c>
      <c r="AI189">
        <v>-35.119697570800803</v>
      </c>
    </row>
    <row r="190" spans="1:35">
      <c r="A190">
        <f t="shared" si="24"/>
        <v>0</v>
      </c>
      <c r="B190">
        <f t="shared" si="25"/>
        <v>0</v>
      </c>
      <c r="C190">
        <f t="shared" si="26"/>
        <v>1</v>
      </c>
      <c r="D190">
        <f t="shared" si="27"/>
        <v>1</v>
      </c>
      <c r="E190">
        <f t="shared" si="28"/>
        <v>0</v>
      </c>
      <c r="F190">
        <f t="shared" si="29"/>
        <v>0</v>
      </c>
      <c r="G190">
        <f t="shared" si="30"/>
        <v>1</v>
      </c>
      <c r="H190">
        <v>0</v>
      </c>
      <c r="I190">
        <f t="shared" si="31"/>
        <v>0</v>
      </c>
      <c r="J190">
        <v>0</v>
      </c>
      <c r="K190" t="s">
        <v>964</v>
      </c>
      <c r="L190" t="s">
        <v>965</v>
      </c>
      <c r="M190" t="s">
        <v>27</v>
      </c>
      <c r="N190" t="s">
        <v>27</v>
      </c>
      <c r="O190">
        <v>3.1219999999999999</v>
      </c>
      <c r="P190" t="s">
        <v>27</v>
      </c>
      <c r="Q190" t="s">
        <v>27</v>
      </c>
      <c r="R190">
        <v>8.0399999618530291</v>
      </c>
      <c r="S190">
        <v>10.625</v>
      </c>
      <c r="T190">
        <v>0</v>
      </c>
      <c r="U190">
        <v>26.0419731140137</v>
      </c>
      <c r="V190">
        <v>6860000.5</v>
      </c>
      <c r="W190">
        <v>12.710241317749</v>
      </c>
      <c r="X190">
        <v>-0.140000000596046</v>
      </c>
      <c r="Y190">
        <v>2</v>
      </c>
      <c r="Z190">
        <v>0.34324899315834001</v>
      </c>
      <c r="AA190">
        <v>32081002</v>
      </c>
      <c r="AB190" t="s">
        <v>27</v>
      </c>
      <c r="AC190" t="s">
        <v>27</v>
      </c>
      <c r="AD190">
        <v>0</v>
      </c>
      <c r="AE190">
        <v>28.644041061401399</v>
      </c>
      <c r="AF190">
        <v>9.8153995333160502</v>
      </c>
      <c r="AG190">
        <v>28489000</v>
      </c>
      <c r="AH190">
        <v>0</v>
      </c>
      <c r="AI190">
        <v>-10.493130683898899</v>
      </c>
    </row>
    <row r="191" spans="1:35">
      <c r="A191">
        <f t="shared" si="24"/>
        <v>1</v>
      </c>
      <c r="B191">
        <f t="shared" si="25"/>
        <v>1</v>
      </c>
      <c r="C191">
        <f t="shared" si="26"/>
        <v>0</v>
      </c>
      <c r="D191">
        <f t="shared" si="27"/>
        <v>0</v>
      </c>
      <c r="E191">
        <f t="shared" si="28"/>
        <v>0</v>
      </c>
      <c r="F191">
        <f t="shared" si="29"/>
        <v>0</v>
      </c>
      <c r="G191">
        <f t="shared" si="30"/>
        <v>0</v>
      </c>
      <c r="H191">
        <v>0</v>
      </c>
      <c r="I191">
        <f t="shared" si="31"/>
        <v>1</v>
      </c>
      <c r="J191">
        <v>0</v>
      </c>
      <c r="K191" t="s">
        <v>974</v>
      </c>
      <c r="L191" t="s">
        <v>975</v>
      </c>
      <c r="M191" t="s">
        <v>27</v>
      </c>
      <c r="N191" t="s">
        <v>27</v>
      </c>
      <c r="O191">
        <v>6.51</v>
      </c>
      <c r="P191" t="s">
        <v>27</v>
      </c>
      <c r="Q191" t="s">
        <v>27</v>
      </c>
      <c r="R191">
        <v>2.4000000953674299</v>
      </c>
      <c r="S191">
        <v>2.6875</v>
      </c>
      <c r="T191">
        <v>13.3804473876953</v>
      </c>
      <c r="U191">
        <v>45.303966522216797</v>
      </c>
      <c r="V191">
        <v>-34803000</v>
      </c>
      <c r="W191">
        <v>-158.043701171875</v>
      </c>
      <c r="X191">
        <v>-0.18000000715255701</v>
      </c>
      <c r="Y191">
        <v>-13.6503496170044</v>
      </c>
      <c r="Z191">
        <v>-23.414634704589801</v>
      </c>
      <c r="AA191">
        <v>33579000</v>
      </c>
      <c r="AB191" t="s">
        <v>38</v>
      </c>
      <c r="AC191" t="s">
        <v>39</v>
      </c>
      <c r="AD191">
        <v>-0.259999990463257</v>
      </c>
      <c r="AE191">
        <v>41.748367309570298</v>
      </c>
      <c r="AF191">
        <v>17.684159788574899</v>
      </c>
      <c r="AG191">
        <v>42104000</v>
      </c>
      <c r="AH191">
        <v>6.1198458671569798</v>
      </c>
      <c r="AI191">
        <v>-31.8138427734375</v>
      </c>
    </row>
    <row r="192" spans="1:35">
      <c r="A192">
        <f t="shared" si="24"/>
        <v>0</v>
      </c>
      <c r="B192">
        <f t="shared" si="25"/>
        <v>0</v>
      </c>
      <c r="C192">
        <f t="shared" si="26"/>
        <v>0</v>
      </c>
      <c r="D192">
        <f t="shared" si="27"/>
        <v>0</v>
      </c>
      <c r="E192">
        <f t="shared" si="28"/>
        <v>0</v>
      </c>
      <c r="F192">
        <f t="shared" si="29"/>
        <v>0</v>
      </c>
      <c r="G192">
        <f t="shared" si="30"/>
        <v>0</v>
      </c>
      <c r="H192">
        <v>0</v>
      </c>
      <c r="I192">
        <f t="shared" si="31"/>
        <v>0</v>
      </c>
      <c r="J192">
        <v>0</v>
      </c>
      <c r="K192" t="s">
        <v>976</v>
      </c>
      <c r="L192" t="s">
        <v>977</v>
      </c>
      <c r="M192" t="s">
        <v>27</v>
      </c>
      <c r="N192" t="s">
        <v>27</v>
      </c>
      <c r="O192">
        <v>7.83</v>
      </c>
      <c r="P192">
        <v>25.7081489562988</v>
      </c>
      <c r="Q192" t="s">
        <v>27</v>
      </c>
      <c r="R192">
        <v>15.810000419616699</v>
      </c>
      <c r="S192">
        <v>25.125</v>
      </c>
      <c r="T192">
        <v>0</v>
      </c>
      <c r="U192">
        <v>61.136173248291001</v>
      </c>
      <c r="V192">
        <v>-46518000</v>
      </c>
      <c r="W192">
        <v>18.205894470214801</v>
      </c>
      <c r="X192">
        <v>0.769999980926514</v>
      </c>
      <c r="Y192">
        <v>14.079999923706101</v>
      </c>
      <c r="Z192">
        <v>-6.83823490142822</v>
      </c>
      <c r="AA192">
        <v>59630000</v>
      </c>
      <c r="AB192" t="s">
        <v>27</v>
      </c>
      <c r="AC192" t="s">
        <v>27</v>
      </c>
      <c r="AD192">
        <v>-1</v>
      </c>
      <c r="AE192">
        <v>-65.625755310058594</v>
      </c>
      <c r="AF192" t="s">
        <v>27</v>
      </c>
      <c r="AG192">
        <v>60126000</v>
      </c>
      <c r="AH192">
        <v>0</v>
      </c>
      <c r="AI192">
        <v>-11.3364915847778</v>
      </c>
    </row>
    <row r="193" spans="1:35">
      <c r="A193">
        <f t="shared" si="24"/>
        <v>1</v>
      </c>
      <c r="B193">
        <f t="shared" si="25"/>
        <v>0</v>
      </c>
      <c r="C193">
        <f t="shared" si="26"/>
        <v>0</v>
      </c>
      <c r="D193">
        <f t="shared" si="27"/>
        <v>0</v>
      </c>
      <c r="E193">
        <f t="shared" si="28"/>
        <v>0</v>
      </c>
      <c r="F193">
        <f t="shared" si="29"/>
        <v>1</v>
      </c>
      <c r="G193">
        <f t="shared" si="30"/>
        <v>0</v>
      </c>
      <c r="H193">
        <v>0</v>
      </c>
      <c r="I193">
        <f t="shared" si="31"/>
        <v>0</v>
      </c>
      <c r="J193">
        <v>0</v>
      </c>
      <c r="K193" t="s">
        <v>980</v>
      </c>
      <c r="L193" t="s">
        <v>981</v>
      </c>
      <c r="M193" t="s">
        <v>27</v>
      </c>
      <c r="N193" t="s">
        <v>27</v>
      </c>
      <c r="O193">
        <v>17.96</v>
      </c>
      <c r="P193">
        <v>11.087984085083001</v>
      </c>
      <c r="Q193" t="s">
        <v>27</v>
      </c>
      <c r="R193">
        <v>19.139999389648398</v>
      </c>
      <c r="S193">
        <v>34.5</v>
      </c>
      <c r="T193">
        <v>8.3191998302936596E-2</v>
      </c>
      <c r="U193">
        <v>53.198051452636697</v>
      </c>
      <c r="V193">
        <v>-4008000</v>
      </c>
      <c r="W193">
        <v>9.6561651229858398</v>
      </c>
      <c r="X193">
        <v>0.18999999761581399</v>
      </c>
      <c r="Y193">
        <v>1.74035096168518</v>
      </c>
      <c r="Z193">
        <v>1.6503870487213099</v>
      </c>
      <c r="AA193">
        <v>71577000</v>
      </c>
      <c r="AB193" t="s">
        <v>38</v>
      </c>
      <c r="AC193" t="s">
        <v>118</v>
      </c>
      <c r="AD193">
        <v>-0.239999994635582</v>
      </c>
      <c r="AE193">
        <v>47.150299072265597</v>
      </c>
      <c r="AF193">
        <v>28.490458122726601</v>
      </c>
      <c r="AG193">
        <v>72591000</v>
      </c>
      <c r="AH193">
        <v>0</v>
      </c>
      <c r="AI193">
        <v>5.0564551353454599</v>
      </c>
    </row>
    <row r="194" spans="1:35">
      <c r="A194">
        <f t="shared" si="24"/>
        <v>1</v>
      </c>
      <c r="B194">
        <f t="shared" si="25"/>
        <v>0</v>
      </c>
      <c r="C194">
        <f t="shared" si="26"/>
        <v>1</v>
      </c>
      <c r="D194">
        <f t="shared" si="27"/>
        <v>0</v>
      </c>
      <c r="E194">
        <f t="shared" si="28"/>
        <v>0</v>
      </c>
      <c r="F194">
        <f t="shared" si="29"/>
        <v>1</v>
      </c>
      <c r="G194">
        <f t="shared" si="30"/>
        <v>0</v>
      </c>
      <c r="H194">
        <v>0</v>
      </c>
      <c r="I194">
        <f t="shared" si="31"/>
        <v>0</v>
      </c>
      <c r="J194">
        <v>0</v>
      </c>
      <c r="K194" t="s">
        <v>982</v>
      </c>
      <c r="L194" t="s">
        <v>983</v>
      </c>
      <c r="M194" t="s">
        <v>27</v>
      </c>
      <c r="N194" t="s">
        <v>27</v>
      </c>
      <c r="O194">
        <v>14.36</v>
      </c>
      <c r="P194" t="s">
        <v>27</v>
      </c>
      <c r="Q194" t="s">
        <v>27</v>
      </c>
      <c r="R194">
        <v>25.059999465942401</v>
      </c>
      <c r="S194" t="s">
        <v>27</v>
      </c>
      <c r="T194" t="s">
        <v>27</v>
      </c>
      <c r="U194" t="s">
        <v>27</v>
      </c>
      <c r="V194">
        <v>2673000.25</v>
      </c>
      <c r="W194" t="s">
        <v>27</v>
      </c>
      <c r="X194" t="s">
        <v>27</v>
      </c>
      <c r="Y194" t="s">
        <v>27</v>
      </c>
      <c r="Z194" t="s">
        <v>27</v>
      </c>
      <c r="AA194" t="s">
        <v>27</v>
      </c>
      <c r="AB194" t="s">
        <v>73</v>
      </c>
      <c r="AC194" t="s">
        <v>210</v>
      </c>
      <c r="AD194">
        <v>0.17000000178813901</v>
      </c>
      <c r="AE194">
        <v>25.544996261596701</v>
      </c>
      <c r="AF194" t="s">
        <v>27</v>
      </c>
      <c r="AG194">
        <v>32196000</v>
      </c>
      <c r="AH194">
        <v>51.019199371337898</v>
      </c>
      <c r="AI194" t="s">
        <v>27</v>
      </c>
    </row>
    <row r="195" spans="1:35">
      <c r="A195">
        <f t="shared" si="24"/>
        <v>0</v>
      </c>
      <c r="B195">
        <f t="shared" si="25"/>
        <v>1</v>
      </c>
      <c r="C195">
        <f t="shared" si="26"/>
        <v>0</v>
      </c>
      <c r="D195">
        <f t="shared" si="27"/>
        <v>1</v>
      </c>
      <c r="E195">
        <f t="shared" si="28"/>
        <v>0</v>
      </c>
      <c r="F195">
        <f t="shared" si="29"/>
        <v>0</v>
      </c>
      <c r="G195">
        <f t="shared" si="30"/>
        <v>1</v>
      </c>
      <c r="H195">
        <v>0</v>
      </c>
      <c r="I195">
        <f t="shared" si="31"/>
        <v>0</v>
      </c>
      <c r="J195">
        <v>0</v>
      </c>
      <c r="K195" t="s">
        <v>984</v>
      </c>
      <c r="L195" t="s">
        <v>985</v>
      </c>
      <c r="M195" t="s">
        <v>27</v>
      </c>
      <c r="N195" t="s">
        <v>27</v>
      </c>
      <c r="O195">
        <v>0.7</v>
      </c>
      <c r="P195" t="s">
        <v>27</v>
      </c>
      <c r="Q195" t="s">
        <v>27</v>
      </c>
      <c r="R195">
        <v>11.4899997711182</v>
      </c>
      <c r="S195">
        <v>8.0000001192092896</v>
      </c>
      <c r="T195">
        <v>28.875318527221701</v>
      </c>
      <c r="U195">
        <v>25.072597503662099</v>
      </c>
      <c r="V195">
        <v>-2375000</v>
      </c>
      <c r="W195">
        <v>-1358.32788085938</v>
      </c>
      <c r="X195">
        <v>-0.92000000178813901</v>
      </c>
      <c r="Y195" t="s">
        <v>27</v>
      </c>
      <c r="Z195">
        <v>-7.92899417877197</v>
      </c>
      <c r="AA195">
        <v>5569000</v>
      </c>
      <c r="AB195" t="s">
        <v>27</v>
      </c>
      <c r="AC195" t="s">
        <v>27</v>
      </c>
      <c r="AD195">
        <v>0.32000001519918397</v>
      </c>
      <c r="AE195">
        <v>31.3315315246582</v>
      </c>
      <c r="AF195" t="s">
        <v>27</v>
      </c>
      <c r="AG195">
        <v>7427000</v>
      </c>
      <c r="AH195">
        <v>39.512763977050803</v>
      </c>
      <c r="AI195">
        <v>-22.159507751464801</v>
      </c>
    </row>
    <row r="196" spans="1:35">
      <c r="A196">
        <f t="shared" si="24"/>
        <v>0</v>
      </c>
      <c r="B196">
        <f t="shared" si="25"/>
        <v>0</v>
      </c>
      <c r="C196">
        <f t="shared" si="26"/>
        <v>1</v>
      </c>
      <c r="D196">
        <f t="shared" si="27"/>
        <v>0</v>
      </c>
      <c r="E196">
        <f t="shared" si="28"/>
        <v>1</v>
      </c>
      <c r="F196">
        <f t="shared" si="29"/>
        <v>1</v>
      </c>
      <c r="G196">
        <f t="shared" si="30"/>
        <v>0</v>
      </c>
      <c r="H196">
        <v>0</v>
      </c>
      <c r="I196">
        <f t="shared" si="31"/>
        <v>0</v>
      </c>
      <c r="J196">
        <v>0</v>
      </c>
      <c r="K196" t="s">
        <v>988</v>
      </c>
      <c r="L196" t="s">
        <v>989</v>
      </c>
      <c r="M196" t="s">
        <v>27</v>
      </c>
      <c r="N196" t="s">
        <v>27</v>
      </c>
      <c r="O196">
        <v>3.95</v>
      </c>
      <c r="P196" t="s">
        <v>27</v>
      </c>
      <c r="Q196" t="s">
        <v>27</v>
      </c>
      <c r="R196">
        <v>7.2699999809265101</v>
      </c>
      <c r="S196">
        <v>27.9375</v>
      </c>
      <c r="T196" t="s">
        <v>27</v>
      </c>
      <c r="U196" t="s">
        <v>27</v>
      </c>
      <c r="V196" t="s">
        <v>27</v>
      </c>
      <c r="W196" t="s">
        <v>27</v>
      </c>
      <c r="X196" t="s">
        <v>27</v>
      </c>
      <c r="Y196" t="s">
        <v>27</v>
      </c>
      <c r="Z196" t="s">
        <v>27</v>
      </c>
      <c r="AA196" t="s">
        <v>27</v>
      </c>
      <c r="AB196" t="s">
        <v>83</v>
      </c>
      <c r="AC196" t="s">
        <v>84</v>
      </c>
      <c r="AD196" t="s">
        <v>27</v>
      </c>
      <c r="AE196" t="s">
        <v>27</v>
      </c>
      <c r="AF196" t="s">
        <v>27</v>
      </c>
      <c r="AG196" t="s">
        <v>27</v>
      </c>
      <c r="AH196" t="s">
        <v>27</v>
      </c>
      <c r="AI196" t="s">
        <v>27</v>
      </c>
    </row>
    <row r="197" spans="1:35">
      <c r="A197">
        <f t="shared" si="24"/>
        <v>0</v>
      </c>
      <c r="B197">
        <f t="shared" si="25"/>
        <v>0</v>
      </c>
      <c r="C197">
        <f t="shared" si="26"/>
        <v>1</v>
      </c>
      <c r="D197">
        <f t="shared" si="27"/>
        <v>0</v>
      </c>
      <c r="E197">
        <f t="shared" si="28"/>
        <v>0</v>
      </c>
      <c r="F197">
        <f t="shared" si="29"/>
        <v>0</v>
      </c>
      <c r="G197">
        <f t="shared" si="30"/>
        <v>0</v>
      </c>
      <c r="H197">
        <v>0</v>
      </c>
      <c r="I197">
        <f t="shared" si="31"/>
        <v>1</v>
      </c>
      <c r="J197">
        <v>0</v>
      </c>
      <c r="K197" t="s">
        <v>990</v>
      </c>
      <c r="L197" t="s">
        <v>991</v>
      </c>
      <c r="M197" t="s">
        <v>27</v>
      </c>
      <c r="N197" t="s">
        <v>27</v>
      </c>
      <c r="O197">
        <v>6.93</v>
      </c>
      <c r="P197">
        <v>3.98588991165161</v>
      </c>
      <c r="Q197" t="s">
        <v>27</v>
      </c>
      <c r="R197">
        <v>5.25</v>
      </c>
      <c r="S197">
        <v>8.4499998092651403</v>
      </c>
      <c r="T197">
        <v>47.150352478027301</v>
      </c>
      <c r="U197">
        <v>13.719662666320801</v>
      </c>
      <c r="V197">
        <v>112000000</v>
      </c>
      <c r="W197">
        <v>1.5074540376663199</v>
      </c>
      <c r="X197">
        <v>0.34999999403953602</v>
      </c>
      <c r="Y197">
        <v>12.3508768081665</v>
      </c>
      <c r="Z197">
        <v>-31.4410495758057</v>
      </c>
      <c r="AA197">
        <v>125623000</v>
      </c>
      <c r="AB197" t="s">
        <v>52</v>
      </c>
      <c r="AC197" t="s">
        <v>134</v>
      </c>
      <c r="AD197">
        <v>-0.10000000149011599</v>
      </c>
      <c r="AE197">
        <v>11.032746315002401</v>
      </c>
      <c r="AF197">
        <v>6.6915852161520197</v>
      </c>
      <c r="AG197">
        <v>125654000</v>
      </c>
      <c r="AH197">
        <v>51.479072570800803</v>
      </c>
      <c r="AI197">
        <v>-1.53277003765106</v>
      </c>
    </row>
    <row r="198" spans="1:35">
      <c r="A198">
        <f t="shared" si="24"/>
        <v>0</v>
      </c>
      <c r="B198">
        <f t="shared" si="25"/>
        <v>1</v>
      </c>
      <c r="C198">
        <f t="shared" si="26"/>
        <v>0</v>
      </c>
      <c r="D198">
        <f t="shared" si="27"/>
        <v>0</v>
      </c>
      <c r="E198">
        <f t="shared" si="28"/>
        <v>0</v>
      </c>
      <c r="F198">
        <f t="shared" si="29"/>
        <v>0</v>
      </c>
      <c r="G198">
        <f t="shared" si="30"/>
        <v>0</v>
      </c>
      <c r="H198">
        <v>0</v>
      </c>
      <c r="I198">
        <f t="shared" si="31"/>
        <v>0</v>
      </c>
      <c r="J198">
        <v>0</v>
      </c>
      <c r="K198" t="s">
        <v>992</v>
      </c>
      <c r="L198" t="s">
        <v>993</v>
      </c>
      <c r="M198" t="s">
        <v>27</v>
      </c>
      <c r="N198" t="s">
        <v>27</v>
      </c>
      <c r="O198">
        <v>2.0499999999999998</v>
      </c>
      <c r="P198" t="s">
        <v>27</v>
      </c>
      <c r="Q198" t="s">
        <v>27</v>
      </c>
      <c r="R198">
        <v>13.1099996566772</v>
      </c>
      <c r="S198">
        <v>18.75</v>
      </c>
      <c r="T198">
        <v>7.0992231369018599</v>
      </c>
      <c r="U198">
        <v>-48.368274688720703</v>
      </c>
      <c r="V198">
        <v>-52110000</v>
      </c>
      <c r="W198">
        <v>-57.362239837646499</v>
      </c>
      <c r="X198">
        <v>-0.56999999284744296</v>
      </c>
      <c r="Y198" t="s">
        <v>27</v>
      </c>
      <c r="Z198">
        <v>-24.390243530273398</v>
      </c>
      <c r="AA198">
        <v>60023208</v>
      </c>
      <c r="AB198" t="s">
        <v>30</v>
      </c>
      <c r="AC198" t="s">
        <v>92</v>
      </c>
      <c r="AD198">
        <v>-1.2200000286102299</v>
      </c>
      <c r="AE198">
        <v>-173.63966369628901</v>
      </c>
      <c r="AF198">
        <v>538.78996506739702</v>
      </c>
      <c r="AG198">
        <v>104152000</v>
      </c>
      <c r="AH198">
        <v>15.035423278808601</v>
      </c>
      <c r="AI198">
        <v>-38.069042205810497</v>
      </c>
    </row>
    <row r="199" spans="1:35">
      <c r="A199">
        <f t="shared" si="24"/>
        <v>0</v>
      </c>
      <c r="B199">
        <f t="shared" si="25"/>
        <v>0</v>
      </c>
      <c r="C199">
        <f t="shared" si="26"/>
        <v>0</v>
      </c>
      <c r="D199">
        <f t="shared" si="27"/>
        <v>0</v>
      </c>
      <c r="E199">
        <f t="shared" si="28"/>
        <v>0</v>
      </c>
      <c r="F199">
        <f t="shared" si="29"/>
        <v>1</v>
      </c>
      <c r="G199">
        <f t="shared" si="30"/>
        <v>0</v>
      </c>
      <c r="H199">
        <v>0</v>
      </c>
      <c r="I199">
        <f t="shared" si="31"/>
        <v>0</v>
      </c>
      <c r="J199">
        <v>0</v>
      </c>
      <c r="K199" t="s">
        <v>998</v>
      </c>
      <c r="L199" t="s">
        <v>999</v>
      </c>
      <c r="M199" t="s">
        <v>27</v>
      </c>
      <c r="N199" t="s">
        <v>27</v>
      </c>
      <c r="O199">
        <v>9.94</v>
      </c>
      <c r="P199">
        <v>9.6023969650268608</v>
      </c>
      <c r="Q199" t="s">
        <v>27</v>
      </c>
      <c r="R199">
        <v>9.2899999618530291</v>
      </c>
      <c r="S199">
        <v>6</v>
      </c>
      <c r="T199">
        <v>58.1983833312988</v>
      </c>
      <c r="U199">
        <v>46.814567565917997</v>
      </c>
      <c r="V199">
        <v>-11993000</v>
      </c>
      <c r="W199">
        <v>3.46086502075195</v>
      </c>
      <c r="X199">
        <v>0.20999999344348899</v>
      </c>
      <c r="Y199">
        <v>22.399999618530298</v>
      </c>
      <c r="Z199">
        <v>6.6410260200500497</v>
      </c>
      <c r="AA199">
        <v>27839000</v>
      </c>
      <c r="AB199" t="s">
        <v>27</v>
      </c>
      <c r="AC199" t="s">
        <v>27</v>
      </c>
      <c r="AD199">
        <v>0.20999999344348899</v>
      </c>
      <c r="AE199">
        <v>46.657722473144503</v>
      </c>
      <c r="AF199">
        <v>6.0629494878577797</v>
      </c>
      <c r="AG199">
        <v>27842000</v>
      </c>
      <c r="AH199">
        <v>58.969196319580099</v>
      </c>
      <c r="AI199">
        <v>3.27860403060913</v>
      </c>
    </row>
    <row r="200" spans="1:35">
      <c r="A200">
        <f t="shared" si="24"/>
        <v>0</v>
      </c>
      <c r="B200">
        <f t="shared" si="25"/>
        <v>1</v>
      </c>
      <c r="C200">
        <f t="shared" si="26"/>
        <v>0</v>
      </c>
      <c r="D200">
        <f t="shared" si="27"/>
        <v>0</v>
      </c>
      <c r="E200">
        <f t="shared" si="28"/>
        <v>0</v>
      </c>
      <c r="F200">
        <f t="shared" si="29"/>
        <v>0</v>
      </c>
      <c r="G200">
        <f t="shared" si="30"/>
        <v>0</v>
      </c>
      <c r="H200">
        <v>0</v>
      </c>
      <c r="I200">
        <f t="shared" si="31"/>
        <v>0</v>
      </c>
      <c r="J200">
        <v>0</v>
      </c>
      <c r="K200" t="s">
        <v>1004</v>
      </c>
      <c r="L200" t="s">
        <v>1005</v>
      </c>
      <c r="M200" t="s">
        <v>27</v>
      </c>
      <c r="N200" t="s">
        <v>27</v>
      </c>
      <c r="O200">
        <v>6.5</v>
      </c>
      <c r="P200" t="s">
        <v>27</v>
      </c>
      <c r="Q200" t="s">
        <v>27</v>
      </c>
      <c r="R200">
        <v>21.719999313354499</v>
      </c>
      <c r="S200">
        <v>40.375</v>
      </c>
      <c r="T200">
        <v>1.7030930519103999</v>
      </c>
      <c r="U200" t="s">
        <v>27</v>
      </c>
      <c r="V200">
        <v>-15442000</v>
      </c>
      <c r="W200">
        <v>-81.524528503417997</v>
      </c>
      <c r="X200">
        <v>-0.55000001192092896</v>
      </c>
      <c r="Y200">
        <v>-3.7338330745696999</v>
      </c>
      <c r="Z200">
        <v>-8.0249481201171893</v>
      </c>
      <c r="AA200">
        <v>28989000</v>
      </c>
      <c r="AB200" t="s">
        <v>73</v>
      </c>
      <c r="AC200" t="s">
        <v>141</v>
      </c>
      <c r="AD200">
        <v>-0.63999998569488503</v>
      </c>
      <c r="AE200">
        <v>84.262947082519503</v>
      </c>
      <c r="AF200" t="s">
        <v>27</v>
      </c>
      <c r="AG200">
        <v>33756000</v>
      </c>
      <c r="AH200">
        <v>54.620662689208999</v>
      </c>
      <c r="AI200">
        <v>-47.0033149719238</v>
      </c>
    </row>
    <row r="201" spans="1:35">
      <c r="A201">
        <f t="shared" si="24"/>
        <v>0</v>
      </c>
      <c r="B201">
        <f t="shared" si="25"/>
        <v>1</v>
      </c>
      <c r="C201">
        <f t="shared" si="26"/>
        <v>0</v>
      </c>
      <c r="D201">
        <f t="shared" si="27"/>
        <v>0</v>
      </c>
      <c r="E201">
        <f t="shared" si="28"/>
        <v>0</v>
      </c>
      <c r="F201">
        <f t="shared" si="29"/>
        <v>0</v>
      </c>
      <c r="G201">
        <f t="shared" si="30"/>
        <v>0</v>
      </c>
      <c r="H201">
        <v>0</v>
      </c>
      <c r="I201">
        <f t="shared" si="31"/>
        <v>0</v>
      </c>
      <c r="J201">
        <v>0</v>
      </c>
      <c r="K201" t="s">
        <v>1010</v>
      </c>
      <c r="L201" t="s">
        <v>1011</v>
      </c>
      <c r="M201" t="s">
        <v>27</v>
      </c>
      <c r="N201" t="s">
        <v>27</v>
      </c>
      <c r="O201">
        <v>6.57</v>
      </c>
      <c r="P201" t="s">
        <v>27</v>
      </c>
      <c r="Q201" t="s">
        <v>27</v>
      </c>
      <c r="R201">
        <v>17.930000305175799</v>
      </c>
      <c r="S201">
        <v>33.1875</v>
      </c>
      <c r="T201">
        <v>21.725379943847699</v>
      </c>
      <c r="U201" t="s">
        <v>27</v>
      </c>
      <c r="V201">
        <v>-22697000</v>
      </c>
      <c r="W201">
        <v>-73.394859313964801</v>
      </c>
      <c r="X201">
        <v>-0.34000000357627902</v>
      </c>
      <c r="Y201">
        <v>-2.6314530372619598</v>
      </c>
      <c r="Z201">
        <v>-7.5678968429565403</v>
      </c>
      <c r="AA201">
        <v>27201000</v>
      </c>
      <c r="AB201" t="s">
        <v>73</v>
      </c>
      <c r="AC201" t="s">
        <v>141</v>
      </c>
      <c r="AD201">
        <v>-0.479999989271164</v>
      </c>
      <c r="AE201" t="s">
        <v>27</v>
      </c>
      <c r="AF201" t="s">
        <v>27</v>
      </c>
      <c r="AG201">
        <v>28226000</v>
      </c>
      <c r="AH201">
        <v>26.740280151367202</v>
      </c>
      <c r="AI201">
        <v>-37.548496246337898</v>
      </c>
    </row>
    <row r="202" spans="1:35">
      <c r="A202">
        <f t="shared" si="24"/>
        <v>1</v>
      </c>
      <c r="B202">
        <f t="shared" si="25"/>
        <v>0</v>
      </c>
      <c r="C202">
        <f t="shared" si="26"/>
        <v>1</v>
      </c>
      <c r="D202">
        <f t="shared" si="27"/>
        <v>1</v>
      </c>
      <c r="E202">
        <f t="shared" si="28"/>
        <v>0</v>
      </c>
      <c r="F202">
        <f t="shared" si="29"/>
        <v>1</v>
      </c>
      <c r="G202">
        <f t="shared" si="30"/>
        <v>1</v>
      </c>
      <c r="H202">
        <v>0</v>
      </c>
      <c r="I202">
        <f t="shared" si="31"/>
        <v>1</v>
      </c>
      <c r="J202">
        <v>0</v>
      </c>
      <c r="K202" t="s">
        <v>1012</v>
      </c>
      <c r="L202" t="s">
        <v>1013</v>
      </c>
      <c r="M202" t="s">
        <v>27</v>
      </c>
      <c r="N202" t="s">
        <v>27</v>
      </c>
      <c r="O202">
        <v>7.18</v>
      </c>
      <c r="P202">
        <v>3.94248700141907</v>
      </c>
      <c r="Q202" t="s">
        <v>27</v>
      </c>
      <c r="R202">
        <v>5.5500001907348597</v>
      </c>
      <c r="S202">
        <v>3.25</v>
      </c>
      <c r="T202">
        <v>39.206024169921903</v>
      </c>
      <c r="U202">
        <v>15.216118812561</v>
      </c>
      <c r="V202">
        <v>9658000</v>
      </c>
      <c r="W202" t="s">
        <v>27</v>
      </c>
      <c r="X202">
        <v>2.9999999329447701E-2</v>
      </c>
      <c r="Y202">
        <v>7.2258062362670898</v>
      </c>
      <c r="Z202">
        <v>-7.6923079490661603</v>
      </c>
      <c r="AA202">
        <v>11209000</v>
      </c>
      <c r="AB202" t="s">
        <v>30</v>
      </c>
      <c r="AC202" t="s">
        <v>542</v>
      </c>
      <c r="AD202">
        <v>7.9999998211860698E-2</v>
      </c>
      <c r="AE202">
        <v>16.0905246734619</v>
      </c>
      <c r="AF202">
        <v>4.4582087758956996</v>
      </c>
      <c r="AG202">
        <v>11221000</v>
      </c>
      <c r="AH202">
        <v>38.962783813476598</v>
      </c>
      <c r="AI202" t="s">
        <v>27</v>
      </c>
    </row>
    <row r="203" spans="1:35">
      <c r="A203">
        <f t="shared" si="24"/>
        <v>1</v>
      </c>
      <c r="B203">
        <f t="shared" si="25"/>
        <v>1</v>
      </c>
      <c r="C203">
        <f t="shared" si="26"/>
        <v>0</v>
      </c>
      <c r="D203">
        <f t="shared" si="27"/>
        <v>0</v>
      </c>
      <c r="E203">
        <f t="shared" si="28"/>
        <v>0</v>
      </c>
      <c r="F203">
        <f t="shared" si="29"/>
        <v>0</v>
      </c>
      <c r="G203">
        <f t="shared" si="30"/>
        <v>0</v>
      </c>
      <c r="H203">
        <v>0</v>
      </c>
      <c r="I203">
        <f t="shared" si="31"/>
        <v>0</v>
      </c>
      <c r="J203">
        <v>0</v>
      </c>
      <c r="K203" t="s">
        <v>1014</v>
      </c>
      <c r="L203" t="s">
        <v>1015</v>
      </c>
      <c r="M203" t="s">
        <v>27</v>
      </c>
      <c r="N203" t="s">
        <v>27</v>
      </c>
      <c r="O203">
        <v>4.08</v>
      </c>
      <c r="P203" t="s">
        <v>27</v>
      </c>
      <c r="Q203" t="s">
        <v>27</v>
      </c>
      <c r="R203">
        <v>16.299999237060501</v>
      </c>
      <c r="S203">
        <v>40.8125</v>
      </c>
      <c r="T203">
        <v>59.565803527832003</v>
      </c>
      <c r="U203">
        <v>-97.301597595214801</v>
      </c>
      <c r="V203">
        <v>-16454000</v>
      </c>
      <c r="W203">
        <v>-33.307262420654297</v>
      </c>
      <c r="X203">
        <v>-0.18000000715255701</v>
      </c>
      <c r="Y203">
        <v>-1.1730209589004501</v>
      </c>
      <c r="Z203">
        <v>-3.9378240108489999</v>
      </c>
      <c r="AA203">
        <v>38938000</v>
      </c>
      <c r="AB203" t="s">
        <v>27</v>
      </c>
      <c r="AC203" t="s">
        <v>27</v>
      </c>
      <c r="AD203">
        <v>-0.230000004172325</v>
      </c>
      <c r="AE203">
        <v>-185.79881286621099</v>
      </c>
      <c r="AF203" t="s">
        <v>27</v>
      </c>
      <c r="AG203">
        <v>48684000</v>
      </c>
      <c r="AH203">
        <v>28.0165100097656</v>
      </c>
      <c r="AI203">
        <v>-9.0979452133178693</v>
      </c>
    </row>
    <row r="204" spans="1:35">
      <c r="A204">
        <f t="shared" si="24"/>
        <v>0</v>
      </c>
      <c r="B204">
        <f t="shared" si="25"/>
        <v>0</v>
      </c>
      <c r="C204">
        <f t="shared" si="26"/>
        <v>0</v>
      </c>
      <c r="D204">
        <f t="shared" si="27"/>
        <v>0</v>
      </c>
      <c r="E204">
        <f t="shared" si="28"/>
        <v>0</v>
      </c>
      <c r="F204">
        <f t="shared" si="29"/>
        <v>0</v>
      </c>
      <c r="G204">
        <f t="shared" si="30"/>
        <v>0</v>
      </c>
      <c r="H204">
        <v>0</v>
      </c>
      <c r="I204">
        <f t="shared" si="31"/>
        <v>0</v>
      </c>
      <c r="J204">
        <v>0</v>
      </c>
      <c r="K204" t="s">
        <v>1016</v>
      </c>
      <c r="L204" t="s">
        <v>1017</v>
      </c>
      <c r="M204" t="s">
        <v>27</v>
      </c>
      <c r="N204" t="s">
        <v>27</v>
      </c>
      <c r="O204">
        <v>19.201000000000001</v>
      </c>
      <c r="P204">
        <v>4.8092770576477104</v>
      </c>
      <c r="Q204" t="s">
        <v>27</v>
      </c>
      <c r="R204">
        <v>21.75</v>
      </c>
      <c r="S204">
        <v>6.59375</v>
      </c>
      <c r="T204">
        <v>0</v>
      </c>
      <c r="U204">
        <v>36.1224174499512</v>
      </c>
      <c r="V204">
        <v>-1139000</v>
      </c>
      <c r="W204">
        <v>10.6196479797363</v>
      </c>
      <c r="X204">
        <v>3.9999999105930301E-2</v>
      </c>
      <c r="Y204">
        <v>10.114941596984901</v>
      </c>
      <c r="Z204">
        <v>3.86740303039551</v>
      </c>
      <c r="AA204">
        <v>7866000</v>
      </c>
      <c r="AB204" t="s">
        <v>27</v>
      </c>
      <c r="AC204" t="s">
        <v>27</v>
      </c>
      <c r="AD204">
        <v>1.9999999552965199E-2</v>
      </c>
      <c r="AE204">
        <v>28.854570388793899</v>
      </c>
      <c r="AF204" t="s">
        <v>27</v>
      </c>
      <c r="AG204">
        <v>7238000</v>
      </c>
      <c r="AH204">
        <v>0</v>
      </c>
      <c r="AI204">
        <v>-0.15698200464248699</v>
      </c>
    </row>
    <row r="205" spans="1:35">
      <c r="A205">
        <f t="shared" si="24"/>
        <v>1</v>
      </c>
      <c r="B205">
        <f t="shared" si="25"/>
        <v>1</v>
      </c>
      <c r="C205">
        <f t="shared" si="26"/>
        <v>0</v>
      </c>
      <c r="D205">
        <f t="shared" si="27"/>
        <v>0</v>
      </c>
      <c r="E205">
        <f t="shared" si="28"/>
        <v>0</v>
      </c>
      <c r="F205">
        <f t="shared" si="29"/>
        <v>0</v>
      </c>
      <c r="G205">
        <f t="shared" si="30"/>
        <v>0</v>
      </c>
      <c r="H205">
        <v>0</v>
      </c>
      <c r="I205">
        <f t="shared" si="31"/>
        <v>0</v>
      </c>
      <c r="J205">
        <v>0</v>
      </c>
      <c r="K205" t="s">
        <v>1020</v>
      </c>
      <c r="L205" t="s">
        <v>1021</v>
      </c>
      <c r="M205" t="s">
        <v>27</v>
      </c>
      <c r="N205" t="s">
        <v>27</v>
      </c>
      <c r="O205">
        <v>16.8</v>
      </c>
      <c r="P205" t="s">
        <v>27</v>
      </c>
      <c r="Q205" t="s">
        <v>27</v>
      </c>
      <c r="R205">
        <v>42.740001678466797</v>
      </c>
      <c r="S205">
        <v>40.9375</v>
      </c>
      <c r="T205">
        <v>69.801872253417997</v>
      </c>
      <c r="U205" t="s">
        <v>27</v>
      </c>
      <c r="V205">
        <v>-28091002</v>
      </c>
      <c r="W205">
        <v>-31.6226406097412</v>
      </c>
      <c r="X205">
        <v>-0.54000002145767201</v>
      </c>
      <c r="Y205">
        <v>-2.1856169700622599</v>
      </c>
      <c r="Z205">
        <v>-8.4662885665893608</v>
      </c>
      <c r="AA205">
        <v>18950000</v>
      </c>
      <c r="AB205" t="s">
        <v>27</v>
      </c>
      <c r="AC205" t="s">
        <v>27</v>
      </c>
      <c r="AD205">
        <v>-0.85000002384185802</v>
      </c>
      <c r="AE205" t="s">
        <v>27</v>
      </c>
      <c r="AF205" t="s">
        <v>27</v>
      </c>
      <c r="AG205">
        <v>22292000</v>
      </c>
      <c r="AH205">
        <v>52.415740966796903</v>
      </c>
      <c r="AI205">
        <v>-18.7888584136963</v>
      </c>
    </row>
    <row r="206" spans="1:35">
      <c r="A206">
        <f t="shared" si="24"/>
        <v>0</v>
      </c>
      <c r="B206">
        <f t="shared" si="25"/>
        <v>0</v>
      </c>
      <c r="C206">
        <f t="shared" si="26"/>
        <v>0</v>
      </c>
      <c r="D206">
        <f t="shared" si="27"/>
        <v>0</v>
      </c>
      <c r="E206">
        <f t="shared" si="28"/>
        <v>0</v>
      </c>
      <c r="F206">
        <f t="shared" si="29"/>
        <v>0</v>
      </c>
      <c r="G206">
        <f t="shared" si="30"/>
        <v>0</v>
      </c>
      <c r="H206">
        <v>0</v>
      </c>
      <c r="I206">
        <f t="shared" si="31"/>
        <v>1</v>
      </c>
      <c r="J206">
        <v>0</v>
      </c>
      <c r="K206" t="s">
        <v>1026</v>
      </c>
      <c r="L206" t="s">
        <v>1027</v>
      </c>
      <c r="M206" t="s">
        <v>27</v>
      </c>
      <c r="N206" t="s">
        <v>27</v>
      </c>
      <c r="O206">
        <v>16.809999999999999</v>
      </c>
      <c r="P206" t="s">
        <v>27</v>
      </c>
      <c r="Q206" t="s">
        <v>27</v>
      </c>
      <c r="R206">
        <v>14.1400003433228</v>
      </c>
      <c r="S206">
        <v>21.6875</v>
      </c>
      <c r="T206">
        <v>0</v>
      </c>
      <c r="U206">
        <v>80.277778625488295</v>
      </c>
      <c r="V206">
        <v>-5637000</v>
      </c>
      <c r="W206" t="s">
        <v>27</v>
      </c>
      <c r="X206">
        <v>-0.28000000119209301</v>
      </c>
      <c r="Y206">
        <v>-12</v>
      </c>
      <c r="Z206">
        <v>-8.5647058486938494</v>
      </c>
      <c r="AA206">
        <v>13322000</v>
      </c>
      <c r="AB206" t="s">
        <v>73</v>
      </c>
      <c r="AC206" t="s">
        <v>74</v>
      </c>
      <c r="AD206">
        <v>-0.30000001192092901</v>
      </c>
      <c r="AE206">
        <v>74.929260253906307</v>
      </c>
      <c r="AF206" t="s">
        <v>27</v>
      </c>
      <c r="AG206">
        <v>17266000</v>
      </c>
      <c r="AH206">
        <v>0</v>
      </c>
      <c r="AI206">
        <v>-45.096633911132798</v>
      </c>
    </row>
    <row r="207" spans="1:35">
      <c r="A207">
        <f t="shared" si="24"/>
        <v>1</v>
      </c>
      <c r="B207">
        <f t="shared" si="25"/>
        <v>1</v>
      </c>
      <c r="C207">
        <f t="shared" si="26"/>
        <v>0</v>
      </c>
      <c r="D207">
        <f t="shared" si="27"/>
        <v>0</v>
      </c>
      <c r="E207">
        <f t="shared" si="28"/>
        <v>0</v>
      </c>
      <c r="F207">
        <f t="shared" si="29"/>
        <v>0</v>
      </c>
      <c r="G207">
        <f t="shared" si="30"/>
        <v>0</v>
      </c>
      <c r="H207">
        <v>0</v>
      </c>
      <c r="I207">
        <f t="shared" si="31"/>
        <v>0</v>
      </c>
      <c r="J207">
        <v>0</v>
      </c>
      <c r="K207" t="s">
        <v>1038</v>
      </c>
      <c r="L207" t="s">
        <v>1039</v>
      </c>
      <c r="M207" t="s">
        <v>27</v>
      </c>
      <c r="N207" t="s">
        <v>27</v>
      </c>
      <c r="O207">
        <v>0.59099999999999997</v>
      </c>
      <c r="P207" t="s">
        <v>27</v>
      </c>
      <c r="Q207" t="s">
        <v>27</v>
      </c>
      <c r="R207">
        <v>5.4200000762939498</v>
      </c>
      <c r="S207" t="s">
        <v>27</v>
      </c>
      <c r="T207" t="s">
        <v>27</v>
      </c>
      <c r="U207" t="s">
        <v>27</v>
      </c>
      <c r="V207">
        <v>-13042000</v>
      </c>
      <c r="W207">
        <v>-62.516197204589801</v>
      </c>
      <c r="X207" t="s">
        <v>27</v>
      </c>
      <c r="Y207" t="s">
        <v>27</v>
      </c>
      <c r="Z207" t="s">
        <v>27</v>
      </c>
      <c r="AA207" t="s">
        <v>27</v>
      </c>
      <c r="AB207" t="s">
        <v>38</v>
      </c>
      <c r="AC207" t="s">
        <v>113</v>
      </c>
      <c r="AD207">
        <v>-0.46999999880790699</v>
      </c>
      <c r="AE207">
        <v>1.67092597484589</v>
      </c>
      <c r="AF207" t="s">
        <v>27</v>
      </c>
      <c r="AG207">
        <v>112299000</v>
      </c>
      <c r="AH207">
        <v>1.94131302833557</v>
      </c>
      <c r="AI207">
        <v>-46.31982421875</v>
      </c>
    </row>
    <row r="208" spans="1:35">
      <c r="A208">
        <f t="shared" si="24"/>
        <v>0</v>
      </c>
      <c r="B208">
        <f t="shared" si="25"/>
        <v>0</v>
      </c>
      <c r="C208">
        <f t="shared" si="26"/>
        <v>1</v>
      </c>
      <c r="D208">
        <f t="shared" si="27"/>
        <v>0</v>
      </c>
      <c r="E208">
        <f t="shared" si="28"/>
        <v>0</v>
      </c>
      <c r="F208">
        <f t="shared" si="29"/>
        <v>0</v>
      </c>
      <c r="G208">
        <f t="shared" si="30"/>
        <v>1</v>
      </c>
      <c r="H208">
        <v>0</v>
      </c>
      <c r="I208">
        <f t="shared" si="31"/>
        <v>0</v>
      </c>
      <c r="J208">
        <v>0</v>
      </c>
      <c r="K208" t="s">
        <v>1042</v>
      </c>
      <c r="L208" t="s">
        <v>1043</v>
      </c>
      <c r="M208" t="s">
        <v>27</v>
      </c>
      <c r="N208" t="s">
        <v>27</v>
      </c>
      <c r="O208">
        <v>5.87</v>
      </c>
      <c r="P208" t="s">
        <v>27</v>
      </c>
      <c r="Q208" t="s">
        <v>27</v>
      </c>
      <c r="R208">
        <v>8</v>
      </c>
      <c r="S208">
        <v>11.75</v>
      </c>
      <c r="T208">
        <v>0.262071013450623</v>
      </c>
      <c r="U208">
        <v>58.9343452453613</v>
      </c>
      <c r="V208">
        <v>6971000</v>
      </c>
      <c r="W208">
        <v>8.4987936019897496</v>
      </c>
      <c r="X208">
        <v>-0.28999999165535001</v>
      </c>
      <c r="Y208">
        <v>-2.7961170673370401</v>
      </c>
      <c r="Z208">
        <v>-4.3333330154418901</v>
      </c>
      <c r="AA208">
        <v>20135000</v>
      </c>
      <c r="AB208" t="s">
        <v>27</v>
      </c>
      <c r="AC208" t="s">
        <v>27</v>
      </c>
      <c r="AD208">
        <v>-0.57999998331069902</v>
      </c>
      <c r="AE208">
        <v>59.022651672363303</v>
      </c>
      <c r="AF208">
        <v>16.968811991264602</v>
      </c>
      <c r="AG208">
        <v>20311000</v>
      </c>
      <c r="AH208">
        <v>0.30032700300216703</v>
      </c>
      <c r="AI208">
        <v>-19.420152664184599</v>
      </c>
    </row>
    <row r="209" spans="1:35">
      <c r="A209">
        <f t="shared" si="24"/>
        <v>0</v>
      </c>
      <c r="B209">
        <f t="shared" si="25"/>
        <v>0</v>
      </c>
      <c r="C209">
        <f t="shared" si="26"/>
        <v>1</v>
      </c>
      <c r="D209">
        <f t="shared" si="27"/>
        <v>0</v>
      </c>
      <c r="E209">
        <f t="shared" si="28"/>
        <v>1</v>
      </c>
      <c r="F209">
        <f t="shared" si="29"/>
        <v>1</v>
      </c>
      <c r="G209">
        <f t="shared" si="30"/>
        <v>0</v>
      </c>
      <c r="H209">
        <v>0</v>
      </c>
      <c r="I209">
        <f t="shared" si="31"/>
        <v>0</v>
      </c>
      <c r="J209">
        <v>0</v>
      </c>
      <c r="K209" t="s">
        <v>1052</v>
      </c>
      <c r="L209" t="s">
        <v>1053</v>
      </c>
      <c r="M209" t="s">
        <v>27</v>
      </c>
      <c r="N209" t="s">
        <v>27</v>
      </c>
      <c r="O209">
        <v>8.3699999999999992</v>
      </c>
      <c r="P209" t="s">
        <v>27</v>
      </c>
      <c r="Q209" t="s">
        <v>27</v>
      </c>
      <c r="R209">
        <v>9.1999998092651403</v>
      </c>
      <c r="S209">
        <v>8.2600002288818395</v>
      </c>
      <c r="T209" t="s">
        <v>27</v>
      </c>
      <c r="U209" t="s">
        <v>27</v>
      </c>
      <c r="V209" t="s">
        <v>27</v>
      </c>
      <c r="W209">
        <v>13.457415580749499</v>
      </c>
      <c r="X209" t="s">
        <v>27</v>
      </c>
      <c r="Y209" t="s">
        <v>27</v>
      </c>
      <c r="Z209" t="s">
        <v>27</v>
      </c>
      <c r="AA209" t="s">
        <v>27</v>
      </c>
      <c r="AB209" t="s">
        <v>27</v>
      </c>
      <c r="AC209" t="s">
        <v>27</v>
      </c>
      <c r="AD209" t="s">
        <v>27</v>
      </c>
      <c r="AE209" t="s">
        <v>27</v>
      </c>
      <c r="AF209" t="s">
        <v>27</v>
      </c>
      <c r="AG209" t="s">
        <v>27</v>
      </c>
      <c r="AH209" t="s">
        <v>27</v>
      </c>
      <c r="AI209">
        <v>1.2749450206756601</v>
      </c>
    </row>
    <row r="210" spans="1:35">
      <c r="A210">
        <f t="shared" si="24"/>
        <v>0</v>
      </c>
      <c r="B210">
        <f t="shared" si="25"/>
        <v>0</v>
      </c>
      <c r="C210">
        <f t="shared" si="26"/>
        <v>0</v>
      </c>
      <c r="D210">
        <f t="shared" si="27"/>
        <v>1</v>
      </c>
      <c r="E210">
        <f t="shared" si="28"/>
        <v>0</v>
      </c>
      <c r="F210">
        <f t="shared" si="29"/>
        <v>0</v>
      </c>
      <c r="G210">
        <f t="shared" si="30"/>
        <v>1</v>
      </c>
      <c r="H210">
        <v>0</v>
      </c>
      <c r="I210">
        <f t="shared" si="31"/>
        <v>0</v>
      </c>
      <c r="J210">
        <v>0</v>
      </c>
      <c r="K210" t="s">
        <v>1054</v>
      </c>
      <c r="L210" t="s">
        <v>1055</v>
      </c>
      <c r="M210" t="s">
        <v>27</v>
      </c>
      <c r="N210" t="s">
        <v>27</v>
      </c>
      <c r="O210">
        <v>0.47</v>
      </c>
      <c r="P210" t="s">
        <v>27</v>
      </c>
      <c r="Q210" t="s">
        <v>27</v>
      </c>
      <c r="R210">
        <v>7.8499999046325701</v>
      </c>
      <c r="S210">
        <v>3.46875</v>
      </c>
      <c r="T210">
        <v>15.158453941345201</v>
      </c>
      <c r="U210">
        <v>44.414508819580099</v>
      </c>
      <c r="V210">
        <v>-7948000</v>
      </c>
      <c r="W210">
        <v>-31.704879760742202</v>
      </c>
      <c r="X210">
        <v>-2.9400000572204599</v>
      </c>
      <c r="Y210">
        <v>-277</v>
      </c>
      <c r="Z210">
        <v>-11.1930932998657</v>
      </c>
      <c r="AA210">
        <v>16236000</v>
      </c>
      <c r="AB210" t="s">
        <v>27</v>
      </c>
      <c r="AC210" t="s">
        <v>27</v>
      </c>
      <c r="AD210">
        <v>-7.0000000298023196E-2</v>
      </c>
      <c r="AE210">
        <v>49.272369384765597</v>
      </c>
      <c r="AF210" t="s">
        <v>27</v>
      </c>
      <c r="AG210">
        <v>44567000</v>
      </c>
      <c r="AH210">
        <v>15.892113685607899</v>
      </c>
      <c r="AI210">
        <v>-91.704963684082003</v>
      </c>
    </row>
    <row r="211" spans="1:35">
      <c r="A211">
        <f t="shared" si="24"/>
        <v>1</v>
      </c>
      <c r="B211">
        <f t="shared" si="25"/>
        <v>0</v>
      </c>
      <c r="C211">
        <f t="shared" si="26"/>
        <v>1</v>
      </c>
      <c r="D211">
        <f t="shared" si="27"/>
        <v>0</v>
      </c>
      <c r="E211">
        <f t="shared" si="28"/>
        <v>0</v>
      </c>
      <c r="F211">
        <f t="shared" si="29"/>
        <v>0</v>
      </c>
      <c r="G211">
        <f t="shared" si="30"/>
        <v>0</v>
      </c>
      <c r="H211">
        <v>0</v>
      </c>
      <c r="I211">
        <f t="shared" si="31"/>
        <v>1</v>
      </c>
      <c r="J211">
        <v>0</v>
      </c>
      <c r="K211" t="s">
        <v>1056</v>
      </c>
      <c r="L211" t="s">
        <v>1057</v>
      </c>
      <c r="M211" t="s">
        <v>27</v>
      </c>
      <c r="N211" t="s">
        <v>27</v>
      </c>
      <c r="O211">
        <v>37.25</v>
      </c>
      <c r="P211">
        <v>13.7691812515259</v>
      </c>
      <c r="Q211" t="s">
        <v>27</v>
      </c>
      <c r="R211">
        <v>34</v>
      </c>
      <c r="S211">
        <v>37.259998321533203</v>
      </c>
      <c r="T211">
        <v>11.6817302703857</v>
      </c>
      <c r="U211" t="s">
        <v>27</v>
      </c>
      <c r="V211" t="s">
        <v>27</v>
      </c>
      <c r="W211">
        <v>1.50492095947266</v>
      </c>
      <c r="X211">
        <v>1.04999995231628</v>
      </c>
      <c r="Y211">
        <v>10.2469139099121</v>
      </c>
      <c r="Z211">
        <v>9.9408283233642596</v>
      </c>
      <c r="AA211">
        <v>20121000</v>
      </c>
      <c r="AB211" t="s">
        <v>27</v>
      </c>
      <c r="AC211" t="s">
        <v>27</v>
      </c>
      <c r="AD211">
        <v>0.62000000476837203</v>
      </c>
      <c r="AE211" t="s">
        <v>27</v>
      </c>
      <c r="AF211" t="s">
        <v>27</v>
      </c>
      <c r="AG211">
        <v>20273000</v>
      </c>
      <c r="AH211">
        <v>7.5292940139770499</v>
      </c>
      <c r="AI211">
        <v>-9.6346996724605602E-2</v>
      </c>
    </row>
    <row r="212" spans="1:35">
      <c r="A212">
        <f t="shared" si="24"/>
        <v>0</v>
      </c>
      <c r="B212">
        <f t="shared" si="25"/>
        <v>1</v>
      </c>
      <c r="C212">
        <f t="shared" si="26"/>
        <v>0</v>
      </c>
      <c r="D212">
        <f t="shared" si="27"/>
        <v>0</v>
      </c>
      <c r="E212">
        <f t="shared" si="28"/>
        <v>0</v>
      </c>
      <c r="F212">
        <f t="shared" si="29"/>
        <v>0</v>
      </c>
      <c r="G212">
        <f t="shared" si="30"/>
        <v>1</v>
      </c>
      <c r="H212">
        <v>0</v>
      </c>
      <c r="I212">
        <f t="shared" si="31"/>
        <v>0</v>
      </c>
      <c r="J212">
        <v>0</v>
      </c>
      <c r="K212" t="s">
        <v>1060</v>
      </c>
      <c r="L212" t="s">
        <v>1061</v>
      </c>
      <c r="M212" t="s">
        <v>27</v>
      </c>
      <c r="N212" t="s">
        <v>27</v>
      </c>
      <c r="O212">
        <v>0.36</v>
      </c>
      <c r="P212" t="s">
        <v>27</v>
      </c>
      <c r="Q212" t="s">
        <v>27</v>
      </c>
      <c r="R212">
        <v>9.2100000381469709</v>
      </c>
      <c r="S212">
        <v>8.3125</v>
      </c>
      <c r="T212">
        <v>3.9926509857177699</v>
      </c>
      <c r="U212">
        <v>-3301.94165039063</v>
      </c>
      <c r="V212">
        <v>-18534000</v>
      </c>
      <c r="W212">
        <v>-153.39537048339801</v>
      </c>
      <c r="X212" t="s">
        <v>27</v>
      </c>
      <c r="Y212" t="s">
        <v>27</v>
      </c>
      <c r="Z212" t="s">
        <v>27</v>
      </c>
      <c r="AA212">
        <v>29874000</v>
      </c>
      <c r="AB212" t="s">
        <v>27</v>
      </c>
      <c r="AC212" t="s">
        <v>27</v>
      </c>
      <c r="AD212">
        <v>-0.5</v>
      </c>
      <c r="AE212">
        <v>-477.48342895507801</v>
      </c>
      <c r="AF212" t="s">
        <v>27</v>
      </c>
      <c r="AG212">
        <v>30552430</v>
      </c>
      <c r="AH212">
        <v>5.2388110160827601</v>
      </c>
      <c r="AI212">
        <v>-47.095363616943402</v>
      </c>
    </row>
    <row r="213" spans="1:35">
      <c r="A213">
        <f t="shared" si="24"/>
        <v>0</v>
      </c>
      <c r="B213">
        <f t="shared" si="25"/>
        <v>1</v>
      </c>
      <c r="C213">
        <f t="shared" si="26"/>
        <v>1</v>
      </c>
      <c r="D213">
        <f t="shared" si="27"/>
        <v>0</v>
      </c>
      <c r="E213">
        <f t="shared" si="28"/>
        <v>0</v>
      </c>
      <c r="F213">
        <f t="shared" si="29"/>
        <v>1</v>
      </c>
      <c r="G213">
        <f t="shared" si="30"/>
        <v>0</v>
      </c>
      <c r="H213">
        <v>0</v>
      </c>
      <c r="I213">
        <f t="shared" si="31"/>
        <v>0</v>
      </c>
      <c r="J213">
        <v>0</v>
      </c>
      <c r="K213" t="s">
        <v>1062</v>
      </c>
      <c r="L213" t="s">
        <v>1063</v>
      </c>
      <c r="M213" t="s">
        <v>27</v>
      </c>
      <c r="N213" t="s">
        <v>27</v>
      </c>
      <c r="O213">
        <v>24.39</v>
      </c>
      <c r="P213">
        <v>5.9590291976928702</v>
      </c>
      <c r="Q213" t="s">
        <v>27</v>
      </c>
      <c r="R213">
        <v>29.100000381469702</v>
      </c>
      <c r="S213">
        <v>22</v>
      </c>
      <c r="T213">
        <v>22.352420806884801</v>
      </c>
      <c r="U213">
        <v>21.253688812255898</v>
      </c>
      <c r="V213">
        <v>1675000.25</v>
      </c>
      <c r="W213">
        <v>3.9677491188049299</v>
      </c>
      <c r="X213">
        <v>0.56000000238418601</v>
      </c>
      <c r="Y213">
        <v>1.5940959453582799</v>
      </c>
      <c r="Z213">
        <v>-1.0276679992675799</v>
      </c>
      <c r="AA213">
        <v>11997000</v>
      </c>
      <c r="AB213" t="s">
        <v>52</v>
      </c>
      <c r="AC213" t="s">
        <v>1064</v>
      </c>
      <c r="AD213">
        <v>-5.0000000745058101E-2</v>
      </c>
      <c r="AE213">
        <v>13.325476646423301</v>
      </c>
      <c r="AF213">
        <v>12.938794575525099</v>
      </c>
      <c r="AG213">
        <v>11888000</v>
      </c>
      <c r="AH213">
        <v>24.632038116455099</v>
      </c>
      <c r="AI213">
        <v>4.5150341987609899</v>
      </c>
    </row>
    <row r="214" spans="1:35">
      <c r="A214">
        <f t="shared" si="24"/>
        <v>1</v>
      </c>
      <c r="B214">
        <f t="shared" si="25"/>
        <v>1</v>
      </c>
      <c r="C214">
        <f t="shared" si="26"/>
        <v>0</v>
      </c>
      <c r="D214">
        <f t="shared" si="27"/>
        <v>0</v>
      </c>
      <c r="E214">
        <f t="shared" si="28"/>
        <v>0</v>
      </c>
      <c r="F214">
        <f t="shared" si="29"/>
        <v>1</v>
      </c>
      <c r="G214">
        <f t="shared" si="30"/>
        <v>0</v>
      </c>
      <c r="H214">
        <v>0</v>
      </c>
      <c r="I214">
        <f t="shared" si="31"/>
        <v>1</v>
      </c>
      <c r="J214">
        <v>0</v>
      </c>
      <c r="K214" t="s">
        <v>1067</v>
      </c>
      <c r="L214" t="s">
        <v>1068</v>
      </c>
      <c r="M214" t="s">
        <v>27</v>
      </c>
      <c r="N214" t="s">
        <v>27</v>
      </c>
      <c r="O214">
        <v>11</v>
      </c>
      <c r="P214">
        <v>25.356273651123001</v>
      </c>
      <c r="Q214" t="s">
        <v>27</v>
      </c>
      <c r="R214">
        <v>6.6500000953674299</v>
      </c>
      <c r="S214">
        <v>9.6700000762939506</v>
      </c>
      <c r="T214">
        <v>47.362770080566399</v>
      </c>
      <c r="U214">
        <v>54.318660736083999</v>
      </c>
      <c r="V214">
        <v>-47415000</v>
      </c>
      <c r="W214">
        <v>1.98270404338837</v>
      </c>
      <c r="X214">
        <v>0.41999998688697798</v>
      </c>
      <c r="Y214">
        <v>15.1428565979004</v>
      </c>
      <c r="Z214">
        <v>22.7985515594482</v>
      </c>
      <c r="AA214">
        <v>45907000</v>
      </c>
      <c r="AB214" t="s">
        <v>328</v>
      </c>
      <c r="AC214" t="s">
        <v>329</v>
      </c>
      <c r="AD214">
        <v>0.270000010728836</v>
      </c>
      <c r="AE214">
        <v>44.722873687744098</v>
      </c>
      <c r="AF214">
        <v>5.3021591241703998</v>
      </c>
      <c r="AG214">
        <v>52821000</v>
      </c>
      <c r="AH214">
        <v>39.524482727050803</v>
      </c>
      <c r="AI214">
        <v>40.067047119140597</v>
      </c>
    </row>
    <row r="215" spans="1:35">
      <c r="A215">
        <f t="shared" si="24"/>
        <v>0</v>
      </c>
      <c r="B215">
        <f t="shared" si="25"/>
        <v>1</v>
      </c>
      <c r="C215">
        <f t="shared" si="26"/>
        <v>1</v>
      </c>
      <c r="D215">
        <f t="shared" si="27"/>
        <v>0</v>
      </c>
      <c r="E215">
        <f t="shared" si="28"/>
        <v>0</v>
      </c>
      <c r="F215">
        <f t="shared" si="29"/>
        <v>1</v>
      </c>
      <c r="G215">
        <f t="shared" si="30"/>
        <v>0</v>
      </c>
      <c r="H215">
        <v>0</v>
      </c>
      <c r="I215">
        <f t="shared" si="31"/>
        <v>0</v>
      </c>
      <c r="J215">
        <v>0</v>
      </c>
      <c r="K215" t="s">
        <v>1069</v>
      </c>
      <c r="L215" t="s">
        <v>1070</v>
      </c>
      <c r="M215" t="s">
        <v>27</v>
      </c>
      <c r="N215" t="s">
        <v>27</v>
      </c>
      <c r="O215">
        <v>7.45</v>
      </c>
      <c r="P215">
        <v>23.046628952026399</v>
      </c>
      <c r="Q215" t="s">
        <v>27</v>
      </c>
      <c r="R215">
        <v>11.930000305175801</v>
      </c>
      <c r="S215">
        <v>18.75</v>
      </c>
      <c r="T215">
        <v>0</v>
      </c>
      <c r="U215">
        <v>59.780845642089801</v>
      </c>
      <c r="V215">
        <v>8986000</v>
      </c>
      <c r="W215">
        <v>18.726610183715799</v>
      </c>
      <c r="X215">
        <v>0.20999999344348899</v>
      </c>
      <c r="Y215">
        <v>2.6107230186462398</v>
      </c>
      <c r="Z215">
        <v>4.0302271842956499</v>
      </c>
      <c r="AA215">
        <v>39902000</v>
      </c>
      <c r="AB215" t="s">
        <v>27</v>
      </c>
      <c r="AC215" t="s">
        <v>27</v>
      </c>
      <c r="AD215">
        <v>5.9999998658895499E-2</v>
      </c>
      <c r="AE215">
        <v>49.933517456054702</v>
      </c>
      <c r="AF215">
        <v>5.9960098554700396</v>
      </c>
      <c r="AG215">
        <v>39379000</v>
      </c>
      <c r="AH215">
        <v>0</v>
      </c>
      <c r="AI215">
        <v>20.3650417327881</v>
      </c>
    </row>
    <row r="216" spans="1:35">
      <c r="A216">
        <f t="shared" si="24"/>
        <v>1</v>
      </c>
      <c r="B216">
        <f t="shared" si="25"/>
        <v>1</v>
      </c>
      <c r="C216">
        <f t="shared" si="26"/>
        <v>0</v>
      </c>
      <c r="D216">
        <f t="shared" si="27"/>
        <v>1</v>
      </c>
      <c r="E216">
        <f t="shared" si="28"/>
        <v>0</v>
      </c>
      <c r="F216">
        <f t="shared" si="29"/>
        <v>0</v>
      </c>
      <c r="G216">
        <f t="shared" si="30"/>
        <v>0</v>
      </c>
      <c r="H216">
        <v>0</v>
      </c>
      <c r="I216">
        <f t="shared" si="31"/>
        <v>0</v>
      </c>
      <c r="J216">
        <v>0</v>
      </c>
      <c r="K216" t="s">
        <v>1073</v>
      </c>
      <c r="L216" t="s">
        <v>1074</v>
      </c>
      <c r="M216" t="s">
        <v>27</v>
      </c>
      <c r="N216" t="s">
        <v>27</v>
      </c>
      <c r="O216">
        <v>2.08</v>
      </c>
      <c r="P216" t="s">
        <v>27</v>
      </c>
      <c r="Q216" t="s">
        <v>27</v>
      </c>
      <c r="R216">
        <v>8.8999996185302699</v>
      </c>
      <c r="S216">
        <v>9</v>
      </c>
      <c r="T216">
        <v>2.13051509857178</v>
      </c>
      <c r="U216" t="s">
        <v>27</v>
      </c>
      <c r="V216">
        <v>-10408000</v>
      </c>
      <c r="W216">
        <v>-40.430549621582003</v>
      </c>
      <c r="X216">
        <v>-0.230000004172325</v>
      </c>
      <c r="Y216" t="s">
        <v>27</v>
      </c>
      <c r="Z216">
        <v>-15.072934150695801</v>
      </c>
      <c r="AA216">
        <v>44640000</v>
      </c>
      <c r="AB216" t="s">
        <v>27</v>
      </c>
      <c r="AC216" t="s">
        <v>27</v>
      </c>
      <c r="AD216">
        <v>-0.20000000298023199</v>
      </c>
      <c r="AE216" t="s">
        <v>27</v>
      </c>
      <c r="AF216" t="s">
        <v>27</v>
      </c>
      <c r="AG216">
        <v>45173000</v>
      </c>
      <c r="AH216">
        <v>1.50761902332306</v>
      </c>
      <c r="AI216">
        <v>-18.973207473754901</v>
      </c>
    </row>
    <row r="217" spans="1:35">
      <c r="A217">
        <f t="shared" si="24"/>
        <v>1</v>
      </c>
      <c r="B217">
        <f t="shared" si="25"/>
        <v>1</v>
      </c>
      <c r="C217">
        <f t="shared" si="26"/>
        <v>1</v>
      </c>
      <c r="D217">
        <f t="shared" si="27"/>
        <v>1</v>
      </c>
      <c r="E217">
        <f t="shared" si="28"/>
        <v>0</v>
      </c>
      <c r="F217">
        <f t="shared" si="29"/>
        <v>0</v>
      </c>
      <c r="G217">
        <f t="shared" si="30"/>
        <v>1</v>
      </c>
      <c r="H217">
        <v>0</v>
      </c>
      <c r="I217">
        <f t="shared" si="31"/>
        <v>0</v>
      </c>
      <c r="J217">
        <v>0</v>
      </c>
      <c r="K217" t="s">
        <v>1075</v>
      </c>
      <c r="L217" t="s">
        <v>1076</v>
      </c>
      <c r="M217" t="s">
        <v>27</v>
      </c>
      <c r="N217" t="s">
        <v>27</v>
      </c>
      <c r="O217">
        <v>11.46</v>
      </c>
      <c r="P217" t="s">
        <v>27</v>
      </c>
      <c r="Q217" t="s">
        <v>27</v>
      </c>
      <c r="R217">
        <v>24.639999389648398</v>
      </c>
      <c r="S217">
        <v>38.3125</v>
      </c>
      <c r="T217">
        <v>2.85217189788818</v>
      </c>
      <c r="U217">
        <v>59.397659301757798</v>
      </c>
      <c r="V217">
        <v>1281000</v>
      </c>
      <c r="W217">
        <v>-21.182289123535199</v>
      </c>
      <c r="X217">
        <v>-0.119999997317791</v>
      </c>
      <c r="Y217">
        <v>-1.3333330154418901</v>
      </c>
      <c r="Z217">
        <v>-1.12000000476837</v>
      </c>
      <c r="AA217">
        <v>16513000</v>
      </c>
      <c r="AB217" t="s">
        <v>27</v>
      </c>
      <c r="AC217" t="s">
        <v>27</v>
      </c>
      <c r="AD217">
        <v>-2.9999999329447701E-2</v>
      </c>
      <c r="AE217">
        <v>70.901557922363295</v>
      </c>
      <c r="AF217" t="s">
        <v>27</v>
      </c>
      <c r="AG217">
        <v>16839000</v>
      </c>
      <c r="AH217">
        <v>2.0260961055755602</v>
      </c>
      <c r="AI217">
        <v>-15.4346265792847</v>
      </c>
    </row>
    <row r="218" spans="1:35">
      <c r="A218">
        <f t="shared" si="24"/>
        <v>1</v>
      </c>
      <c r="B218">
        <f t="shared" si="25"/>
        <v>0</v>
      </c>
      <c r="C218">
        <f t="shared" si="26"/>
        <v>0</v>
      </c>
      <c r="D218">
        <f t="shared" si="27"/>
        <v>0</v>
      </c>
      <c r="E218">
        <f t="shared" si="28"/>
        <v>0</v>
      </c>
      <c r="F218">
        <f t="shared" si="29"/>
        <v>0</v>
      </c>
      <c r="G218">
        <f t="shared" si="30"/>
        <v>0</v>
      </c>
      <c r="H218">
        <v>0</v>
      </c>
      <c r="I218">
        <f t="shared" si="31"/>
        <v>0</v>
      </c>
      <c r="J218">
        <v>0</v>
      </c>
      <c r="K218" t="s">
        <v>1077</v>
      </c>
      <c r="L218" t="s">
        <v>1078</v>
      </c>
      <c r="M218" t="s">
        <v>27</v>
      </c>
      <c r="N218" t="s">
        <v>27</v>
      </c>
      <c r="O218">
        <v>11.88</v>
      </c>
      <c r="P218" t="s">
        <v>27</v>
      </c>
      <c r="Q218" t="s">
        <v>27</v>
      </c>
      <c r="R218">
        <v>19.549999237060501</v>
      </c>
      <c r="S218">
        <v>14.3125</v>
      </c>
      <c r="T218">
        <v>0.45309400558471702</v>
      </c>
      <c r="U218" t="s">
        <v>27</v>
      </c>
      <c r="V218">
        <v>-3969000</v>
      </c>
      <c r="W218" t="s">
        <v>27</v>
      </c>
      <c r="X218" t="s">
        <v>27</v>
      </c>
      <c r="Y218" t="s">
        <v>27</v>
      </c>
      <c r="Z218" t="s">
        <v>27</v>
      </c>
      <c r="AA218" t="s">
        <v>27</v>
      </c>
      <c r="AB218" t="s">
        <v>27</v>
      </c>
      <c r="AC218" t="s">
        <v>27</v>
      </c>
      <c r="AD218">
        <v>-0.18999999761581399</v>
      </c>
      <c r="AE218">
        <v>54.685680389404297</v>
      </c>
      <c r="AF218" t="s">
        <v>27</v>
      </c>
      <c r="AG218">
        <v>16295000</v>
      </c>
      <c r="AH218">
        <v>2.1056000143289601E-2</v>
      </c>
      <c r="AI218">
        <v>-75.268150329589801</v>
      </c>
    </row>
    <row r="219" spans="1:35">
      <c r="A219">
        <f t="shared" si="24"/>
        <v>0</v>
      </c>
      <c r="B219">
        <f t="shared" si="25"/>
        <v>1</v>
      </c>
      <c r="C219">
        <f t="shared" si="26"/>
        <v>0</v>
      </c>
      <c r="D219">
        <f t="shared" si="27"/>
        <v>1</v>
      </c>
      <c r="E219">
        <f t="shared" si="28"/>
        <v>0</v>
      </c>
      <c r="F219">
        <f t="shared" si="29"/>
        <v>0</v>
      </c>
      <c r="G219">
        <f t="shared" si="30"/>
        <v>1</v>
      </c>
      <c r="H219">
        <v>0</v>
      </c>
      <c r="I219">
        <f t="shared" si="31"/>
        <v>0</v>
      </c>
      <c r="J219">
        <v>0</v>
      </c>
      <c r="K219" t="s">
        <v>1079</v>
      </c>
      <c r="L219" t="s">
        <v>1080</v>
      </c>
      <c r="M219" t="s">
        <v>27</v>
      </c>
      <c r="N219" t="s">
        <v>27</v>
      </c>
      <c r="O219">
        <v>10.9</v>
      </c>
      <c r="P219" t="s">
        <v>27</v>
      </c>
      <c r="Q219" t="s">
        <v>27</v>
      </c>
      <c r="R219">
        <v>23.440000534057599</v>
      </c>
      <c r="S219">
        <v>17.75</v>
      </c>
      <c r="T219">
        <v>1.32873499393463</v>
      </c>
      <c r="U219">
        <v>39.926807403564503</v>
      </c>
      <c r="V219">
        <v>-566000</v>
      </c>
      <c r="W219">
        <v>-32.300453186035199</v>
      </c>
      <c r="X219">
        <v>-0.52999997138977095</v>
      </c>
      <c r="Y219" t="s">
        <v>27</v>
      </c>
      <c r="Z219">
        <v>-4.3478260040283203</v>
      </c>
      <c r="AA219">
        <v>28943000</v>
      </c>
      <c r="AB219" t="s">
        <v>27</v>
      </c>
      <c r="AC219" t="s">
        <v>27</v>
      </c>
      <c r="AD219">
        <v>-0.34000000357627902</v>
      </c>
      <c r="AE219">
        <v>43.618499755859403</v>
      </c>
      <c r="AF219">
        <v>15.0797605115417</v>
      </c>
      <c r="AG219">
        <v>29429000</v>
      </c>
      <c r="AH219">
        <v>4.0730347633361799</v>
      </c>
      <c r="AI219">
        <v>-31.113208770751999</v>
      </c>
    </row>
    <row r="220" spans="1:35">
      <c r="A220">
        <f t="shared" si="24"/>
        <v>0</v>
      </c>
      <c r="B220">
        <f t="shared" si="25"/>
        <v>0</v>
      </c>
      <c r="C220">
        <f t="shared" si="26"/>
        <v>1</v>
      </c>
      <c r="D220">
        <f t="shared" si="27"/>
        <v>1</v>
      </c>
      <c r="E220">
        <f t="shared" si="28"/>
        <v>1</v>
      </c>
      <c r="F220">
        <f t="shared" si="29"/>
        <v>0</v>
      </c>
      <c r="G220">
        <f t="shared" si="30"/>
        <v>1</v>
      </c>
      <c r="H220">
        <v>0</v>
      </c>
      <c r="I220">
        <f t="shared" si="31"/>
        <v>0</v>
      </c>
      <c r="J220">
        <v>0</v>
      </c>
      <c r="K220" t="s">
        <v>1081</v>
      </c>
      <c r="L220" t="s">
        <v>1082</v>
      </c>
      <c r="M220" t="s">
        <v>27</v>
      </c>
      <c r="N220" t="s">
        <v>27</v>
      </c>
      <c r="O220">
        <v>12.29</v>
      </c>
      <c r="P220" t="s">
        <v>27</v>
      </c>
      <c r="Q220" t="s">
        <v>27</v>
      </c>
      <c r="R220">
        <v>18.860000610351602</v>
      </c>
      <c r="S220">
        <v>8.1875</v>
      </c>
      <c r="T220" t="s">
        <v>27</v>
      </c>
      <c r="U220">
        <v>72.981307983398395</v>
      </c>
      <c r="V220" t="s">
        <v>27</v>
      </c>
      <c r="W220">
        <v>-33.024421691894503</v>
      </c>
      <c r="X220">
        <v>-0.239999994635582</v>
      </c>
      <c r="Y220">
        <v>-50.526313781738303</v>
      </c>
      <c r="Z220" t="s">
        <v>27</v>
      </c>
      <c r="AA220" t="s">
        <v>27</v>
      </c>
      <c r="AB220" t="s">
        <v>38</v>
      </c>
      <c r="AC220" t="s">
        <v>157</v>
      </c>
      <c r="AD220" t="s">
        <v>27</v>
      </c>
      <c r="AE220" t="s">
        <v>27</v>
      </c>
      <c r="AF220">
        <v>22.0139949459249</v>
      </c>
      <c r="AG220" t="s">
        <v>27</v>
      </c>
      <c r="AH220" t="s">
        <v>27</v>
      </c>
      <c r="AI220">
        <v>-48.696544647216797</v>
      </c>
    </row>
    <row r="221" spans="1:35">
      <c r="A221">
        <f t="shared" si="24"/>
        <v>0</v>
      </c>
      <c r="B221">
        <f t="shared" si="25"/>
        <v>1</v>
      </c>
      <c r="C221">
        <f t="shared" si="26"/>
        <v>1</v>
      </c>
      <c r="D221">
        <f t="shared" si="27"/>
        <v>0</v>
      </c>
      <c r="E221">
        <f t="shared" si="28"/>
        <v>0</v>
      </c>
      <c r="F221">
        <f t="shared" si="29"/>
        <v>0</v>
      </c>
      <c r="G221">
        <f t="shared" si="30"/>
        <v>0</v>
      </c>
      <c r="H221">
        <v>0</v>
      </c>
      <c r="I221">
        <f t="shared" si="31"/>
        <v>0</v>
      </c>
      <c r="J221">
        <v>0</v>
      </c>
      <c r="K221" t="s">
        <v>1083</v>
      </c>
      <c r="L221" t="s">
        <v>1084</v>
      </c>
      <c r="M221" t="s">
        <v>27</v>
      </c>
      <c r="N221" t="s">
        <v>27</v>
      </c>
      <c r="O221">
        <v>4.05</v>
      </c>
      <c r="P221" t="s">
        <v>27</v>
      </c>
      <c r="Q221" t="s">
        <v>27</v>
      </c>
      <c r="R221">
        <v>4.5100002288818404</v>
      </c>
      <c r="S221">
        <v>8.625</v>
      </c>
      <c r="T221">
        <v>0.60844397544860795</v>
      </c>
      <c r="U221">
        <v>44.021713256835902</v>
      </c>
      <c r="V221">
        <v>4998000</v>
      </c>
      <c r="W221">
        <v>-23.840030670166001</v>
      </c>
      <c r="X221">
        <v>-9.00000035762787E-2</v>
      </c>
      <c r="Y221" t="s">
        <v>27</v>
      </c>
      <c r="Z221">
        <v>-9.1304349899291992</v>
      </c>
      <c r="AA221">
        <v>57596000</v>
      </c>
      <c r="AB221" t="s">
        <v>27</v>
      </c>
      <c r="AC221" t="s">
        <v>27</v>
      </c>
      <c r="AD221">
        <v>-0.769999980926514</v>
      </c>
      <c r="AE221">
        <v>16.9729118347168</v>
      </c>
      <c r="AF221">
        <v>10.7235077509495</v>
      </c>
      <c r="AG221">
        <v>60020000</v>
      </c>
      <c r="AH221">
        <v>0.83035999536514304</v>
      </c>
      <c r="AI221">
        <v>-7.9453477859497097</v>
      </c>
    </row>
    <row r="222" spans="1:35">
      <c r="A222">
        <f t="shared" si="24"/>
        <v>1</v>
      </c>
      <c r="B222">
        <f t="shared" si="25"/>
        <v>0</v>
      </c>
      <c r="C222">
        <f t="shared" si="26"/>
        <v>0</v>
      </c>
      <c r="D222">
        <f t="shared" si="27"/>
        <v>1</v>
      </c>
      <c r="E222">
        <f t="shared" si="28"/>
        <v>0</v>
      </c>
      <c r="F222">
        <f t="shared" si="29"/>
        <v>1</v>
      </c>
      <c r="G222">
        <f t="shared" si="30"/>
        <v>1</v>
      </c>
      <c r="H222">
        <v>0</v>
      </c>
      <c r="I222">
        <f t="shared" si="31"/>
        <v>0</v>
      </c>
      <c r="J222">
        <v>0</v>
      </c>
      <c r="K222" t="s">
        <v>1087</v>
      </c>
      <c r="L222" t="s">
        <v>1088</v>
      </c>
      <c r="M222" t="s">
        <v>27</v>
      </c>
      <c r="N222" t="s">
        <v>27</v>
      </c>
      <c r="O222">
        <v>21.29</v>
      </c>
      <c r="P222">
        <v>9.9522037506103498</v>
      </c>
      <c r="Q222" t="s">
        <v>27</v>
      </c>
      <c r="R222">
        <v>28.75</v>
      </c>
      <c r="S222">
        <v>23.5</v>
      </c>
      <c r="T222">
        <v>40.912345886230497</v>
      </c>
      <c r="U222">
        <v>43.726085662841797</v>
      </c>
      <c r="V222">
        <v>-13686001</v>
      </c>
      <c r="W222">
        <v>6.6490669250488299</v>
      </c>
      <c r="X222">
        <v>0.5</v>
      </c>
      <c r="Y222">
        <v>8.9411773681640607</v>
      </c>
      <c r="Z222">
        <v>7.1374049186706499</v>
      </c>
      <c r="AA222">
        <v>20008000</v>
      </c>
      <c r="AB222" t="s">
        <v>30</v>
      </c>
      <c r="AC222" t="s">
        <v>223</v>
      </c>
      <c r="AD222">
        <v>0.54000002145767201</v>
      </c>
      <c r="AE222">
        <v>44.248790740966797</v>
      </c>
      <c r="AF222">
        <v>6.8053201572150499</v>
      </c>
      <c r="AG222">
        <v>20692000</v>
      </c>
      <c r="AH222">
        <v>38.113124847412102</v>
      </c>
      <c r="AI222">
        <v>6.5282740592956499</v>
      </c>
    </row>
    <row r="223" spans="1:35">
      <c r="A223">
        <f t="shared" si="24"/>
        <v>1</v>
      </c>
      <c r="B223">
        <f t="shared" si="25"/>
        <v>1</v>
      </c>
      <c r="C223">
        <f t="shared" si="26"/>
        <v>0</v>
      </c>
      <c r="D223">
        <f t="shared" si="27"/>
        <v>0</v>
      </c>
      <c r="E223">
        <f t="shared" si="28"/>
        <v>0</v>
      </c>
      <c r="F223">
        <f t="shared" si="29"/>
        <v>1</v>
      </c>
      <c r="G223">
        <f t="shared" si="30"/>
        <v>0</v>
      </c>
      <c r="H223">
        <v>0</v>
      </c>
      <c r="I223">
        <f t="shared" si="31"/>
        <v>0</v>
      </c>
      <c r="J223">
        <v>0</v>
      </c>
      <c r="K223" t="s">
        <v>1091</v>
      </c>
      <c r="L223" t="s">
        <v>1092</v>
      </c>
      <c r="M223" t="s">
        <v>27</v>
      </c>
      <c r="N223" t="s">
        <v>27</v>
      </c>
      <c r="O223">
        <v>3.14</v>
      </c>
      <c r="P223" t="s">
        <v>27</v>
      </c>
      <c r="Q223" t="s">
        <v>27</v>
      </c>
      <c r="R223">
        <v>7.1399998664856001</v>
      </c>
      <c r="S223">
        <v>15</v>
      </c>
      <c r="T223" t="s">
        <v>27</v>
      </c>
      <c r="U223" t="s">
        <v>27</v>
      </c>
      <c r="V223">
        <v>-1987387</v>
      </c>
      <c r="W223">
        <v>-66.666664123535199</v>
      </c>
      <c r="X223" t="s">
        <v>27</v>
      </c>
      <c r="Y223" t="s">
        <v>27</v>
      </c>
      <c r="Z223" t="s">
        <v>27</v>
      </c>
      <c r="AA223" t="s">
        <v>27</v>
      </c>
      <c r="AB223" t="s">
        <v>27</v>
      </c>
      <c r="AC223" t="s">
        <v>27</v>
      </c>
      <c r="AD223">
        <v>-1.9999999552965199E-2</v>
      </c>
      <c r="AE223">
        <v>-15.3374176025391</v>
      </c>
      <c r="AF223" t="s">
        <v>27</v>
      </c>
      <c r="AG223">
        <v>33088002</v>
      </c>
      <c r="AH223">
        <v>0</v>
      </c>
      <c r="AI223" t="s">
        <v>27</v>
      </c>
    </row>
    <row r="224" spans="1:35">
      <c r="A224">
        <f t="shared" si="24"/>
        <v>0</v>
      </c>
      <c r="B224">
        <f t="shared" si="25"/>
        <v>0</v>
      </c>
      <c r="C224">
        <f t="shared" si="26"/>
        <v>1</v>
      </c>
      <c r="D224">
        <f t="shared" si="27"/>
        <v>0</v>
      </c>
      <c r="E224">
        <f t="shared" si="28"/>
        <v>1</v>
      </c>
      <c r="F224">
        <f t="shared" si="29"/>
        <v>1</v>
      </c>
      <c r="G224">
        <f t="shared" si="30"/>
        <v>0</v>
      </c>
      <c r="H224">
        <v>0</v>
      </c>
      <c r="I224">
        <f t="shared" si="31"/>
        <v>0</v>
      </c>
      <c r="J224">
        <v>0</v>
      </c>
      <c r="K224" t="s">
        <v>1093</v>
      </c>
      <c r="L224" t="s">
        <v>1094</v>
      </c>
      <c r="M224" t="s">
        <v>27</v>
      </c>
      <c r="N224" t="s">
        <v>27</v>
      </c>
      <c r="O224">
        <v>3.99</v>
      </c>
      <c r="P224" t="s">
        <v>27</v>
      </c>
      <c r="Q224" t="s">
        <v>27</v>
      </c>
      <c r="R224">
        <v>13</v>
      </c>
      <c r="S224" t="s">
        <v>27</v>
      </c>
      <c r="T224" t="s">
        <v>27</v>
      </c>
      <c r="U224" t="s">
        <v>27</v>
      </c>
      <c r="V224" t="s">
        <v>27</v>
      </c>
      <c r="W224" t="s">
        <v>27</v>
      </c>
      <c r="X224" t="s">
        <v>27</v>
      </c>
      <c r="Y224" t="s">
        <v>27</v>
      </c>
      <c r="Z224" t="s">
        <v>27</v>
      </c>
      <c r="AA224" t="s">
        <v>27</v>
      </c>
      <c r="AB224" t="s">
        <v>27</v>
      </c>
      <c r="AC224" t="s">
        <v>27</v>
      </c>
      <c r="AD224" t="s">
        <v>27</v>
      </c>
      <c r="AE224" t="s">
        <v>27</v>
      </c>
      <c r="AF224" t="s">
        <v>27</v>
      </c>
      <c r="AG224" t="s">
        <v>27</v>
      </c>
      <c r="AH224" t="s">
        <v>27</v>
      </c>
      <c r="AI224">
        <v>4.2099161148071298</v>
      </c>
    </row>
    <row r="225" spans="1:35">
      <c r="A225">
        <f t="shared" si="24"/>
        <v>1</v>
      </c>
      <c r="B225">
        <f t="shared" si="25"/>
        <v>1</v>
      </c>
      <c r="C225">
        <f t="shared" si="26"/>
        <v>0</v>
      </c>
      <c r="D225">
        <f t="shared" si="27"/>
        <v>0</v>
      </c>
      <c r="E225">
        <f t="shared" si="28"/>
        <v>0</v>
      </c>
      <c r="F225">
        <f t="shared" si="29"/>
        <v>1</v>
      </c>
      <c r="G225">
        <f t="shared" si="30"/>
        <v>0</v>
      </c>
      <c r="H225">
        <v>0</v>
      </c>
      <c r="I225">
        <f t="shared" si="31"/>
        <v>0</v>
      </c>
      <c r="J225">
        <v>0</v>
      </c>
      <c r="K225" t="s">
        <v>1097</v>
      </c>
      <c r="L225" t="s">
        <v>1098</v>
      </c>
      <c r="M225" t="s">
        <v>27</v>
      </c>
      <c r="N225" t="s">
        <v>27</v>
      </c>
      <c r="O225">
        <v>14.77</v>
      </c>
      <c r="P225">
        <v>1.4974340200424201</v>
      </c>
      <c r="Q225" t="s">
        <v>27</v>
      </c>
      <c r="R225">
        <v>20.2299995422363</v>
      </c>
      <c r="S225">
        <v>43.25</v>
      </c>
      <c r="T225">
        <v>6.20080009102821E-2</v>
      </c>
      <c r="U225">
        <v>76.952232360839801</v>
      </c>
      <c r="V225">
        <v>-5818000</v>
      </c>
      <c r="W225">
        <v>-5.1035790443420401</v>
      </c>
      <c r="X225">
        <v>7.0000000298023196E-2</v>
      </c>
      <c r="Y225">
        <v>0.29561200737953203</v>
      </c>
      <c r="Z225">
        <v>-8.4249086380004901</v>
      </c>
      <c r="AA225">
        <v>36428000</v>
      </c>
      <c r="AB225" t="s">
        <v>27</v>
      </c>
      <c r="AC225" t="s">
        <v>27</v>
      </c>
      <c r="AD225">
        <v>-0.20000000298023199</v>
      </c>
      <c r="AE225">
        <v>70.374206542968807</v>
      </c>
      <c r="AF225">
        <v>39.1538491443563</v>
      </c>
      <c r="AG225">
        <v>38279000</v>
      </c>
      <c r="AH225">
        <v>2.2580999881029101E-2</v>
      </c>
      <c r="AI225">
        <v>4.5108938217163104</v>
      </c>
    </row>
    <row r="226" spans="1:35">
      <c r="A226">
        <f t="shared" si="24"/>
        <v>0</v>
      </c>
      <c r="B226">
        <f t="shared" si="25"/>
        <v>0</v>
      </c>
      <c r="C226">
        <f t="shared" si="26"/>
        <v>0</v>
      </c>
      <c r="D226">
        <f t="shared" si="27"/>
        <v>0</v>
      </c>
      <c r="E226">
        <f t="shared" si="28"/>
        <v>0</v>
      </c>
      <c r="F226">
        <f t="shared" si="29"/>
        <v>0</v>
      </c>
      <c r="G226">
        <f t="shared" si="30"/>
        <v>0</v>
      </c>
      <c r="H226">
        <v>0</v>
      </c>
      <c r="I226">
        <f t="shared" si="31"/>
        <v>0</v>
      </c>
      <c r="J226">
        <v>0</v>
      </c>
      <c r="K226" t="s">
        <v>1105</v>
      </c>
      <c r="L226" t="s">
        <v>1106</v>
      </c>
      <c r="M226" t="s">
        <v>27</v>
      </c>
      <c r="N226" t="s">
        <v>27</v>
      </c>
      <c r="O226">
        <v>6.31</v>
      </c>
      <c r="P226" t="s">
        <v>27</v>
      </c>
      <c r="Q226" t="s">
        <v>27</v>
      </c>
      <c r="R226">
        <v>11.289999961853001</v>
      </c>
      <c r="S226">
        <v>15.375</v>
      </c>
      <c r="T226">
        <v>18.592634201049801</v>
      </c>
      <c r="U226">
        <v>57.670768737792997</v>
      </c>
      <c r="V226">
        <v>-22252000</v>
      </c>
      <c r="W226">
        <v>-11.2796125411987</v>
      </c>
      <c r="X226">
        <v>-9.00000035762787E-2</v>
      </c>
      <c r="Y226">
        <v>-0.4375</v>
      </c>
      <c r="Z226">
        <v>-4.2105259895324698</v>
      </c>
      <c r="AA226">
        <v>123027000</v>
      </c>
      <c r="AB226" t="s">
        <v>27</v>
      </c>
      <c r="AC226" t="s">
        <v>27</v>
      </c>
      <c r="AD226">
        <v>-0.769999980926514</v>
      </c>
      <c r="AE226">
        <v>56.967624664306598</v>
      </c>
      <c r="AF226">
        <v>14.5523306847771</v>
      </c>
      <c r="AG226">
        <v>133727008</v>
      </c>
      <c r="AH226">
        <v>21.086067199706999</v>
      </c>
      <c r="AI226">
        <v>-15.3831224441528</v>
      </c>
    </row>
    <row r="227" spans="1:35">
      <c r="A227">
        <f t="shared" si="24"/>
        <v>0</v>
      </c>
      <c r="B227">
        <f t="shared" si="25"/>
        <v>0</v>
      </c>
      <c r="C227">
        <f t="shared" si="26"/>
        <v>0</v>
      </c>
      <c r="D227">
        <f t="shared" si="27"/>
        <v>0</v>
      </c>
      <c r="E227">
        <f t="shared" si="28"/>
        <v>0</v>
      </c>
      <c r="F227">
        <f t="shared" si="29"/>
        <v>1</v>
      </c>
      <c r="G227">
        <f t="shared" si="30"/>
        <v>1</v>
      </c>
      <c r="H227">
        <v>0</v>
      </c>
      <c r="I227">
        <f t="shared" si="31"/>
        <v>0</v>
      </c>
      <c r="J227">
        <v>0</v>
      </c>
      <c r="K227" t="s">
        <v>1107</v>
      </c>
      <c r="L227" t="s">
        <v>1108</v>
      </c>
      <c r="M227" t="s">
        <v>27</v>
      </c>
      <c r="N227" t="s">
        <v>27</v>
      </c>
      <c r="O227">
        <v>4.43</v>
      </c>
      <c r="P227" t="s">
        <v>27</v>
      </c>
      <c r="Q227" t="s">
        <v>27</v>
      </c>
      <c r="R227">
        <v>6.5105912954953498</v>
      </c>
      <c r="S227">
        <v>5.3706896512500002</v>
      </c>
      <c r="T227">
        <v>14.963849067688001</v>
      </c>
      <c r="U227">
        <v>35.715633392333999</v>
      </c>
      <c r="V227">
        <v>-14641001</v>
      </c>
      <c r="W227">
        <v>15.9523000717163</v>
      </c>
      <c r="X227">
        <v>0.34999999403953602</v>
      </c>
      <c r="Y227">
        <v>4.61395311355591</v>
      </c>
      <c r="Z227" t="s">
        <v>27</v>
      </c>
      <c r="AA227">
        <v>37856000</v>
      </c>
      <c r="AB227" t="s">
        <v>30</v>
      </c>
      <c r="AC227" t="s">
        <v>223</v>
      </c>
      <c r="AD227">
        <v>0.30000001192092901</v>
      </c>
      <c r="AE227">
        <v>47.3517036437988</v>
      </c>
      <c r="AF227" t="s">
        <v>27</v>
      </c>
      <c r="AG227">
        <v>37979000</v>
      </c>
      <c r="AH227">
        <v>28.250812530517599</v>
      </c>
      <c r="AI227">
        <v>10.32581615448</v>
      </c>
    </row>
    <row r="228" spans="1:35">
      <c r="A228">
        <f t="shared" si="24"/>
        <v>1</v>
      </c>
      <c r="B228">
        <f t="shared" si="25"/>
        <v>1</v>
      </c>
      <c r="C228">
        <f t="shared" si="26"/>
        <v>0</v>
      </c>
      <c r="D228">
        <f t="shared" si="27"/>
        <v>1</v>
      </c>
      <c r="E228">
        <f t="shared" si="28"/>
        <v>0</v>
      </c>
      <c r="F228">
        <f t="shared" si="29"/>
        <v>0</v>
      </c>
      <c r="G228">
        <f t="shared" si="30"/>
        <v>1</v>
      </c>
      <c r="H228">
        <v>0</v>
      </c>
      <c r="I228">
        <f t="shared" si="31"/>
        <v>0</v>
      </c>
      <c r="J228">
        <v>0</v>
      </c>
      <c r="K228" t="s">
        <v>1113</v>
      </c>
      <c r="L228" t="s">
        <v>1114</v>
      </c>
      <c r="M228" t="s">
        <v>27</v>
      </c>
      <c r="N228" t="s">
        <v>27</v>
      </c>
      <c r="O228">
        <v>2.33</v>
      </c>
      <c r="P228" t="s">
        <v>27</v>
      </c>
      <c r="Q228" t="s">
        <v>27</v>
      </c>
      <c r="R228">
        <v>3.21000003814697</v>
      </c>
      <c r="S228">
        <v>2.125</v>
      </c>
      <c r="T228">
        <v>1.2626279592514</v>
      </c>
      <c r="U228">
        <v>9.1880617141723597</v>
      </c>
      <c r="V228">
        <v>-11521000</v>
      </c>
      <c r="W228">
        <v>-55.391716003417997</v>
      </c>
      <c r="X228">
        <v>-0.80000001192092896</v>
      </c>
      <c r="Y228">
        <v>-118.292129516602</v>
      </c>
      <c r="Z228">
        <v>-180</v>
      </c>
      <c r="AA228">
        <v>61205000</v>
      </c>
      <c r="AB228" t="s">
        <v>27</v>
      </c>
      <c r="AC228" t="s">
        <v>27</v>
      </c>
      <c r="AD228">
        <v>-0.38999998569488498</v>
      </c>
      <c r="AE228">
        <v>17.087886810302699</v>
      </c>
      <c r="AF228" t="s">
        <v>27</v>
      </c>
      <c r="AG228">
        <v>66586000</v>
      </c>
      <c r="AH228">
        <v>0.81625801324844405</v>
      </c>
      <c r="AI228">
        <v>-45.190349578857401</v>
      </c>
    </row>
    <row r="229" spans="1:35">
      <c r="A229">
        <f t="shared" si="24"/>
        <v>0</v>
      </c>
      <c r="B229">
        <f t="shared" si="25"/>
        <v>0</v>
      </c>
      <c r="C229">
        <f t="shared" si="26"/>
        <v>1</v>
      </c>
      <c r="D229">
        <f t="shared" si="27"/>
        <v>0</v>
      </c>
      <c r="E229">
        <f t="shared" si="28"/>
        <v>1</v>
      </c>
      <c r="F229">
        <f t="shared" si="29"/>
        <v>1</v>
      </c>
      <c r="G229">
        <f t="shared" si="30"/>
        <v>0</v>
      </c>
      <c r="H229">
        <v>0</v>
      </c>
      <c r="I229">
        <f t="shared" si="31"/>
        <v>1</v>
      </c>
      <c r="J229">
        <v>0</v>
      </c>
      <c r="K229" t="s">
        <v>1119</v>
      </c>
      <c r="L229" t="s">
        <v>1120</v>
      </c>
      <c r="M229" t="s">
        <v>27</v>
      </c>
      <c r="N229" t="s">
        <v>27</v>
      </c>
      <c r="O229">
        <v>13.34</v>
      </c>
      <c r="P229" t="s">
        <v>27</v>
      </c>
      <c r="Q229" t="s">
        <v>27</v>
      </c>
      <c r="R229">
        <v>12.069999694824199</v>
      </c>
      <c r="S229">
        <v>12.550000190734901</v>
      </c>
      <c r="T229" t="s">
        <v>27</v>
      </c>
      <c r="U229" t="s">
        <v>27</v>
      </c>
      <c r="V229" t="s">
        <v>27</v>
      </c>
      <c r="W229" t="s">
        <v>27</v>
      </c>
      <c r="X229" t="s">
        <v>27</v>
      </c>
      <c r="Y229" t="s">
        <v>27</v>
      </c>
      <c r="Z229" t="s">
        <v>27</v>
      </c>
      <c r="AA229" t="s">
        <v>27</v>
      </c>
      <c r="AB229" t="s">
        <v>61</v>
      </c>
      <c r="AC229" t="s">
        <v>65</v>
      </c>
      <c r="AD229" t="s">
        <v>27</v>
      </c>
      <c r="AE229" t="s">
        <v>27</v>
      </c>
      <c r="AF229" t="s">
        <v>27</v>
      </c>
      <c r="AG229" t="s">
        <v>27</v>
      </c>
      <c r="AH229" t="s">
        <v>27</v>
      </c>
      <c r="AI229" t="s">
        <v>27</v>
      </c>
    </row>
    <row r="230" spans="1:35">
      <c r="A230">
        <f t="shared" si="24"/>
        <v>1</v>
      </c>
      <c r="B230">
        <f t="shared" si="25"/>
        <v>1</v>
      </c>
      <c r="C230">
        <f t="shared" si="26"/>
        <v>0</v>
      </c>
      <c r="D230">
        <f t="shared" si="27"/>
        <v>0</v>
      </c>
      <c r="E230">
        <f t="shared" si="28"/>
        <v>0</v>
      </c>
      <c r="F230">
        <f t="shared" si="29"/>
        <v>0</v>
      </c>
      <c r="G230">
        <f t="shared" si="30"/>
        <v>1</v>
      </c>
      <c r="H230">
        <v>0</v>
      </c>
      <c r="I230">
        <f t="shared" si="31"/>
        <v>0</v>
      </c>
      <c r="J230">
        <v>0</v>
      </c>
      <c r="K230" t="s">
        <v>1125</v>
      </c>
      <c r="L230" t="s">
        <v>1126</v>
      </c>
      <c r="M230" t="s">
        <v>27</v>
      </c>
      <c r="N230" t="s">
        <v>27</v>
      </c>
      <c r="O230">
        <v>1.77</v>
      </c>
      <c r="P230" t="s">
        <v>27</v>
      </c>
      <c r="Q230" t="s">
        <v>27</v>
      </c>
      <c r="R230">
        <v>8.8999996185302699</v>
      </c>
      <c r="S230">
        <v>8.625</v>
      </c>
      <c r="T230" t="s">
        <v>27</v>
      </c>
      <c r="U230">
        <v>41.416893005371101</v>
      </c>
      <c r="V230">
        <v>-7619000</v>
      </c>
      <c r="W230">
        <v>-56.644767761230497</v>
      </c>
      <c r="X230" t="s">
        <v>27</v>
      </c>
      <c r="Y230" t="s">
        <v>27</v>
      </c>
      <c r="Z230" t="s">
        <v>27</v>
      </c>
      <c r="AA230" t="s">
        <v>27</v>
      </c>
      <c r="AB230" t="s">
        <v>73</v>
      </c>
      <c r="AC230" t="s">
        <v>413</v>
      </c>
      <c r="AD230">
        <v>-0.18999999761581399</v>
      </c>
      <c r="AE230">
        <v>47.691471099853501</v>
      </c>
      <c r="AF230" t="s">
        <v>27</v>
      </c>
      <c r="AG230">
        <v>48100000</v>
      </c>
      <c r="AH230">
        <v>2.5651259422302202</v>
      </c>
      <c r="AI230">
        <v>-27.749082565307599</v>
      </c>
    </row>
    <row r="231" spans="1:35">
      <c r="A231">
        <f t="shared" si="24"/>
        <v>1</v>
      </c>
      <c r="B231">
        <f t="shared" si="25"/>
        <v>0</v>
      </c>
      <c r="C231">
        <f t="shared" si="26"/>
        <v>0</v>
      </c>
      <c r="D231">
        <f t="shared" si="27"/>
        <v>1</v>
      </c>
      <c r="E231">
        <f t="shared" si="28"/>
        <v>0</v>
      </c>
      <c r="F231">
        <f t="shared" si="29"/>
        <v>1</v>
      </c>
      <c r="G231">
        <f t="shared" si="30"/>
        <v>0</v>
      </c>
      <c r="H231">
        <v>0</v>
      </c>
      <c r="I231">
        <f t="shared" si="31"/>
        <v>1</v>
      </c>
      <c r="J231">
        <v>0</v>
      </c>
      <c r="K231" t="s">
        <v>1131</v>
      </c>
      <c r="L231" t="s">
        <v>1132</v>
      </c>
      <c r="M231" t="s">
        <v>27</v>
      </c>
      <c r="N231" t="s">
        <v>27</v>
      </c>
      <c r="O231">
        <v>14.11</v>
      </c>
      <c r="P231" t="s">
        <v>27</v>
      </c>
      <c r="Q231" t="s">
        <v>27</v>
      </c>
      <c r="R231">
        <v>10.9899997711182</v>
      </c>
      <c r="S231">
        <v>8</v>
      </c>
      <c r="T231">
        <v>2.97439789772034</v>
      </c>
      <c r="U231" t="s">
        <v>27</v>
      </c>
      <c r="V231">
        <v>-294100</v>
      </c>
      <c r="W231" t="s">
        <v>27</v>
      </c>
      <c r="X231">
        <v>0.129999995231628</v>
      </c>
      <c r="Y231" t="s">
        <v>27</v>
      </c>
      <c r="Z231" t="s">
        <v>27</v>
      </c>
      <c r="AA231">
        <v>13730000</v>
      </c>
      <c r="AB231" t="s">
        <v>73</v>
      </c>
      <c r="AC231" t="s">
        <v>210</v>
      </c>
      <c r="AD231">
        <v>0.239999994635582</v>
      </c>
      <c r="AE231" t="s">
        <v>27</v>
      </c>
      <c r="AF231" t="s">
        <v>27</v>
      </c>
      <c r="AG231">
        <v>14666000</v>
      </c>
      <c r="AH231">
        <v>2.0253989696502699</v>
      </c>
      <c r="AI231" t="s">
        <v>27</v>
      </c>
    </row>
    <row r="232" spans="1:35">
      <c r="A232">
        <f t="shared" si="24"/>
        <v>0</v>
      </c>
      <c r="B232">
        <f t="shared" si="25"/>
        <v>0</v>
      </c>
      <c r="C232">
        <f t="shared" si="26"/>
        <v>1</v>
      </c>
      <c r="D232">
        <f t="shared" si="27"/>
        <v>0</v>
      </c>
      <c r="E232">
        <f t="shared" si="28"/>
        <v>1</v>
      </c>
      <c r="F232">
        <f t="shared" si="29"/>
        <v>1</v>
      </c>
      <c r="G232">
        <f t="shared" si="30"/>
        <v>0</v>
      </c>
      <c r="H232">
        <v>0</v>
      </c>
      <c r="I232">
        <f t="shared" si="31"/>
        <v>0</v>
      </c>
      <c r="J232">
        <v>0</v>
      </c>
      <c r="K232" t="s">
        <v>1133</v>
      </c>
      <c r="L232" t="s">
        <v>1134</v>
      </c>
      <c r="M232" t="s">
        <v>27</v>
      </c>
      <c r="N232" t="s">
        <v>27</v>
      </c>
      <c r="O232">
        <v>12.33</v>
      </c>
      <c r="P232" t="s">
        <v>27</v>
      </c>
      <c r="Q232" t="s">
        <v>27</v>
      </c>
      <c r="R232">
        <v>18.298999786376999</v>
      </c>
      <c r="S232">
        <v>8.4375</v>
      </c>
      <c r="T232" t="s">
        <v>27</v>
      </c>
      <c r="U232" t="s">
        <v>27</v>
      </c>
      <c r="V232" t="s">
        <v>27</v>
      </c>
      <c r="W232" t="s">
        <v>27</v>
      </c>
      <c r="X232" t="s">
        <v>27</v>
      </c>
      <c r="Y232" t="s">
        <v>27</v>
      </c>
      <c r="Z232" t="s">
        <v>27</v>
      </c>
      <c r="AA232" t="s">
        <v>27</v>
      </c>
      <c r="AB232" t="s">
        <v>27</v>
      </c>
      <c r="AC232" t="s">
        <v>27</v>
      </c>
      <c r="AD232" t="s">
        <v>27</v>
      </c>
      <c r="AE232" t="s">
        <v>27</v>
      </c>
      <c r="AF232" t="s">
        <v>27</v>
      </c>
      <c r="AG232" t="s">
        <v>27</v>
      </c>
      <c r="AH232" t="s">
        <v>27</v>
      </c>
      <c r="AI232">
        <v>5.9250111579895002</v>
      </c>
    </row>
    <row r="233" spans="1:35">
      <c r="A233">
        <f t="shared" si="24"/>
        <v>0</v>
      </c>
      <c r="B233">
        <f t="shared" si="25"/>
        <v>0</v>
      </c>
      <c r="C233">
        <f t="shared" si="26"/>
        <v>0</v>
      </c>
      <c r="D233">
        <f t="shared" si="27"/>
        <v>0</v>
      </c>
      <c r="E233">
        <f t="shared" si="28"/>
        <v>0</v>
      </c>
      <c r="F233">
        <f t="shared" si="29"/>
        <v>0</v>
      </c>
      <c r="G233">
        <f t="shared" si="30"/>
        <v>1</v>
      </c>
      <c r="H233">
        <v>0</v>
      </c>
      <c r="I233">
        <f t="shared" si="31"/>
        <v>0</v>
      </c>
      <c r="J233">
        <v>0</v>
      </c>
      <c r="K233" t="s">
        <v>1135</v>
      </c>
      <c r="L233" t="s">
        <v>1136</v>
      </c>
      <c r="M233" t="s">
        <v>27</v>
      </c>
      <c r="N233" t="s">
        <v>27</v>
      </c>
      <c r="O233">
        <v>4.22</v>
      </c>
      <c r="P233" t="s">
        <v>27</v>
      </c>
      <c r="Q233" t="s">
        <v>27</v>
      </c>
      <c r="R233">
        <v>8.75</v>
      </c>
      <c r="S233">
        <v>39.125</v>
      </c>
      <c r="T233">
        <v>4.45979982614517E-2</v>
      </c>
      <c r="U233">
        <v>54.9080200195313</v>
      </c>
      <c r="V233">
        <v>-12582000</v>
      </c>
      <c r="W233">
        <v>-40.727603912353501</v>
      </c>
      <c r="X233">
        <v>-4.3466666539510097</v>
      </c>
      <c r="Y233">
        <v>-0.89537698030471802</v>
      </c>
      <c r="Z233">
        <v>-22.352941513061499</v>
      </c>
      <c r="AA233">
        <v>68032500</v>
      </c>
      <c r="AB233" t="s">
        <v>27</v>
      </c>
      <c r="AC233" t="s">
        <v>27</v>
      </c>
      <c r="AD233">
        <v>-28.680000305175799</v>
      </c>
      <c r="AE233">
        <v>64.087806701660199</v>
      </c>
      <c r="AF233" t="s">
        <v>27</v>
      </c>
      <c r="AG233">
        <v>70981000</v>
      </c>
      <c r="AH233">
        <v>0.16796900331973999</v>
      </c>
      <c r="AI233">
        <v>-49.761257171630902</v>
      </c>
    </row>
    <row r="234" spans="1:35">
      <c r="A234">
        <f t="shared" si="24"/>
        <v>1</v>
      </c>
      <c r="B234">
        <f t="shared" si="25"/>
        <v>0</v>
      </c>
      <c r="C234">
        <f t="shared" si="26"/>
        <v>1</v>
      </c>
      <c r="D234">
        <f t="shared" si="27"/>
        <v>1</v>
      </c>
      <c r="E234">
        <f t="shared" si="28"/>
        <v>0</v>
      </c>
      <c r="F234">
        <f t="shared" si="29"/>
        <v>0</v>
      </c>
      <c r="G234">
        <f t="shared" si="30"/>
        <v>0</v>
      </c>
      <c r="H234">
        <v>0</v>
      </c>
      <c r="I234">
        <f t="shared" si="31"/>
        <v>0</v>
      </c>
      <c r="J234">
        <v>0</v>
      </c>
      <c r="K234" t="s">
        <v>1140</v>
      </c>
      <c r="L234" t="s">
        <v>1141</v>
      </c>
      <c r="M234" t="s">
        <v>27</v>
      </c>
      <c r="N234" t="s">
        <v>27</v>
      </c>
      <c r="O234">
        <v>5.31</v>
      </c>
      <c r="P234" t="s">
        <v>27</v>
      </c>
      <c r="Q234" t="s">
        <v>27</v>
      </c>
      <c r="R234">
        <v>9.5299997329711896</v>
      </c>
      <c r="S234">
        <v>8.375</v>
      </c>
      <c r="T234">
        <v>2.2507469654083301</v>
      </c>
      <c r="U234">
        <v>62.937023162841797</v>
      </c>
      <c r="V234">
        <v>11148001</v>
      </c>
      <c r="W234">
        <v>-21.454973220825199</v>
      </c>
      <c r="X234">
        <v>-0.64999997615814198</v>
      </c>
      <c r="Y234">
        <v>-13.917807579040501</v>
      </c>
      <c r="Z234">
        <v>-7.28824710845947</v>
      </c>
      <c r="AA234">
        <v>129920000</v>
      </c>
      <c r="AB234" t="s">
        <v>38</v>
      </c>
      <c r="AC234" t="s">
        <v>157</v>
      </c>
      <c r="AD234">
        <v>-0.62000000476837203</v>
      </c>
      <c r="AE234">
        <v>59.283664703369098</v>
      </c>
      <c r="AF234">
        <v>7.1596287244902497</v>
      </c>
      <c r="AG234">
        <v>144533008</v>
      </c>
      <c r="AH234">
        <v>1.49347603321075</v>
      </c>
      <c r="AI234">
        <v>-26.657737731933601</v>
      </c>
    </row>
    <row r="235" spans="1:35">
      <c r="A235">
        <f t="shared" si="24"/>
        <v>0</v>
      </c>
      <c r="B235">
        <f t="shared" si="25"/>
        <v>0</v>
      </c>
      <c r="C235">
        <f t="shared" si="26"/>
        <v>0</v>
      </c>
      <c r="D235">
        <f t="shared" si="27"/>
        <v>1</v>
      </c>
      <c r="E235">
        <f t="shared" si="28"/>
        <v>0</v>
      </c>
      <c r="F235">
        <f t="shared" si="29"/>
        <v>0</v>
      </c>
      <c r="G235">
        <f t="shared" si="30"/>
        <v>0</v>
      </c>
      <c r="H235">
        <v>0</v>
      </c>
      <c r="I235">
        <f t="shared" si="31"/>
        <v>0</v>
      </c>
      <c r="J235">
        <v>0</v>
      </c>
      <c r="K235" t="s">
        <v>1142</v>
      </c>
      <c r="L235" t="s">
        <v>1143</v>
      </c>
      <c r="M235" t="s">
        <v>27</v>
      </c>
      <c r="N235" t="s">
        <v>27</v>
      </c>
      <c r="O235">
        <v>0.47</v>
      </c>
      <c r="P235" t="s">
        <v>27</v>
      </c>
      <c r="Q235" t="s">
        <v>27</v>
      </c>
      <c r="R235">
        <v>1.6100000143051101</v>
      </c>
      <c r="S235">
        <v>1.6875</v>
      </c>
      <c r="T235">
        <v>0</v>
      </c>
      <c r="U235" t="s">
        <v>27</v>
      </c>
      <c r="V235">
        <v>-9764000</v>
      </c>
      <c r="W235">
        <v>-39.659481048583999</v>
      </c>
      <c r="X235">
        <v>-0.10000000149011599</v>
      </c>
      <c r="Y235">
        <v>-32.799999237060497</v>
      </c>
      <c r="Z235">
        <v>-14.5454549789429</v>
      </c>
      <c r="AA235">
        <v>101373000</v>
      </c>
      <c r="AB235" t="s">
        <v>27</v>
      </c>
      <c r="AC235" t="s">
        <v>27</v>
      </c>
      <c r="AD235">
        <v>-9.00000035762787E-2</v>
      </c>
      <c r="AE235" t="s">
        <v>27</v>
      </c>
      <c r="AF235" t="s">
        <v>27</v>
      </c>
      <c r="AG235">
        <v>114169000</v>
      </c>
      <c r="AH235">
        <v>0</v>
      </c>
      <c r="AI235">
        <v>-72.102775573730497</v>
      </c>
    </row>
    <row r="236" spans="1:35">
      <c r="A236">
        <f t="shared" si="24"/>
        <v>1</v>
      </c>
      <c r="B236">
        <f t="shared" si="25"/>
        <v>0</v>
      </c>
      <c r="C236">
        <f t="shared" si="26"/>
        <v>1</v>
      </c>
      <c r="D236">
        <f t="shared" si="27"/>
        <v>1</v>
      </c>
      <c r="E236">
        <f t="shared" si="28"/>
        <v>0</v>
      </c>
      <c r="F236">
        <f t="shared" si="29"/>
        <v>0</v>
      </c>
      <c r="G236">
        <f t="shared" si="30"/>
        <v>1</v>
      </c>
      <c r="H236">
        <v>0</v>
      </c>
      <c r="I236">
        <f t="shared" si="31"/>
        <v>0</v>
      </c>
      <c r="J236">
        <v>0</v>
      </c>
      <c r="K236" t="s">
        <v>1150</v>
      </c>
      <c r="L236" t="s">
        <v>1151</v>
      </c>
      <c r="M236" t="s">
        <v>27</v>
      </c>
      <c r="N236" t="s">
        <v>27</v>
      </c>
      <c r="O236">
        <v>6.6</v>
      </c>
      <c r="P236" t="s">
        <v>27</v>
      </c>
      <c r="Q236" t="s">
        <v>27</v>
      </c>
      <c r="R236">
        <v>16.5</v>
      </c>
      <c r="S236">
        <v>24.5</v>
      </c>
      <c r="T236">
        <v>1.0728850364685101</v>
      </c>
      <c r="U236">
        <v>15.290534973144499</v>
      </c>
      <c r="V236">
        <v>6310000</v>
      </c>
      <c r="W236">
        <v>-4.4557237625122097</v>
      </c>
      <c r="X236">
        <v>-0.5</v>
      </c>
      <c r="Y236">
        <v>1.125</v>
      </c>
      <c r="Z236">
        <v>2.3308269977569598</v>
      </c>
      <c r="AA236">
        <v>37000000</v>
      </c>
      <c r="AB236" t="s">
        <v>27</v>
      </c>
      <c r="AC236" t="s">
        <v>27</v>
      </c>
      <c r="AD236">
        <v>9.00000035762787E-2</v>
      </c>
      <c r="AE236">
        <v>45.162929534912102</v>
      </c>
      <c r="AF236" t="s">
        <v>27</v>
      </c>
      <c r="AG236">
        <v>44331000</v>
      </c>
      <c r="AH236">
        <v>0</v>
      </c>
      <c r="AI236">
        <v>-18.916185379028299</v>
      </c>
    </row>
    <row r="237" spans="1:35">
      <c r="A237">
        <f t="shared" si="24"/>
        <v>1</v>
      </c>
      <c r="B237">
        <f t="shared" si="25"/>
        <v>0</v>
      </c>
      <c r="C237">
        <f t="shared" si="26"/>
        <v>0</v>
      </c>
      <c r="D237">
        <f t="shared" si="27"/>
        <v>0</v>
      </c>
      <c r="E237">
        <f t="shared" si="28"/>
        <v>0</v>
      </c>
      <c r="F237">
        <f t="shared" si="29"/>
        <v>0</v>
      </c>
      <c r="G237">
        <f t="shared" si="30"/>
        <v>0</v>
      </c>
      <c r="H237">
        <v>0</v>
      </c>
      <c r="I237">
        <f t="shared" si="31"/>
        <v>0</v>
      </c>
      <c r="J237">
        <v>0</v>
      </c>
      <c r="K237" t="s">
        <v>1156</v>
      </c>
      <c r="L237" t="s">
        <v>1157</v>
      </c>
      <c r="M237" t="s">
        <v>27</v>
      </c>
      <c r="N237" t="s">
        <v>27</v>
      </c>
      <c r="O237">
        <v>4.6100000000000003</v>
      </c>
      <c r="P237" t="s">
        <v>27</v>
      </c>
      <c r="Q237" t="s">
        <v>27</v>
      </c>
      <c r="R237">
        <v>8</v>
      </c>
      <c r="S237" t="s">
        <v>27</v>
      </c>
      <c r="T237" t="s">
        <v>27</v>
      </c>
      <c r="U237" t="s">
        <v>27</v>
      </c>
      <c r="V237">
        <v>-1901999.875</v>
      </c>
      <c r="W237">
        <v>-6.0842761993408203</v>
      </c>
      <c r="X237" t="s">
        <v>27</v>
      </c>
      <c r="Y237" t="s">
        <v>27</v>
      </c>
      <c r="Z237" t="s">
        <v>27</v>
      </c>
      <c r="AA237" t="s">
        <v>27</v>
      </c>
      <c r="AB237" t="s">
        <v>27</v>
      </c>
      <c r="AC237" t="s">
        <v>27</v>
      </c>
      <c r="AD237">
        <v>-2.9999999329447701E-2</v>
      </c>
      <c r="AE237">
        <v>72.559867858886705</v>
      </c>
      <c r="AF237">
        <v>607.81906431902803</v>
      </c>
      <c r="AG237">
        <v>26293320</v>
      </c>
      <c r="AH237">
        <v>6.0906839370727504</v>
      </c>
      <c r="AI237">
        <v>-14.557373046875</v>
      </c>
    </row>
    <row r="238" spans="1:35">
      <c r="A238">
        <f t="shared" si="24"/>
        <v>0</v>
      </c>
      <c r="B238">
        <f t="shared" si="25"/>
        <v>0</v>
      </c>
      <c r="C238">
        <f t="shared" si="26"/>
        <v>0</v>
      </c>
      <c r="D238">
        <f t="shared" si="27"/>
        <v>0</v>
      </c>
      <c r="E238">
        <f t="shared" si="28"/>
        <v>0</v>
      </c>
      <c r="F238">
        <f t="shared" si="29"/>
        <v>1</v>
      </c>
      <c r="G238">
        <f t="shared" si="30"/>
        <v>0</v>
      </c>
      <c r="H238">
        <v>0</v>
      </c>
      <c r="I238">
        <f t="shared" si="31"/>
        <v>0</v>
      </c>
      <c r="J238">
        <v>0</v>
      </c>
      <c r="K238" t="s">
        <v>1160</v>
      </c>
      <c r="L238" t="s">
        <v>1161</v>
      </c>
      <c r="M238" t="s">
        <v>27</v>
      </c>
      <c r="N238" t="s">
        <v>27</v>
      </c>
      <c r="O238">
        <v>1.23</v>
      </c>
      <c r="P238">
        <v>15.9588117599487</v>
      </c>
      <c r="Q238" t="s">
        <v>27</v>
      </c>
      <c r="R238">
        <v>15.2600002288818</v>
      </c>
      <c r="S238">
        <v>18.75</v>
      </c>
      <c r="T238">
        <v>0.59394997358322099</v>
      </c>
      <c r="U238">
        <v>47.413196563720703</v>
      </c>
      <c r="V238">
        <v>-11109000</v>
      </c>
      <c r="W238" t="s">
        <v>27</v>
      </c>
      <c r="X238">
        <v>0.57999998331069902</v>
      </c>
      <c r="Y238">
        <v>10.901099205017101</v>
      </c>
      <c r="Z238">
        <v>-12.6907634735107</v>
      </c>
      <c r="AA238">
        <v>20798000</v>
      </c>
      <c r="AB238" t="s">
        <v>27</v>
      </c>
      <c r="AC238" t="s">
        <v>27</v>
      </c>
      <c r="AD238">
        <v>-0.68999999761581399</v>
      </c>
      <c r="AE238">
        <v>-1.26930296421051</v>
      </c>
      <c r="AF238" t="s">
        <v>27</v>
      </c>
      <c r="AG238">
        <v>21080000</v>
      </c>
      <c r="AH238">
        <v>0.744553983211517</v>
      </c>
      <c r="AI238">
        <v>16.697872161865199</v>
      </c>
    </row>
    <row r="239" spans="1:35">
      <c r="A239">
        <f t="shared" si="24"/>
        <v>0</v>
      </c>
      <c r="B239">
        <f t="shared" si="25"/>
        <v>0</v>
      </c>
      <c r="C239">
        <f t="shared" si="26"/>
        <v>1</v>
      </c>
      <c r="D239">
        <f t="shared" si="27"/>
        <v>0</v>
      </c>
      <c r="E239">
        <f t="shared" si="28"/>
        <v>0</v>
      </c>
      <c r="F239">
        <f t="shared" si="29"/>
        <v>0</v>
      </c>
      <c r="G239">
        <f t="shared" si="30"/>
        <v>1</v>
      </c>
      <c r="H239">
        <v>0</v>
      </c>
      <c r="I239">
        <f t="shared" si="31"/>
        <v>0</v>
      </c>
      <c r="J239">
        <v>0</v>
      </c>
      <c r="K239" t="s">
        <v>1162</v>
      </c>
      <c r="L239" t="s">
        <v>1163</v>
      </c>
      <c r="M239" t="s">
        <v>27</v>
      </c>
      <c r="N239" t="s">
        <v>27</v>
      </c>
      <c r="O239">
        <v>13.09</v>
      </c>
      <c r="P239">
        <v>31.946357727050799</v>
      </c>
      <c r="Q239" t="s">
        <v>27</v>
      </c>
      <c r="R239">
        <v>13.6199998855591</v>
      </c>
      <c r="S239">
        <v>30.75</v>
      </c>
      <c r="T239">
        <v>5.4746541976928702</v>
      </c>
      <c r="U239">
        <v>39.1051025390625</v>
      </c>
      <c r="V239">
        <v>12887001</v>
      </c>
      <c r="W239">
        <v>11.083401679992701</v>
      </c>
      <c r="X239">
        <v>0.38999998569488498</v>
      </c>
      <c r="Y239">
        <v>4.1322312355041504</v>
      </c>
      <c r="Z239">
        <v>-2.1420519351959202</v>
      </c>
      <c r="AA239">
        <v>28733000</v>
      </c>
      <c r="AB239" t="s">
        <v>27</v>
      </c>
      <c r="AC239" t="s">
        <v>27</v>
      </c>
      <c r="AD239">
        <v>-0.18000000715255701</v>
      </c>
      <c r="AE239">
        <v>41.3126029968262</v>
      </c>
      <c r="AF239">
        <v>11.171060032985199</v>
      </c>
      <c r="AG239">
        <v>48907000</v>
      </c>
      <c r="AH239">
        <v>14.8083696365356</v>
      </c>
      <c r="AI239">
        <v>-8.5956998169422094E-2</v>
      </c>
    </row>
    <row r="240" spans="1:35">
      <c r="A240">
        <f t="shared" si="24"/>
        <v>0</v>
      </c>
      <c r="B240">
        <f t="shared" si="25"/>
        <v>0</v>
      </c>
      <c r="C240">
        <f t="shared" si="26"/>
        <v>0</v>
      </c>
      <c r="D240">
        <f t="shared" si="27"/>
        <v>1</v>
      </c>
      <c r="E240">
        <f t="shared" si="28"/>
        <v>0</v>
      </c>
      <c r="F240">
        <f t="shared" si="29"/>
        <v>1</v>
      </c>
      <c r="G240">
        <f t="shared" si="30"/>
        <v>1</v>
      </c>
      <c r="H240">
        <v>0</v>
      </c>
      <c r="I240">
        <f t="shared" si="31"/>
        <v>1</v>
      </c>
      <c r="J240">
        <v>0</v>
      </c>
      <c r="K240" t="s">
        <v>1174</v>
      </c>
      <c r="L240" t="s">
        <v>1175</v>
      </c>
      <c r="M240" t="s">
        <v>27</v>
      </c>
      <c r="N240" t="s">
        <v>27</v>
      </c>
      <c r="O240">
        <v>12.159000000000001</v>
      </c>
      <c r="P240">
        <v>9.4292583465576207</v>
      </c>
      <c r="Q240" t="s">
        <v>27</v>
      </c>
      <c r="R240">
        <v>10.060000419616699</v>
      </c>
      <c r="S240">
        <v>13.3125</v>
      </c>
      <c r="T240">
        <v>55.311710357666001</v>
      </c>
      <c r="U240">
        <v>28.657880783081101</v>
      </c>
      <c r="V240">
        <v>-22546000</v>
      </c>
      <c r="W240">
        <v>5.0731158256530797</v>
      </c>
      <c r="X240">
        <v>0.94999998807907104</v>
      </c>
      <c r="Y240">
        <v>9.7391309738159197</v>
      </c>
      <c r="Z240">
        <v>-8.1512613296508807</v>
      </c>
      <c r="AA240">
        <v>13223600</v>
      </c>
      <c r="AB240" t="s">
        <v>194</v>
      </c>
      <c r="AC240" t="s">
        <v>1176</v>
      </c>
      <c r="AD240">
        <v>1.8500000238418599</v>
      </c>
      <c r="AE240">
        <v>41.741497039794901</v>
      </c>
      <c r="AF240">
        <v>9.3296533560131092</v>
      </c>
      <c r="AG240">
        <v>17388510</v>
      </c>
      <c r="AH240">
        <v>57.832954406738303</v>
      </c>
      <c r="AI240">
        <v>3.00992703437805</v>
      </c>
    </row>
    <row r="241" spans="1:35">
      <c r="A241">
        <f t="shared" si="24"/>
        <v>0</v>
      </c>
      <c r="B241">
        <f t="shared" si="25"/>
        <v>0</v>
      </c>
      <c r="C241">
        <f t="shared" si="26"/>
        <v>1</v>
      </c>
      <c r="D241">
        <f t="shared" si="27"/>
        <v>0</v>
      </c>
      <c r="E241">
        <f t="shared" si="28"/>
        <v>0</v>
      </c>
      <c r="F241">
        <f t="shared" si="29"/>
        <v>0</v>
      </c>
      <c r="G241">
        <f t="shared" si="30"/>
        <v>0</v>
      </c>
      <c r="H241">
        <v>0</v>
      </c>
      <c r="I241">
        <f t="shared" si="31"/>
        <v>0</v>
      </c>
      <c r="J241">
        <v>0</v>
      </c>
      <c r="K241" t="s">
        <v>1179</v>
      </c>
      <c r="L241" t="s">
        <v>1180</v>
      </c>
      <c r="M241" t="s">
        <v>27</v>
      </c>
      <c r="N241" t="s">
        <v>27</v>
      </c>
      <c r="O241">
        <v>7</v>
      </c>
      <c r="P241" t="s">
        <v>27</v>
      </c>
      <c r="Q241" t="s">
        <v>27</v>
      </c>
      <c r="R241">
        <v>17.110000610351602</v>
      </c>
      <c r="S241">
        <v>39.9375</v>
      </c>
      <c r="T241">
        <v>0</v>
      </c>
      <c r="U241">
        <v>95.733108520507798</v>
      </c>
      <c r="V241">
        <v>1268000</v>
      </c>
      <c r="W241">
        <v>46.739364624023402</v>
      </c>
      <c r="X241">
        <v>2.9999999329447701E-2</v>
      </c>
      <c r="Y241" t="s">
        <v>27</v>
      </c>
      <c r="Z241">
        <v>3.81194400787354</v>
      </c>
      <c r="AA241">
        <v>26765000</v>
      </c>
      <c r="AB241" t="s">
        <v>27</v>
      </c>
      <c r="AC241" t="s">
        <v>27</v>
      </c>
      <c r="AD241">
        <v>-9.00000035762787E-2</v>
      </c>
      <c r="AE241">
        <v>91.989524841308594</v>
      </c>
      <c r="AF241">
        <v>13.0898080826064</v>
      </c>
      <c r="AG241">
        <v>27153000</v>
      </c>
      <c r="AH241">
        <v>0</v>
      </c>
      <c r="AI241">
        <v>-20.434585571289102</v>
      </c>
    </row>
    <row r="242" spans="1:35">
      <c r="A242">
        <f t="shared" si="24"/>
        <v>0</v>
      </c>
      <c r="B242">
        <f t="shared" si="25"/>
        <v>1</v>
      </c>
      <c r="C242">
        <f t="shared" si="26"/>
        <v>1</v>
      </c>
      <c r="D242">
        <f t="shared" si="27"/>
        <v>0</v>
      </c>
      <c r="E242">
        <f t="shared" si="28"/>
        <v>0</v>
      </c>
      <c r="F242">
        <f t="shared" si="29"/>
        <v>1</v>
      </c>
      <c r="G242">
        <f t="shared" si="30"/>
        <v>0</v>
      </c>
      <c r="H242">
        <v>0</v>
      </c>
      <c r="I242">
        <f t="shared" si="31"/>
        <v>0</v>
      </c>
      <c r="J242">
        <v>0</v>
      </c>
      <c r="K242" t="s">
        <v>1183</v>
      </c>
      <c r="L242" t="s">
        <v>1184</v>
      </c>
      <c r="M242" t="s">
        <v>27</v>
      </c>
      <c r="N242" t="s">
        <v>27</v>
      </c>
      <c r="O242">
        <v>16.811</v>
      </c>
      <c r="P242" t="s">
        <v>27</v>
      </c>
      <c r="Q242" t="s">
        <v>27</v>
      </c>
      <c r="R242">
        <v>18.200000762939499</v>
      </c>
      <c r="S242">
        <v>11.25</v>
      </c>
      <c r="T242">
        <v>0</v>
      </c>
      <c r="U242" t="s">
        <v>27</v>
      </c>
      <c r="V242">
        <v>22725000</v>
      </c>
      <c r="W242">
        <v>-0.15484799444675401</v>
      </c>
      <c r="X242">
        <v>0.109999999403954</v>
      </c>
      <c r="Y242">
        <v>1.4634150266647299</v>
      </c>
      <c r="Z242">
        <v>-1.3548389673232999</v>
      </c>
      <c r="AA242">
        <v>11294000</v>
      </c>
      <c r="AB242" t="s">
        <v>34</v>
      </c>
      <c r="AC242" t="s">
        <v>447</v>
      </c>
      <c r="AD242">
        <v>-9.9999997764825804E-3</v>
      </c>
      <c r="AE242" t="s">
        <v>27</v>
      </c>
      <c r="AF242" t="s">
        <v>27</v>
      </c>
      <c r="AG242">
        <v>11321000</v>
      </c>
      <c r="AH242">
        <v>10.1224822998047</v>
      </c>
      <c r="AI242">
        <v>0.41201001405715898</v>
      </c>
    </row>
    <row r="243" spans="1:35">
      <c r="A243">
        <f t="shared" si="24"/>
        <v>0</v>
      </c>
      <c r="B243">
        <f t="shared" si="25"/>
        <v>1</v>
      </c>
      <c r="C243">
        <f t="shared" si="26"/>
        <v>0</v>
      </c>
      <c r="D243">
        <f t="shared" si="27"/>
        <v>1</v>
      </c>
      <c r="E243">
        <f t="shared" si="28"/>
        <v>0</v>
      </c>
      <c r="F243">
        <f t="shared" si="29"/>
        <v>0</v>
      </c>
      <c r="G243">
        <f t="shared" si="30"/>
        <v>0</v>
      </c>
      <c r="H243">
        <v>0</v>
      </c>
      <c r="I243">
        <f t="shared" si="31"/>
        <v>0</v>
      </c>
      <c r="J243">
        <v>0</v>
      </c>
      <c r="K243" t="s">
        <v>1187</v>
      </c>
      <c r="L243" t="s">
        <v>1188</v>
      </c>
      <c r="M243" t="s">
        <v>27</v>
      </c>
      <c r="N243" t="s">
        <v>27</v>
      </c>
      <c r="O243">
        <v>2.0699999999999998</v>
      </c>
      <c r="P243" t="s">
        <v>27</v>
      </c>
      <c r="Q243" t="s">
        <v>27</v>
      </c>
      <c r="R243">
        <v>10.329999923706101</v>
      </c>
      <c r="S243">
        <v>41.6875</v>
      </c>
      <c r="T243">
        <v>6.0270000249147401E-2</v>
      </c>
      <c r="U243">
        <v>41.283729553222699</v>
      </c>
      <c r="V243">
        <v>-22409000</v>
      </c>
      <c r="W243">
        <v>-14.837866783142101</v>
      </c>
      <c r="X243">
        <v>-0.38999998569488498</v>
      </c>
      <c r="Y243">
        <v>-1.63547503948212</v>
      </c>
      <c r="Z243">
        <v>-1.4018690586090099</v>
      </c>
      <c r="AA243">
        <v>33972000</v>
      </c>
      <c r="AB243" t="s">
        <v>38</v>
      </c>
      <c r="AC243" t="s">
        <v>113</v>
      </c>
      <c r="AD243">
        <v>1.9999999552965199E-2</v>
      </c>
      <c r="AE243">
        <v>32.3953666687012</v>
      </c>
      <c r="AF243" t="s">
        <v>27</v>
      </c>
      <c r="AG243">
        <v>35597000</v>
      </c>
      <c r="AH243">
        <v>43.390335083007798</v>
      </c>
      <c r="AI243">
        <v>-3.7957849502563499</v>
      </c>
    </row>
    <row r="244" spans="1:35">
      <c r="A244">
        <f t="shared" si="24"/>
        <v>1</v>
      </c>
      <c r="B244">
        <f t="shared" si="25"/>
        <v>0</v>
      </c>
      <c r="C244">
        <f t="shared" si="26"/>
        <v>0</v>
      </c>
      <c r="D244">
        <f t="shared" si="27"/>
        <v>0</v>
      </c>
      <c r="E244">
        <f t="shared" si="28"/>
        <v>0</v>
      </c>
      <c r="F244">
        <f t="shared" si="29"/>
        <v>0</v>
      </c>
      <c r="G244">
        <f t="shared" si="30"/>
        <v>0</v>
      </c>
      <c r="H244">
        <v>0</v>
      </c>
      <c r="I244">
        <f t="shared" si="31"/>
        <v>1</v>
      </c>
      <c r="J244">
        <v>0</v>
      </c>
      <c r="K244" t="s">
        <v>1193</v>
      </c>
      <c r="L244" t="s">
        <v>1194</v>
      </c>
      <c r="M244" t="s">
        <v>27</v>
      </c>
      <c r="N244" t="s">
        <v>27</v>
      </c>
      <c r="O244">
        <v>18.37</v>
      </c>
      <c r="P244" t="s">
        <v>27</v>
      </c>
      <c r="Q244" t="s">
        <v>27</v>
      </c>
      <c r="R244">
        <v>13.6000003814697</v>
      </c>
      <c r="S244" t="s">
        <v>27</v>
      </c>
      <c r="T244" t="s">
        <v>27</v>
      </c>
      <c r="U244" t="s">
        <v>27</v>
      </c>
      <c r="V244">
        <v>-4351999.5</v>
      </c>
      <c r="W244" t="s">
        <v>27</v>
      </c>
      <c r="X244" t="s">
        <v>27</v>
      </c>
      <c r="Y244" t="s">
        <v>27</v>
      </c>
      <c r="Z244" t="s">
        <v>27</v>
      </c>
      <c r="AA244" t="s">
        <v>27</v>
      </c>
      <c r="AB244" t="s">
        <v>27</v>
      </c>
      <c r="AC244" t="s">
        <v>27</v>
      </c>
      <c r="AD244">
        <v>0.28000000119209301</v>
      </c>
      <c r="AE244">
        <v>48.099250793457003</v>
      </c>
      <c r="AF244">
        <v>8.0887320929706501</v>
      </c>
      <c r="AG244">
        <v>30030000</v>
      </c>
      <c r="AH244">
        <v>17.747156143188501</v>
      </c>
      <c r="AI244">
        <v>-0.76341700553893999</v>
      </c>
    </row>
    <row r="245" spans="1:35">
      <c r="A245">
        <f t="shared" si="24"/>
        <v>0</v>
      </c>
      <c r="B245">
        <f t="shared" si="25"/>
        <v>1</v>
      </c>
      <c r="C245">
        <f t="shared" si="26"/>
        <v>0</v>
      </c>
      <c r="D245">
        <f t="shared" si="27"/>
        <v>0</v>
      </c>
      <c r="E245">
        <f t="shared" si="28"/>
        <v>0</v>
      </c>
      <c r="F245">
        <f t="shared" si="29"/>
        <v>0</v>
      </c>
      <c r="G245">
        <f t="shared" si="30"/>
        <v>0</v>
      </c>
      <c r="H245">
        <v>0</v>
      </c>
      <c r="I245">
        <f t="shared" si="31"/>
        <v>0</v>
      </c>
      <c r="J245">
        <v>0</v>
      </c>
      <c r="K245" t="s">
        <v>1197</v>
      </c>
      <c r="L245" t="s">
        <v>1198</v>
      </c>
      <c r="M245" t="s">
        <v>27</v>
      </c>
      <c r="N245" t="s">
        <v>27</v>
      </c>
      <c r="O245">
        <v>1.3</v>
      </c>
      <c r="P245" t="s">
        <v>27</v>
      </c>
      <c r="Q245" t="s">
        <v>27</v>
      </c>
      <c r="R245">
        <v>6.4499998092651403</v>
      </c>
      <c r="S245">
        <v>9.9700002670288104</v>
      </c>
      <c r="T245">
        <v>0</v>
      </c>
      <c r="U245" t="s">
        <v>27</v>
      </c>
      <c r="V245">
        <v>-5075000</v>
      </c>
      <c r="W245">
        <v>-53.757621765136697</v>
      </c>
      <c r="X245">
        <v>-5.0000000745058101E-2</v>
      </c>
      <c r="Y245">
        <v>-0.98400998115539595</v>
      </c>
      <c r="Z245">
        <v>-6.1946902275085396</v>
      </c>
      <c r="AA245">
        <v>40951000</v>
      </c>
      <c r="AB245" t="s">
        <v>27</v>
      </c>
      <c r="AC245" t="s">
        <v>27</v>
      </c>
      <c r="AD245">
        <v>-0.10000000149011599</v>
      </c>
      <c r="AE245" t="s">
        <v>27</v>
      </c>
      <c r="AF245" t="s">
        <v>27</v>
      </c>
      <c r="AG245">
        <v>40990000</v>
      </c>
      <c r="AH245">
        <v>0</v>
      </c>
      <c r="AI245">
        <v>-9.4427843093872106</v>
      </c>
    </row>
    <row r="246" spans="1:35">
      <c r="A246">
        <f t="shared" si="24"/>
        <v>1</v>
      </c>
      <c r="B246">
        <f t="shared" si="25"/>
        <v>0</v>
      </c>
      <c r="C246">
        <f t="shared" si="26"/>
        <v>1</v>
      </c>
      <c r="D246">
        <f t="shared" si="27"/>
        <v>1</v>
      </c>
      <c r="E246">
        <f t="shared" si="28"/>
        <v>1</v>
      </c>
      <c r="F246">
        <f t="shared" si="29"/>
        <v>0</v>
      </c>
      <c r="G246">
        <f t="shared" si="30"/>
        <v>0</v>
      </c>
      <c r="H246">
        <v>0</v>
      </c>
      <c r="I246">
        <f t="shared" si="31"/>
        <v>0</v>
      </c>
      <c r="J246">
        <v>0</v>
      </c>
      <c r="K246" t="s">
        <v>1199</v>
      </c>
      <c r="L246" t="s">
        <v>1200</v>
      </c>
      <c r="M246" t="s">
        <v>27</v>
      </c>
      <c r="N246" t="s">
        <v>27</v>
      </c>
      <c r="O246">
        <v>9.2899999999999991</v>
      </c>
      <c r="P246" t="s">
        <v>27</v>
      </c>
      <c r="Q246" t="s">
        <v>27</v>
      </c>
      <c r="R246">
        <v>9.1999998092651403</v>
      </c>
      <c r="S246">
        <v>6.8125</v>
      </c>
      <c r="T246">
        <v>44.348655700683601</v>
      </c>
      <c r="U246">
        <v>70.032615661621094</v>
      </c>
      <c r="V246">
        <v>25682000</v>
      </c>
      <c r="W246">
        <v>1.05663394927979</v>
      </c>
      <c r="X246">
        <v>-1.5900000333786</v>
      </c>
      <c r="Y246" t="s">
        <v>27</v>
      </c>
      <c r="Z246">
        <v>0.62672799825668302</v>
      </c>
      <c r="AA246">
        <v>89139000</v>
      </c>
      <c r="AB246" t="s">
        <v>73</v>
      </c>
      <c r="AC246" t="s">
        <v>413</v>
      </c>
      <c r="AD246">
        <v>-0.37000000476837203</v>
      </c>
      <c r="AE246">
        <v>68.880905151367202</v>
      </c>
      <c r="AF246">
        <v>28.027046327199201</v>
      </c>
      <c r="AG246">
        <v>89139000</v>
      </c>
      <c r="AH246">
        <v>41.793846130371101</v>
      </c>
      <c r="AI246">
        <v>-39.343963623046903</v>
      </c>
    </row>
    <row r="247" spans="1:35">
      <c r="A247">
        <f t="shared" ref="A247:A308" si="32">IF(AH247&lt;T247,1,0)</f>
        <v>1</v>
      </c>
      <c r="B247">
        <f t="shared" ref="B247:B308" si="33">IF(AI247&gt;W247,1,0)</f>
        <v>0</v>
      </c>
      <c r="C247">
        <f t="shared" ref="C247:C308" si="34">IF(V247&gt;0,1,0)</f>
        <v>0</v>
      </c>
      <c r="D247">
        <f t="shared" ref="D247:D308" si="35">IF(AD247&gt;X247,1,0)</f>
        <v>1</v>
      </c>
      <c r="E247">
        <f t="shared" ref="E247:E308" si="36">IF(AA247=AG247,1,0)</f>
        <v>0</v>
      </c>
      <c r="F247">
        <f t="shared" ref="F247:F308" si="37">IF(AI247&gt;0,1,0)</f>
        <v>0</v>
      </c>
      <c r="G247">
        <f t="shared" ref="G247:G308" si="38">IF(AE247&gt;U247,1,0)</f>
        <v>1</v>
      </c>
      <c r="H247">
        <v>0</v>
      </c>
      <c r="I247">
        <f t="shared" ref="I247:I308" si="39">IF(((O247-R247)/R247)&gt;0.075,1,0)</f>
        <v>0</v>
      </c>
      <c r="J247">
        <v>0</v>
      </c>
      <c r="K247" t="s">
        <v>1201</v>
      </c>
      <c r="L247" t="s">
        <v>1202</v>
      </c>
      <c r="M247" t="s">
        <v>27</v>
      </c>
      <c r="N247" t="s">
        <v>27</v>
      </c>
      <c r="O247">
        <v>2.17</v>
      </c>
      <c r="P247">
        <v>85.548553466796903</v>
      </c>
      <c r="Q247" t="s">
        <v>27</v>
      </c>
      <c r="R247">
        <v>10.1599998474121</v>
      </c>
      <c r="S247">
        <v>3.625</v>
      </c>
      <c r="T247">
        <v>4.27100015804172E-3</v>
      </c>
      <c r="U247">
        <v>76.267799377441406</v>
      </c>
      <c r="V247">
        <v>-2465000</v>
      </c>
      <c r="W247">
        <v>54.328647613525398</v>
      </c>
      <c r="X247">
        <v>0.109999999403954</v>
      </c>
      <c r="Y247">
        <v>18.410957336425799</v>
      </c>
      <c r="Z247">
        <v>1.6064260005950901</v>
      </c>
      <c r="AA247">
        <v>42780000</v>
      </c>
      <c r="AB247" t="s">
        <v>27</v>
      </c>
      <c r="AC247" t="s">
        <v>27</v>
      </c>
      <c r="AD247">
        <v>0.18000000715255701</v>
      </c>
      <c r="AE247">
        <v>96.517723083496094</v>
      </c>
      <c r="AF247" t="s">
        <v>27</v>
      </c>
      <c r="AG247">
        <v>43283000</v>
      </c>
      <c r="AH247">
        <v>0</v>
      </c>
      <c r="AI247">
        <v>-3.6480190753936799</v>
      </c>
    </row>
    <row r="248" spans="1:35">
      <c r="A248">
        <f t="shared" si="32"/>
        <v>1</v>
      </c>
      <c r="B248">
        <f t="shared" si="33"/>
        <v>1</v>
      </c>
      <c r="C248">
        <f t="shared" si="34"/>
        <v>0</v>
      </c>
      <c r="D248">
        <f t="shared" si="35"/>
        <v>1</v>
      </c>
      <c r="E248">
        <f t="shared" si="36"/>
        <v>0</v>
      </c>
      <c r="F248">
        <f t="shared" si="37"/>
        <v>0</v>
      </c>
      <c r="G248">
        <f t="shared" si="38"/>
        <v>1</v>
      </c>
      <c r="H248">
        <v>0</v>
      </c>
      <c r="I248">
        <f t="shared" si="39"/>
        <v>0</v>
      </c>
      <c r="J248">
        <v>0</v>
      </c>
      <c r="K248" t="s">
        <v>1203</v>
      </c>
      <c r="L248" t="s">
        <v>1204</v>
      </c>
      <c r="M248" t="s">
        <v>27</v>
      </c>
      <c r="N248" t="s">
        <v>27</v>
      </c>
      <c r="O248">
        <v>3.34</v>
      </c>
      <c r="P248" t="s">
        <v>27</v>
      </c>
      <c r="Q248" t="s">
        <v>27</v>
      </c>
      <c r="R248">
        <v>6.3000001907348597</v>
      </c>
      <c r="S248">
        <v>5.5</v>
      </c>
      <c r="T248">
        <v>35.302139282226598</v>
      </c>
      <c r="U248">
        <v>50.758796691894503</v>
      </c>
      <c r="V248">
        <v>-2722000</v>
      </c>
      <c r="W248">
        <v>-75.185897827148395</v>
      </c>
      <c r="X248">
        <v>-0.230000004172325</v>
      </c>
      <c r="Y248">
        <v>-15.698113441467299</v>
      </c>
      <c r="Z248">
        <v>-15.3664302825928</v>
      </c>
      <c r="AA248">
        <v>12235000</v>
      </c>
      <c r="AB248" t="s">
        <v>27</v>
      </c>
      <c r="AC248" t="s">
        <v>27</v>
      </c>
      <c r="AD248">
        <v>-0.129999995231628</v>
      </c>
      <c r="AE248">
        <v>60.690959930419901</v>
      </c>
      <c r="AF248" t="s">
        <v>27</v>
      </c>
      <c r="AG248">
        <v>14812000</v>
      </c>
      <c r="AH248">
        <v>7.2719888687133798</v>
      </c>
      <c r="AI248">
        <v>-52.966556549072301</v>
      </c>
    </row>
    <row r="249" spans="1:35">
      <c r="A249">
        <f t="shared" si="32"/>
        <v>1</v>
      </c>
      <c r="B249">
        <f t="shared" si="33"/>
        <v>1</v>
      </c>
      <c r="C249">
        <f t="shared" si="34"/>
        <v>0</v>
      </c>
      <c r="D249">
        <f t="shared" si="35"/>
        <v>0</v>
      </c>
      <c r="E249">
        <f t="shared" si="36"/>
        <v>0</v>
      </c>
      <c r="F249">
        <f t="shared" si="37"/>
        <v>0</v>
      </c>
      <c r="G249">
        <f t="shared" si="38"/>
        <v>0</v>
      </c>
      <c r="H249">
        <v>0</v>
      </c>
      <c r="I249">
        <f t="shared" si="39"/>
        <v>0</v>
      </c>
      <c r="J249">
        <v>0</v>
      </c>
      <c r="K249" t="s">
        <v>1207</v>
      </c>
      <c r="L249" t="s">
        <v>1208</v>
      </c>
      <c r="M249" t="s">
        <v>27</v>
      </c>
      <c r="N249" t="s">
        <v>27</v>
      </c>
      <c r="O249">
        <v>10.27</v>
      </c>
      <c r="P249" t="s">
        <v>27</v>
      </c>
      <c r="Q249" t="s">
        <v>27</v>
      </c>
      <c r="R249">
        <v>19.340000152587901</v>
      </c>
      <c r="S249">
        <v>28.5625</v>
      </c>
      <c r="T249">
        <v>7.9417958259582502</v>
      </c>
      <c r="U249">
        <v>18.031923294067401</v>
      </c>
      <c r="V249">
        <v>-6627000</v>
      </c>
      <c r="W249">
        <v>-17.652107238769499</v>
      </c>
      <c r="X249">
        <v>-9.00000035762787E-2</v>
      </c>
      <c r="Y249">
        <v>-2.6084029674529998</v>
      </c>
      <c r="Z249">
        <v>-1.82481694221497</v>
      </c>
      <c r="AA249">
        <v>19095000</v>
      </c>
      <c r="AB249" t="s">
        <v>27</v>
      </c>
      <c r="AC249" t="s">
        <v>27</v>
      </c>
      <c r="AD249">
        <v>-0.129999995231628</v>
      </c>
      <c r="AE249">
        <v>5.7681989669799796</v>
      </c>
      <c r="AF249" t="s">
        <v>27</v>
      </c>
      <c r="AG249">
        <v>21883000</v>
      </c>
      <c r="AH249">
        <v>6.4208230972290004</v>
      </c>
      <c r="AI249">
        <v>-3.2519400119781499</v>
      </c>
    </row>
    <row r="250" spans="1:35">
      <c r="A250">
        <f t="shared" si="32"/>
        <v>1</v>
      </c>
      <c r="B250">
        <f t="shared" si="33"/>
        <v>0</v>
      </c>
      <c r="C250">
        <f t="shared" si="34"/>
        <v>0</v>
      </c>
      <c r="D250">
        <f t="shared" si="35"/>
        <v>0</v>
      </c>
      <c r="E250">
        <f t="shared" si="36"/>
        <v>0</v>
      </c>
      <c r="F250">
        <f t="shared" si="37"/>
        <v>0</v>
      </c>
      <c r="G250">
        <f t="shared" si="38"/>
        <v>0</v>
      </c>
      <c r="H250">
        <v>0</v>
      </c>
      <c r="I250">
        <f t="shared" si="39"/>
        <v>1</v>
      </c>
      <c r="J250">
        <v>0</v>
      </c>
      <c r="K250" t="s">
        <v>1209</v>
      </c>
      <c r="L250" t="s">
        <v>1210</v>
      </c>
      <c r="M250" t="s">
        <v>27</v>
      </c>
      <c r="N250" t="s">
        <v>27</v>
      </c>
      <c r="O250">
        <v>10.76</v>
      </c>
      <c r="P250" t="s">
        <v>27</v>
      </c>
      <c r="Q250" t="s">
        <v>27</v>
      </c>
      <c r="R250">
        <v>7.4000000953674299</v>
      </c>
      <c r="S250">
        <v>12.789999961853001</v>
      </c>
      <c r="T250">
        <v>39.812774658203097</v>
      </c>
      <c r="U250">
        <v>48.997394561767599</v>
      </c>
      <c r="V250">
        <v>-9297000</v>
      </c>
      <c r="W250">
        <v>-4.1796669960021999</v>
      </c>
      <c r="X250">
        <v>0.40000000596046398</v>
      </c>
      <c r="Y250" t="s">
        <v>27</v>
      </c>
      <c r="Z250">
        <v>-16.618911743164102</v>
      </c>
      <c r="AA250">
        <v>11858000</v>
      </c>
      <c r="AB250" t="s">
        <v>27</v>
      </c>
      <c r="AC250" t="s">
        <v>27</v>
      </c>
      <c r="AD250">
        <v>-7.9999998211860698E-2</v>
      </c>
      <c r="AE250">
        <v>30.400831222534201</v>
      </c>
      <c r="AF250">
        <v>8.1570066088155908</v>
      </c>
      <c r="AG250">
        <v>26871000</v>
      </c>
      <c r="AH250">
        <v>9.6766605377197301</v>
      </c>
      <c r="AI250">
        <v>-13.469586372375501</v>
      </c>
    </row>
    <row r="251" spans="1:35">
      <c r="A251">
        <f t="shared" si="32"/>
        <v>0</v>
      </c>
      <c r="B251">
        <f t="shared" si="33"/>
        <v>1</v>
      </c>
      <c r="C251">
        <f t="shared" si="34"/>
        <v>1</v>
      </c>
      <c r="D251">
        <f t="shared" si="35"/>
        <v>1</v>
      </c>
      <c r="E251">
        <f t="shared" si="36"/>
        <v>0</v>
      </c>
      <c r="F251">
        <f t="shared" si="37"/>
        <v>0</v>
      </c>
      <c r="G251">
        <f t="shared" si="38"/>
        <v>0</v>
      </c>
      <c r="H251">
        <v>0</v>
      </c>
      <c r="I251">
        <f t="shared" si="39"/>
        <v>0</v>
      </c>
      <c r="J251">
        <v>0</v>
      </c>
      <c r="K251" t="s">
        <v>1215</v>
      </c>
      <c r="L251" t="s">
        <v>1216</v>
      </c>
      <c r="M251" t="s">
        <v>27</v>
      </c>
      <c r="N251" t="s">
        <v>27</v>
      </c>
      <c r="O251">
        <v>0.93</v>
      </c>
      <c r="P251" t="s">
        <v>27</v>
      </c>
      <c r="Q251" t="s">
        <v>27</v>
      </c>
      <c r="R251">
        <v>6.6999998092651403</v>
      </c>
      <c r="S251">
        <v>6.8125</v>
      </c>
      <c r="T251">
        <v>0</v>
      </c>
      <c r="U251" t="s">
        <v>27</v>
      </c>
      <c r="V251" t="s">
        <v>27</v>
      </c>
      <c r="W251">
        <v>-45.617652893066399</v>
      </c>
      <c r="X251">
        <v>-1.7300000190734901</v>
      </c>
      <c r="Y251" t="s">
        <v>27</v>
      </c>
      <c r="Z251" t="s">
        <v>27</v>
      </c>
      <c r="AA251">
        <v>25496000</v>
      </c>
      <c r="AB251" t="s">
        <v>27</v>
      </c>
      <c r="AC251" t="s">
        <v>27</v>
      </c>
      <c r="AD251">
        <v>-0.519999980926514</v>
      </c>
      <c r="AE251">
        <v>48.163845062255902</v>
      </c>
      <c r="AF251" t="s">
        <v>27</v>
      </c>
      <c r="AG251">
        <v>37964000</v>
      </c>
      <c r="AH251">
        <v>0</v>
      </c>
      <c r="AI251">
        <v>-1.63281297683716</v>
      </c>
    </row>
    <row r="252" spans="1:35">
      <c r="A252">
        <f t="shared" si="32"/>
        <v>0</v>
      </c>
      <c r="B252">
        <f t="shared" si="33"/>
        <v>0</v>
      </c>
      <c r="C252">
        <f t="shared" si="34"/>
        <v>1</v>
      </c>
      <c r="D252">
        <f t="shared" si="35"/>
        <v>0</v>
      </c>
      <c r="E252">
        <f t="shared" si="36"/>
        <v>0</v>
      </c>
      <c r="F252">
        <f t="shared" si="37"/>
        <v>1</v>
      </c>
      <c r="G252">
        <f t="shared" si="38"/>
        <v>0</v>
      </c>
      <c r="H252">
        <v>0</v>
      </c>
      <c r="I252">
        <f t="shared" si="39"/>
        <v>0</v>
      </c>
      <c r="J252">
        <v>0</v>
      </c>
      <c r="K252" t="s">
        <v>1223</v>
      </c>
      <c r="L252" t="s">
        <v>1224</v>
      </c>
      <c r="M252" t="s">
        <v>27</v>
      </c>
      <c r="N252" t="s">
        <v>27</v>
      </c>
      <c r="O252">
        <v>1.71</v>
      </c>
      <c r="P252" t="s">
        <v>27</v>
      </c>
      <c r="Q252" t="s">
        <v>27</v>
      </c>
      <c r="R252">
        <v>11.0200004577637</v>
      </c>
      <c r="S252">
        <v>13.651620252800001</v>
      </c>
      <c r="T252">
        <v>0</v>
      </c>
      <c r="U252">
        <v>45.129112243652301</v>
      </c>
      <c r="V252">
        <v>21855000</v>
      </c>
      <c r="W252" t="s">
        <v>27</v>
      </c>
      <c r="X252">
        <v>7.0000000298023196E-2</v>
      </c>
      <c r="Y252">
        <v>-2.4386620521545401</v>
      </c>
      <c r="Z252">
        <v>0.619529008865356</v>
      </c>
      <c r="AA252">
        <v>184228000</v>
      </c>
      <c r="AB252" t="s">
        <v>27</v>
      </c>
      <c r="AC252" t="s">
        <v>27</v>
      </c>
      <c r="AD252">
        <v>-0.68999999761581399</v>
      </c>
      <c r="AE252">
        <v>43.926490783691399</v>
      </c>
      <c r="AF252" t="s">
        <v>27</v>
      </c>
      <c r="AG252">
        <v>193964000</v>
      </c>
      <c r="AH252">
        <v>0</v>
      </c>
      <c r="AI252" t="s">
        <v>27</v>
      </c>
    </row>
    <row r="253" spans="1:35">
      <c r="A253">
        <f t="shared" si="32"/>
        <v>0</v>
      </c>
      <c r="B253">
        <f t="shared" si="33"/>
        <v>0</v>
      </c>
      <c r="C253">
        <f t="shared" si="34"/>
        <v>0</v>
      </c>
      <c r="D253">
        <f t="shared" si="35"/>
        <v>1</v>
      </c>
      <c r="E253">
        <f t="shared" si="36"/>
        <v>0</v>
      </c>
      <c r="F253">
        <f t="shared" si="37"/>
        <v>0</v>
      </c>
      <c r="G253">
        <f t="shared" si="38"/>
        <v>0</v>
      </c>
      <c r="H253">
        <v>0</v>
      </c>
      <c r="I253">
        <f t="shared" si="39"/>
        <v>0</v>
      </c>
      <c r="J253">
        <v>0</v>
      </c>
      <c r="K253" t="s">
        <v>1225</v>
      </c>
      <c r="L253" t="s">
        <v>1226</v>
      </c>
      <c r="M253" t="s">
        <v>27</v>
      </c>
      <c r="N253" t="s">
        <v>27</v>
      </c>
      <c r="O253">
        <v>2.669</v>
      </c>
      <c r="P253" t="s">
        <v>27</v>
      </c>
      <c r="Q253" t="s">
        <v>27</v>
      </c>
      <c r="R253">
        <v>6.75</v>
      </c>
      <c r="S253">
        <v>17.6875</v>
      </c>
      <c r="T253">
        <v>0</v>
      </c>
      <c r="U253">
        <v>74.473182678222699</v>
      </c>
      <c r="V253">
        <v>-5209000</v>
      </c>
      <c r="W253">
        <v>4.9666671752929696</v>
      </c>
      <c r="X253">
        <v>-0.46000000834464999</v>
      </c>
      <c r="Y253">
        <v>0.57918602228164695</v>
      </c>
      <c r="Z253">
        <v>-21.0526313781738</v>
      </c>
      <c r="AA253">
        <v>62620000</v>
      </c>
      <c r="AB253" t="s">
        <v>27</v>
      </c>
      <c r="AC253" t="s">
        <v>27</v>
      </c>
      <c r="AD253">
        <v>-0.129999995231628</v>
      </c>
      <c r="AE253">
        <v>60.895790100097699</v>
      </c>
      <c r="AF253" t="s">
        <v>27</v>
      </c>
      <c r="AG253">
        <v>63638000</v>
      </c>
      <c r="AH253">
        <v>0</v>
      </c>
      <c r="AI253">
        <v>-19.027879714965799</v>
      </c>
    </row>
    <row r="254" spans="1:35">
      <c r="A254">
        <f t="shared" si="32"/>
        <v>0</v>
      </c>
      <c r="B254">
        <f t="shared" si="33"/>
        <v>1</v>
      </c>
      <c r="C254">
        <f t="shared" si="34"/>
        <v>1</v>
      </c>
      <c r="D254">
        <f t="shared" si="35"/>
        <v>1</v>
      </c>
      <c r="E254">
        <f t="shared" si="36"/>
        <v>0</v>
      </c>
      <c r="F254">
        <f t="shared" si="37"/>
        <v>1</v>
      </c>
      <c r="G254">
        <f t="shared" si="38"/>
        <v>1</v>
      </c>
      <c r="H254">
        <v>0</v>
      </c>
      <c r="I254">
        <f t="shared" si="39"/>
        <v>0</v>
      </c>
      <c r="J254">
        <v>0</v>
      </c>
      <c r="K254" t="s">
        <v>1231</v>
      </c>
      <c r="L254" t="s">
        <v>1232</v>
      </c>
      <c r="M254" t="s">
        <v>27</v>
      </c>
      <c r="N254" t="s">
        <v>27</v>
      </c>
      <c r="O254">
        <v>17.489999999999998</v>
      </c>
      <c r="P254" t="s">
        <v>27</v>
      </c>
      <c r="Q254" t="s">
        <v>27</v>
      </c>
      <c r="R254">
        <v>52.680000305175803</v>
      </c>
      <c r="S254">
        <v>62.75</v>
      </c>
      <c r="T254">
        <v>0</v>
      </c>
      <c r="U254">
        <v>80.653266906738295</v>
      </c>
      <c r="V254">
        <v>2263000</v>
      </c>
      <c r="W254">
        <v>-7.6361317634582502</v>
      </c>
      <c r="X254">
        <v>9.9999997764825804E-3</v>
      </c>
      <c r="Y254">
        <v>-4.5455001294612898E-2</v>
      </c>
      <c r="Z254">
        <v>0.70588201284408603</v>
      </c>
      <c r="AA254">
        <v>41442000</v>
      </c>
      <c r="AB254" t="s">
        <v>73</v>
      </c>
      <c r="AC254" t="s">
        <v>141</v>
      </c>
      <c r="AD254">
        <v>0.10000000149011599</v>
      </c>
      <c r="AE254">
        <v>88.545783996582003</v>
      </c>
      <c r="AF254">
        <v>19.7771727905556</v>
      </c>
      <c r="AG254">
        <v>42218160</v>
      </c>
      <c r="AH254">
        <v>71.758369445800795</v>
      </c>
      <c r="AI254">
        <v>3.39006495475769</v>
      </c>
    </row>
    <row r="255" spans="1:35">
      <c r="A255">
        <f t="shared" si="32"/>
        <v>1</v>
      </c>
      <c r="B255">
        <f t="shared" si="33"/>
        <v>0</v>
      </c>
      <c r="C255">
        <f t="shared" si="34"/>
        <v>1</v>
      </c>
      <c r="D255">
        <f t="shared" si="35"/>
        <v>1</v>
      </c>
      <c r="E255">
        <f t="shared" si="36"/>
        <v>0</v>
      </c>
      <c r="F255">
        <f t="shared" si="37"/>
        <v>0</v>
      </c>
      <c r="G255">
        <f t="shared" si="38"/>
        <v>0</v>
      </c>
      <c r="H255">
        <v>0</v>
      </c>
      <c r="I255">
        <f t="shared" si="39"/>
        <v>0</v>
      </c>
      <c r="J255">
        <v>0</v>
      </c>
      <c r="K255" t="s">
        <v>1235</v>
      </c>
      <c r="L255" t="s">
        <v>1236</v>
      </c>
      <c r="M255" t="s">
        <v>27</v>
      </c>
      <c r="N255" t="s">
        <v>27</v>
      </c>
      <c r="O255">
        <v>7.35</v>
      </c>
      <c r="P255" t="s">
        <v>27</v>
      </c>
      <c r="Q255" t="s">
        <v>27</v>
      </c>
      <c r="R255">
        <v>12.75</v>
      </c>
      <c r="S255">
        <v>9.875</v>
      </c>
      <c r="T255">
        <v>17.2043552398682</v>
      </c>
      <c r="U255" t="s">
        <v>27</v>
      </c>
      <c r="V255">
        <v>4348000</v>
      </c>
      <c r="W255">
        <v>-66.876686096191406</v>
      </c>
      <c r="X255">
        <v>-0.33000001311302202</v>
      </c>
      <c r="Y255">
        <v>-10.785714149475099</v>
      </c>
      <c r="Z255">
        <v>-21.258741378784201</v>
      </c>
      <c r="AA255">
        <v>13115000</v>
      </c>
      <c r="AB255" t="s">
        <v>27</v>
      </c>
      <c r="AC255" t="s">
        <v>27</v>
      </c>
      <c r="AD255">
        <v>-0.28000000119209301</v>
      </c>
      <c r="AE255" t="s">
        <v>27</v>
      </c>
      <c r="AF255" t="s">
        <v>27</v>
      </c>
      <c r="AG255">
        <v>14176000</v>
      </c>
      <c r="AH255">
        <v>0.63865500688552901</v>
      </c>
      <c r="AI255">
        <v>-114.869552612305</v>
      </c>
    </row>
    <row r="256" spans="1:35">
      <c r="A256">
        <f t="shared" si="32"/>
        <v>0</v>
      </c>
      <c r="B256">
        <f t="shared" si="33"/>
        <v>0</v>
      </c>
      <c r="C256">
        <f t="shared" si="34"/>
        <v>0</v>
      </c>
      <c r="D256">
        <f t="shared" si="35"/>
        <v>0</v>
      </c>
      <c r="E256">
        <f t="shared" si="36"/>
        <v>0</v>
      </c>
      <c r="F256">
        <f t="shared" si="37"/>
        <v>1</v>
      </c>
      <c r="G256">
        <f t="shared" si="38"/>
        <v>0</v>
      </c>
      <c r="H256">
        <v>0</v>
      </c>
      <c r="I256">
        <f t="shared" si="39"/>
        <v>0</v>
      </c>
      <c r="J256">
        <v>0</v>
      </c>
      <c r="K256" t="s">
        <v>1245</v>
      </c>
      <c r="L256" t="s">
        <v>1246</v>
      </c>
      <c r="M256" t="s">
        <v>27</v>
      </c>
      <c r="N256" t="s">
        <v>27</v>
      </c>
      <c r="O256">
        <v>13.08</v>
      </c>
      <c r="P256" t="s">
        <v>27</v>
      </c>
      <c r="Q256" t="s">
        <v>27</v>
      </c>
      <c r="R256">
        <v>14.1000003814697</v>
      </c>
      <c r="S256">
        <v>10.4899997711182</v>
      </c>
      <c r="T256">
        <v>51.092296600341797</v>
      </c>
      <c r="U256" t="s">
        <v>27</v>
      </c>
      <c r="V256">
        <v>-294000</v>
      </c>
      <c r="W256">
        <v>7.4368181228637704</v>
      </c>
      <c r="X256">
        <v>0.70999997854232799</v>
      </c>
      <c r="Y256">
        <v>16.872726440429702</v>
      </c>
      <c r="Z256">
        <v>10.170940399169901</v>
      </c>
      <c r="AA256">
        <v>11873301</v>
      </c>
      <c r="AB256" t="s">
        <v>83</v>
      </c>
      <c r="AC256" t="s">
        <v>84</v>
      </c>
      <c r="AD256">
        <v>0.270000010728836</v>
      </c>
      <c r="AE256" t="s">
        <v>27</v>
      </c>
      <c r="AF256">
        <v>10.635886140724899</v>
      </c>
      <c r="AG256">
        <v>28862500</v>
      </c>
      <c r="AH256">
        <v>54.576145172119098</v>
      </c>
      <c r="AI256">
        <v>4.9913740158081099</v>
      </c>
    </row>
    <row r="257" spans="1:35">
      <c r="A257">
        <f t="shared" si="32"/>
        <v>0</v>
      </c>
      <c r="B257">
        <f t="shared" si="33"/>
        <v>0</v>
      </c>
      <c r="C257">
        <f t="shared" si="34"/>
        <v>1</v>
      </c>
      <c r="D257">
        <f t="shared" si="35"/>
        <v>1</v>
      </c>
      <c r="E257">
        <f t="shared" si="36"/>
        <v>0</v>
      </c>
      <c r="F257">
        <f t="shared" si="37"/>
        <v>1</v>
      </c>
      <c r="G257">
        <f t="shared" si="38"/>
        <v>1</v>
      </c>
      <c r="H257">
        <v>0</v>
      </c>
      <c r="I257">
        <f t="shared" si="39"/>
        <v>1</v>
      </c>
      <c r="J257">
        <v>0</v>
      </c>
      <c r="K257" t="s">
        <v>1247</v>
      </c>
      <c r="L257" t="s">
        <v>1248</v>
      </c>
      <c r="M257" t="s">
        <v>27</v>
      </c>
      <c r="N257" t="s">
        <v>27</v>
      </c>
      <c r="O257">
        <v>18.079999999999998</v>
      </c>
      <c r="P257">
        <v>-3.7062540054321298</v>
      </c>
      <c r="Q257" t="s">
        <v>27</v>
      </c>
      <c r="R257">
        <v>7.5999997456868504</v>
      </c>
      <c r="S257">
        <v>5.5</v>
      </c>
      <c r="T257">
        <v>0</v>
      </c>
      <c r="U257">
        <v>54.379878997802699</v>
      </c>
      <c r="V257">
        <v>1686000.125</v>
      </c>
      <c r="W257">
        <v>12.3676567077637</v>
      </c>
      <c r="X257">
        <v>-1.9999999552965199E-2</v>
      </c>
      <c r="Y257">
        <v>0.89887601137161299</v>
      </c>
      <c r="Z257">
        <v>-5.3110051155090297</v>
      </c>
      <c r="AA257">
        <v>10465500</v>
      </c>
      <c r="AB257" t="s">
        <v>27</v>
      </c>
      <c r="AC257" t="s">
        <v>27</v>
      </c>
      <c r="AD257">
        <v>2.6666666070620199E-2</v>
      </c>
      <c r="AE257">
        <v>56.854450225830099</v>
      </c>
      <c r="AF257">
        <v>22.679560988572899</v>
      </c>
      <c r="AG257">
        <v>10330500</v>
      </c>
      <c r="AH257">
        <v>0</v>
      </c>
      <c r="AI257">
        <v>0.241993993520737</v>
      </c>
    </row>
    <row r="258" spans="1:35">
      <c r="A258">
        <f t="shared" si="32"/>
        <v>0</v>
      </c>
      <c r="B258">
        <f t="shared" si="33"/>
        <v>1</v>
      </c>
      <c r="C258">
        <f t="shared" si="34"/>
        <v>1</v>
      </c>
      <c r="D258">
        <f t="shared" si="35"/>
        <v>1</v>
      </c>
      <c r="E258">
        <f t="shared" si="36"/>
        <v>0</v>
      </c>
      <c r="F258">
        <f t="shared" si="37"/>
        <v>1</v>
      </c>
      <c r="G258">
        <f t="shared" si="38"/>
        <v>1</v>
      </c>
      <c r="H258">
        <v>0</v>
      </c>
      <c r="I258">
        <f t="shared" si="39"/>
        <v>0</v>
      </c>
      <c r="J258">
        <v>0</v>
      </c>
      <c r="K258" t="s">
        <v>1251</v>
      </c>
      <c r="L258" t="s">
        <v>1252</v>
      </c>
      <c r="M258" t="s">
        <v>27</v>
      </c>
      <c r="N258" t="s">
        <v>27</v>
      </c>
      <c r="O258">
        <v>34.6</v>
      </c>
      <c r="P258">
        <v>7.0367350578308097</v>
      </c>
      <c r="Q258" t="s">
        <v>27</v>
      </c>
      <c r="R258">
        <v>32.25</v>
      </c>
      <c r="S258">
        <v>20.299999237060501</v>
      </c>
      <c r="T258">
        <v>1.43326103687286</v>
      </c>
      <c r="U258">
        <v>30.5794467926025</v>
      </c>
      <c r="V258">
        <v>7987000.5</v>
      </c>
      <c r="W258">
        <v>4.7409648895263699</v>
      </c>
      <c r="X258">
        <v>0.37000000476837203</v>
      </c>
      <c r="Y258">
        <v>6.38848876953125</v>
      </c>
      <c r="Z258">
        <v>5.4618468284606898</v>
      </c>
      <c r="AA258">
        <v>12268000</v>
      </c>
      <c r="AB258" t="s">
        <v>61</v>
      </c>
      <c r="AC258" t="s">
        <v>101</v>
      </c>
      <c r="AD258">
        <v>1.3899999856948899</v>
      </c>
      <c r="AE258">
        <v>31.957464218139599</v>
      </c>
      <c r="AF258">
        <v>8.4628881196736891</v>
      </c>
      <c r="AG258">
        <v>12424000</v>
      </c>
      <c r="AH258">
        <v>2.2525339126586901</v>
      </c>
      <c r="AI258">
        <v>8.5203266143798793</v>
      </c>
    </row>
    <row r="259" spans="1:35">
      <c r="A259">
        <f t="shared" si="32"/>
        <v>0</v>
      </c>
      <c r="B259">
        <f t="shared" si="33"/>
        <v>1</v>
      </c>
      <c r="C259">
        <f t="shared" si="34"/>
        <v>0</v>
      </c>
      <c r="D259">
        <f t="shared" si="35"/>
        <v>0</v>
      </c>
      <c r="E259">
        <f t="shared" si="36"/>
        <v>0</v>
      </c>
      <c r="F259">
        <f t="shared" si="37"/>
        <v>0</v>
      </c>
      <c r="G259">
        <f t="shared" si="38"/>
        <v>0</v>
      </c>
      <c r="H259">
        <v>0</v>
      </c>
      <c r="I259">
        <f t="shared" si="39"/>
        <v>1</v>
      </c>
      <c r="J259">
        <v>0</v>
      </c>
      <c r="K259" t="s">
        <v>1253</v>
      </c>
      <c r="L259" t="s">
        <v>1254</v>
      </c>
      <c r="M259" t="s">
        <v>27</v>
      </c>
      <c r="N259" t="s">
        <v>27</v>
      </c>
      <c r="O259">
        <v>7.3</v>
      </c>
      <c r="P259" t="s">
        <v>27</v>
      </c>
      <c r="Q259" t="s">
        <v>27</v>
      </c>
      <c r="R259">
        <v>6.6500000953674299</v>
      </c>
      <c r="S259">
        <v>10</v>
      </c>
      <c r="T259">
        <v>3.59349393844604</v>
      </c>
      <c r="U259" t="s">
        <v>27</v>
      </c>
      <c r="V259">
        <v>-5856000</v>
      </c>
      <c r="W259">
        <v>-99.659088134765597</v>
      </c>
      <c r="X259" t="s">
        <v>27</v>
      </c>
      <c r="Y259" t="s">
        <v>27</v>
      </c>
      <c r="Z259" t="s">
        <v>27</v>
      </c>
      <c r="AA259">
        <v>25767476</v>
      </c>
      <c r="AB259" t="s">
        <v>27</v>
      </c>
      <c r="AC259" t="s">
        <v>27</v>
      </c>
      <c r="AD259">
        <v>-0.21999999880790699</v>
      </c>
      <c r="AE259" t="s">
        <v>27</v>
      </c>
      <c r="AF259" t="s">
        <v>27</v>
      </c>
      <c r="AG259">
        <v>29170000</v>
      </c>
      <c r="AH259">
        <v>7.4597182273864702</v>
      </c>
      <c r="AI259">
        <v>-64.222831726074205</v>
      </c>
    </row>
    <row r="260" spans="1:35">
      <c r="A260">
        <f t="shared" si="32"/>
        <v>0</v>
      </c>
      <c r="B260">
        <f t="shared" si="33"/>
        <v>0</v>
      </c>
      <c r="C260">
        <f t="shared" si="34"/>
        <v>0</v>
      </c>
      <c r="D260">
        <f t="shared" si="35"/>
        <v>0</v>
      </c>
      <c r="E260">
        <f t="shared" si="36"/>
        <v>0</v>
      </c>
      <c r="F260">
        <f t="shared" si="37"/>
        <v>1</v>
      </c>
      <c r="G260">
        <f t="shared" si="38"/>
        <v>0</v>
      </c>
      <c r="H260">
        <v>0</v>
      </c>
      <c r="I260">
        <f t="shared" si="39"/>
        <v>0</v>
      </c>
      <c r="J260">
        <v>0</v>
      </c>
      <c r="K260" t="s">
        <v>1255</v>
      </c>
      <c r="L260" t="s">
        <v>1256</v>
      </c>
      <c r="M260" t="s">
        <v>27</v>
      </c>
      <c r="N260" t="s">
        <v>27</v>
      </c>
      <c r="O260">
        <v>5.45</v>
      </c>
      <c r="P260" t="s">
        <v>27</v>
      </c>
      <c r="Q260" t="s">
        <v>27</v>
      </c>
      <c r="R260">
        <v>19.909999847412099</v>
      </c>
      <c r="S260">
        <v>7.1697499999999996</v>
      </c>
      <c r="T260">
        <v>0</v>
      </c>
      <c r="U260">
        <v>37.268955230712898</v>
      </c>
      <c r="V260">
        <v>-7853000</v>
      </c>
      <c r="W260" t="s">
        <v>27</v>
      </c>
      <c r="X260">
        <v>0.28000000119209301</v>
      </c>
      <c r="Y260" t="s">
        <v>27</v>
      </c>
      <c r="Z260" t="s">
        <v>27</v>
      </c>
      <c r="AA260">
        <v>41372000</v>
      </c>
      <c r="AB260" t="s">
        <v>27</v>
      </c>
      <c r="AC260" t="s">
        <v>27</v>
      </c>
      <c r="AD260">
        <v>-3.9999999105930301E-2</v>
      </c>
      <c r="AE260">
        <v>28.5831184387207</v>
      </c>
      <c r="AF260" t="s">
        <v>27</v>
      </c>
      <c r="AG260">
        <v>42138000</v>
      </c>
      <c r="AH260">
        <v>0</v>
      </c>
      <c r="AI260" t="s">
        <v>27</v>
      </c>
    </row>
    <row r="261" spans="1:35">
      <c r="A261">
        <f t="shared" si="32"/>
        <v>1</v>
      </c>
      <c r="B261">
        <f t="shared" si="33"/>
        <v>0</v>
      </c>
      <c r="C261">
        <f t="shared" si="34"/>
        <v>1</v>
      </c>
      <c r="D261">
        <f t="shared" si="35"/>
        <v>1</v>
      </c>
      <c r="E261">
        <f t="shared" si="36"/>
        <v>0</v>
      </c>
      <c r="F261">
        <f t="shared" si="37"/>
        <v>0</v>
      </c>
      <c r="G261">
        <f t="shared" si="38"/>
        <v>0</v>
      </c>
      <c r="H261">
        <v>0</v>
      </c>
      <c r="I261">
        <f t="shared" si="39"/>
        <v>0</v>
      </c>
      <c r="J261">
        <v>0</v>
      </c>
      <c r="K261" t="s">
        <v>1263</v>
      </c>
      <c r="L261" t="s">
        <v>1264</v>
      </c>
      <c r="M261" t="s">
        <v>27</v>
      </c>
      <c r="N261" t="s">
        <v>27</v>
      </c>
      <c r="O261">
        <v>7.7</v>
      </c>
      <c r="P261" t="s">
        <v>27</v>
      </c>
      <c r="Q261" t="s">
        <v>27</v>
      </c>
      <c r="R261">
        <v>19.889999389648398</v>
      </c>
      <c r="S261">
        <v>6.75</v>
      </c>
      <c r="T261">
        <v>130.29864501953099</v>
      </c>
      <c r="U261">
        <v>61.443035125732401</v>
      </c>
      <c r="V261">
        <v>829999.9375</v>
      </c>
      <c r="W261">
        <v>-26.849689483642599</v>
      </c>
      <c r="X261">
        <v>-0.89999997615814198</v>
      </c>
      <c r="Y261">
        <v>-29.4054069519043</v>
      </c>
      <c r="Z261">
        <v>-9.1402721405029297</v>
      </c>
      <c r="AA261">
        <v>17781000</v>
      </c>
      <c r="AB261" t="s">
        <v>38</v>
      </c>
      <c r="AC261" t="s">
        <v>628</v>
      </c>
      <c r="AD261">
        <v>-0.259999990463257</v>
      </c>
      <c r="AE261">
        <v>53.9246635437012</v>
      </c>
      <c r="AF261">
        <v>21.0495827596528</v>
      </c>
      <c r="AG261">
        <v>21121000</v>
      </c>
      <c r="AH261">
        <v>103.813346862793</v>
      </c>
      <c r="AI261">
        <v>-62.828556060791001</v>
      </c>
    </row>
    <row r="262" spans="1:35">
      <c r="A262">
        <f t="shared" si="32"/>
        <v>0</v>
      </c>
      <c r="B262">
        <f t="shared" si="33"/>
        <v>0</v>
      </c>
      <c r="C262">
        <f t="shared" si="34"/>
        <v>0</v>
      </c>
      <c r="D262">
        <f t="shared" si="35"/>
        <v>1</v>
      </c>
      <c r="E262">
        <f t="shared" si="36"/>
        <v>0</v>
      </c>
      <c r="F262">
        <f t="shared" si="37"/>
        <v>0</v>
      </c>
      <c r="G262">
        <f t="shared" si="38"/>
        <v>0</v>
      </c>
      <c r="H262">
        <v>0</v>
      </c>
      <c r="I262">
        <f t="shared" si="39"/>
        <v>0</v>
      </c>
      <c r="J262">
        <v>0</v>
      </c>
      <c r="K262" t="s">
        <v>1269</v>
      </c>
      <c r="L262" t="s">
        <v>1270</v>
      </c>
      <c r="M262" t="s">
        <v>27</v>
      </c>
      <c r="N262" t="s">
        <v>27</v>
      </c>
      <c r="O262">
        <v>13.19</v>
      </c>
      <c r="P262" t="s">
        <v>27</v>
      </c>
      <c r="Q262" t="s">
        <v>27</v>
      </c>
      <c r="R262">
        <v>18.819999694824201</v>
      </c>
      <c r="S262">
        <v>17.0625</v>
      </c>
      <c r="T262">
        <v>0</v>
      </c>
      <c r="U262">
        <v>37.677120208740199</v>
      </c>
      <c r="V262">
        <v>-878999.9375</v>
      </c>
      <c r="W262">
        <v>9.5595836639404297</v>
      </c>
      <c r="X262">
        <v>-0.94999998807907104</v>
      </c>
      <c r="Y262">
        <v>1.6790119409561199</v>
      </c>
      <c r="Z262">
        <v>0.146628007292747</v>
      </c>
      <c r="AA262">
        <v>38675000</v>
      </c>
      <c r="AB262" t="s">
        <v>30</v>
      </c>
      <c r="AC262" t="s">
        <v>31</v>
      </c>
      <c r="AD262">
        <v>-7.0000000298023196E-2</v>
      </c>
      <c r="AE262">
        <v>36.932914733886697</v>
      </c>
      <c r="AF262">
        <v>132.808034644533</v>
      </c>
      <c r="AG262">
        <v>38578000</v>
      </c>
      <c r="AH262">
        <v>0.100262999534607</v>
      </c>
      <c r="AI262">
        <v>-6.0849699974060103</v>
      </c>
    </row>
    <row r="263" spans="1:35">
      <c r="A263">
        <f t="shared" si="32"/>
        <v>0</v>
      </c>
      <c r="B263">
        <f t="shared" si="33"/>
        <v>0</v>
      </c>
      <c r="C263">
        <f t="shared" si="34"/>
        <v>1</v>
      </c>
      <c r="D263">
        <f t="shared" si="35"/>
        <v>1</v>
      </c>
      <c r="E263">
        <f t="shared" si="36"/>
        <v>0</v>
      </c>
      <c r="F263">
        <f t="shared" si="37"/>
        <v>0</v>
      </c>
      <c r="G263">
        <f t="shared" si="38"/>
        <v>1</v>
      </c>
      <c r="H263">
        <v>0</v>
      </c>
      <c r="I263">
        <f t="shared" si="39"/>
        <v>0</v>
      </c>
      <c r="J263">
        <v>0</v>
      </c>
      <c r="K263" t="s">
        <v>1271</v>
      </c>
      <c r="L263" t="s">
        <v>1272</v>
      </c>
      <c r="M263" t="s">
        <v>27</v>
      </c>
      <c r="N263" t="s">
        <v>27</v>
      </c>
      <c r="O263">
        <v>2.5299999999999998</v>
      </c>
      <c r="P263" t="s">
        <v>27</v>
      </c>
      <c r="Q263" t="s">
        <v>27</v>
      </c>
      <c r="R263">
        <v>5.8000001907348597</v>
      </c>
      <c r="S263">
        <v>2.4000000953674299</v>
      </c>
      <c r="T263">
        <v>33.534080505371101</v>
      </c>
      <c r="U263">
        <v>13.064378738403301</v>
      </c>
      <c r="V263">
        <v>16358001</v>
      </c>
      <c r="W263">
        <v>2.12844610214233</v>
      </c>
      <c r="X263">
        <v>-1.9999999552965199E-2</v>
      </c>
      <c r="Y263">
        <v>-37.333335876464801</v>
      </c>
      <c r="Z263">
        <v>14.0186910629272</v>
      </c>
      <c r="AA263">
        <v>25777000</v>
      </c>
      <c r="AB263" t="s">
        <v>27</v>
      </c>
      <c r="AC263" t="s">
        <v>27</v>
      </c>
      <c r="AD263">
        <v>0.140000000596046</v>
      </c>
      <c r="AE263">
        <v>16.183525085449201</v>
      </c>
      <c r="AF263">
        <v>3.8945947044603302</v>
      </c>
      <c r="AG263">
        <v>25784000</v>
      </c>
      <c r="AH263">
        <v>36.144763946533203</v>
      </c>
      <c r="AI263">
        <v>-2.0783929824829102</v>
      </c>
    </row>
    <row r="264" spans="1:35">
      <c r="A264">
        <f t="shared" si="32"/>
        <v>0</v>
      </c>
      <c r="B264">
        <f t="shared" si="33"/>
        <v>0</v>
      </c>
      <c r="C264">
        <f t="shared" si="34"/>
        <v>1</v>
      </c>
      <c r="D264">
        <f t="shared" si="35"/>
        <v>0</v>
      </c>
      <c r="E264">
        <f t="shared" si="36"/>
        <v>1</v>
      </c>
      <c r="F264">
        <f t="shared" si="37"/>
        <v>0</v>
      </c>
      <c r="G264">
        <f t="shared" si="38"/>
        <v>0</v>
      </c>
      <c r="H264">
        <v>0</v>
      </c>
      <c r="I264">
        <f t="shared" si="39"/>
        <v>0</v>
      </c>
      <c r="J264">
        <v>0</v>
      </c>
      <c r="K264" t="s">
        <v>1273</v>
      </c>
      <c r="L264" t="s">
        <v>1274</v>
      </c>
      <c r="M264" t="s">
        <v>27</v>
      </c>
      <c r="N264" t="s">
        <v>27</v>
      </c>
      <c r="O264">
        <v>8.9600000000000009</v>
      </c>
      <c r="P264" t="s">
        <v>27</v>
      </c>
      <c r="Q264" t="s">
        <v>27</v>
      </c>
      <c r="R264">
        <v>10.319999694824199</v>
      </c>
      <c r="S264">
        <v>14.75</v>
      </c>
      <c r="T264" t="s">
        <v>27</v>
      </c>
      <c r="U264" t="s">
        <v>27</v>
      </c>
      <c r="V264" t="s">
        <v>27</v>
      </c>
      <c r="W264" t="s">
        <v>27</v>
      </c>
      <c r="X264" t="s">
        <v>27</v>
      </c>
      <c r="Y264" t="s">
        <v>27</v>
      </c>
      <c r="Z264" t="s">
        <v>27</v>
      </c>
      <c r="AA264" t="s">
        <v>27</v>
      </c>
      <c r="AB264" t="s">
        <v>73</v>
      </c>
      <c r="AC264" t="s">
        <v>141</v>
      </c>
      <c r="AD264" t="s">
        <v>27</v>
      </c>
      <c r="AE264" t="s">
        <v>27</v>
      </c>
      <c r="AF264" t="s">
        <v>27</v>
      </c>
      <c r="AG264" t="s">
        <v>27</v>
      </c>
      <c r="AH264" t="s">
        <v>27</v>
      </c>
      <c r="AI264">
        <v>-68.651115417480497</v>
      </c>
    </row>
    <row r="265" spans="1:35">
      <c r="A265">
        <f t="shared" si="32"/>
        <v>1</v>
      </c>
      <c r="B265">
        <f t="shared" si="33"/>
        <v>1</v>
      </c>
      <c r="C265">
        <f t="shared" si="34"/>
        <v>0</v>
      </c>
      <c r="D265">
        <f t="shared" si="35"/>
        <v>1</v>
      </c>
      <c r="E265">
        <f t="shared" si="36"/>
        <v>0</v>
      </c>
      <c r="F265">
        <f t="shared" si="37"/>
        <v>1</v>
      </c>
      <c r="G265">
        <f t="shared" si="38"/>
        <v>1</v>
      </c>
      <c r="H265">
        <v>0</v>
      </c>
      <c r="I265">
        <f t="shared" si="39"/>
        <v>0</v>
      </c>
      <c r="J265">
        <v>0</v>
      </c>
      <c r="K265" t="s">
        <v>1277</v>
      </c>
      <c r="L265" t="s">
        <v>1278</v>
      </c>
      <c r="M265" t="s">
        <v>27</v>
      </c>
      <c r="N265" t="s">
        <v>27</v>
      </c>
      <c r="O265">
        <v>18.010000000000002</v>
      </c>
      <c r="P265">
        <v>20.962804794311499</v>
      </c>
      <c r="Q265" t="s">
        <v>27</v>
      </c>
      <c r="R265">
        <v>17.100000381469702</v>
      </c>
      <c r="S265">
        <v>24.5625</v>
      </c>
      <c r="T265">
        <v>2.1113999187946299E-2</v>
      </c>
      <c r="U265">
        <v>50.197654724121101</v>
      </c>
      <c r="V265">
        <v>-2867000</v>
      </c>
      <c r="W265">
        <v>15.306339263916</v>
      </c>
      <c r="X265">
        <v>0.36000001430511502</v>
      </c>
      <c r="Y265">
        <v>4.0233922004699698</v>
      </c>
      <c r="Z265" t="s">
        <v>27</v>
      </c>
      <c r="AA265">
        <v>11758000</v>
      </c>
      <c r="AB265" t="s">
        <v>27</v>
      </c>
      <c r="AC265" t="s">
        <v>27</v>
      </c>
      <c r="AD265" t="s">
        <v>27</v>
      </c>
      <c r="AE265" t="s">
        <v>27</v>
      </c>
      <c r="AF265">
        <v>16.705944123958901</v>
      </c>
      <c r="AG265">
        <v>11763000</v>
      </c>
      <c r="AH265">
        <v>2.8880001045763501E-3</v>
      </c>
      <c r="AI265">
        <v>17.5226860046387</v>
      </c>
    </row>
    <row r="266" spans="1:35">
      <c r="A266">
        <f t="shared" si="32"/>
        <v>0</v>
      </c>
      <c r="B266">
        <f t="shared" si="33"/>
        <v>1</v>
      </c>
      <c r="C266">
        <f t="shared" si="34"/>
        <v>1</v>
      </c>
      <c r="D266">
        <f t="shared" si="35"/>
        <v>0</v>
      </c>
      <c r="E266">
        <f t="shared" si="36"/>
        <v>0</v>
      </c>
      <c r="F266">
        <f t="shared" si="37"/>
        <v>0</v>
      </c>
      <c r="G266">
        <f t="shared" si="38"/>
        <v>1</v>
      </c>
      <c r="H266">
        <v>0</v>
      </c>
      <c r="I266">
        <f t="shared" si="39"/>
        <v>0</v>
      </c>
      <c r="J266">
        <v>0</v>
      </c>
      <c r="K266" t="s">
        <v>1279</v>
      </c>
      <c r="L266" t="s">
        <v>1280</v>
      </c>
      <c r="M266" t="s">
        <v>27</v>
      </c>
      <c r="N266" t="s">
        <v>27</v>
      </c>
      <c r="O266">
        <v>6.46</v>
      </c>
      <c r="P266" t="s">
        <v>27</v>
      </c>
      <c r="Q266" t="s">
        <v>27</v>
      </c>
      <c r="R266">
        <v>12.25</v>
      </c>
      <c r="S266">
        <v>15.5</v>
      </c>
      <c r="T266">
        <v>6.9765830039978001</v>
      </c>
      <c r="U266">
        <v>-106.570762634277</v>
      </c>
      <c r="V266">
        <v>2068900</v>
      </c>
      <c r="W266">
        <v>-134.28736877441401</v>
      </c>
      <c r="X266">
        <v>-0.21999999880790699</v>
      </c>
      <c r="Y266" t="s">
        <v>27</v>
      </c>
      <c r="Z266">
        <v>-8.5514841079711896</v>
      </c>
      <c r="AA266">
        <v>44992000</v>
      </c>
      <c r="AB266" t="s">
        <v>73</v>
      </c>
      <c r="AC266" t="s">
        <v>141</v>
      </c>
      <c r="AD266">
        <v>-0.34999999403953602</v>
      </c>
      <c r="AE266">
        <v>-88.346740722656307</v>
      </c>
      <c r="AF266" t="s">
        <v>27</v>
      </c>
      <c r="AG266">
        <v>49511000</v>
      </c>
      <c r="AH266">
        <v>20.483793258666999</v>
      </c>
      <c r="AI266">
        <v>-67.297538757324205</v>
      </c>
    </row>
    <row r="267" spans="1:35">
      <c r="A267">
        <f t="shared" si="32"/>
        <v>0</v>
      </c>
      <c r="B267">
        <f t="shared" si="33"/>
        <v>0</v>
      </c>
      <c r="C267">
        <f t="shared" si="34"/>
        <v>1</v>
      </c>
      <c r="D267">
        <f t="shared" si="35"/>
        <v>0</v>
      </c>
      <c r="E267">
        <f t="shared" si="36"/>
        <v>0</v>
      </c>
      <c r="F267">
        <f t="shared" si="37"/>
        <v>1</v>
      </c>
      <c r="G267">
        <f t="shared" si="38"/>
        <v>0</v>
      </c>
      <c r="H267">
        <v>0</v>
      </c>
      <c r="I267">
        <f t="shared" si="39"/>
        <v>0</v>
      </c>
      <c r="J267">
        <v>0</v>
      </c>
      <c r="K267" t="s">
        <v>1281</v>
      </c>
      <c r="L267" t="s">
        <v>1282</v>
      </c>
      <c r="M267" t="s">
        <v>27</v>
      </c>
      <c r="N267" t="s">
        <v>27</v>
      </c>
      <c r="O267">
        <v>14.3</v>
      </c>
      <c r="P267">
        <v>8.0265331268310494</v>
      </c>
      <c r="Q267" t="s">
        <v>27</v>
      </c>
      <c r="R267">
        <v>22.579999923706101</v>
      </c>
      <c r="S267">
        <v>32.375</v>
      </c>
      <c r="T267">
        <v>39.669544219970703</v>
      </c>
      <c r="U267" t="s">
        <v>27</v>
      </c>
      <c r="V267">
        <v>16741001</v>
      </c>
      <c r="W267">
        <v>4.8679609298706099</v>
      </c>
      <c r="X267">
        <v>0.36000001430511502</v>
      </c>
      <c r="Y267">
        <v>14.652630805969199</v>
      </c>
      <c r="Z267">
        <v>10.453215599060099</v>
      </c>
      <c r="AA267">
        <v>25610000</v>
      </c>
      <c r="AB267" t="s">
        <v>27</v>
      </c>
      <c r="AC267" t="s">
        <v>27</v>
      </c>
      <c r="AD267">
        <v>3.9999999105930301E-2</v>
      </c>
      <c r="AE267" t="s">
        <v>27</v>
      </c>
      <c r="AF267">
        <v>6.02310264746865</v>
      </c>
      <c r="AG267">
        <v>25811000</v>
      </c>
      <c r="AH267">
        <v>41.946029663085902</v>
      </c>
      <c r="AI267">
        <v>2.7906360626220699</v>
      </c>
    </row>
    <row r="268" spans="1:35">
      <c r="A268">
        <f t="shared" si="32"/>
        <v>0</v>
      </c>
      <c r="B268">
        <f t="shared" si="33"/>
        <v>0</v>
      </c>
      <c r="C268">
        <f t="shared" si="34"/>
        <v>1</v>
      </c>
      <c r="D268">
        <f t="shared" si="35"/>
        <v>0</v>
      </c>
      <c r="E268">
        <f t="shared" si="36"/>
        <v>0</v>
      </c>
      <c r="F268">
        <f t="shared" si="37"/>
        <v>0</v>
      </c>
      <c r="G268">
        <f t="shared" si="38"/>
        <v>0</v>
      </c>
      <c r="H268">
        <v>0</v>
      </c>
      <c r="I268">
        <f t="shared" si="39"/>
        <v>0</v>
      </c>
      <c r="J268">
        <v>0</v>
      </c>
      <c r="K268" t="s">
        <v>1285</v>
      </c>
      <c r="L268" t="s">
        <v>1286</v>
      </c>
      <c r="M268" t="s">
        <v>27</v>
      </c>
      <c r="N268" t="s">
        <v>27</v>
      </c>
      <c r="O268">
        <v>4.09</v>
      </c>
      <c r="P268">
        <v>3.4181499481201199</v>
      </c>
      <c r="Q268" t="s">
        <v>27</v>
      </c>
      <c r="R268">
        <v>13.939999580383301</v>
      </c>
      <c r="S268">
        <v>47.625</v>
      </c>
      <c r="T268">
        <v>0</v>
      </c>
      <c r="U268">
        <v>51.324764251708999</v>
      </c>
      <c r="V268">
        <v>9190001</v>
      </c>
      <c r="W268">
        <v>5.8301701545715297</v>
      </c>
      <c r="X268">
        <v>3.9999999105930301E-2</v>
      </c>
      <c r="Y268">
        <v>0.22707399725913999</v>
      </c>
      <c r="Z268">
        <v>0.72358900308608998</v>
      </c>
      <c r="AA268">
        <v>107609208</v>
      </c>
      <c r="AB268" t="s">
        <v>38</v>
      </c>
      <c r="AC268" t="s">
        <v>113</v>
      </c>
      <c r="AD268">
        <v>-0.31999999284744302</v>
      </c>
      <c r="AE268">
        <v>23.065135955810501</v>
      </c>
      <c r="AF268" t="s">
        <v>27</v>
      </c>
      <c r="AG268">
        <v>114173336</v>
      </c>
      <c r="AH268">
        <v>0</v>
      </c>
      <c r="AI268">
        <v>-11.652589797973601</v>
      </c>
    </row>
    <row r="269" spans="1:35">
      <c r="A269">
        <f t="shared" si="32"/>
        <v>1</v>
      </c>
      <c r="B269">
        <f t="shared" si="33"/>
        <v>0</v>
      </c>
      <c r="C269">
        <f t="shared" si="34"/>
        <v>0</v>
      </c>
      <c r="D269">
        <f t="shared" si="35"/>
        <v>1</v>
      </c>
      <c r="E269">
        <f t="shared" si="36"/>
        <v>0</v>
      </c>
      <c r="F269">
        <f t="shared" si="37"/>
        <v>0</v>
      </c>
      <c r="G269">
        <f t="shared" si="38"/>
        <v>1</v>
      </c>
      <c r="H269">
        <v>0</v>
      </c>
      <c r="I269">
        <f t="shared" si="39"/>
        <v>0</v>
      </c>
      <c r="J269">
        <v>0</v>
      </c>
      <c r="K269" t="s">
        <v>1287</v>
      </c>
      <c r="L269" t="s">
        <v>1288</v>
      </c>
      <c r="M269" t="s">
        <v>27</v>
      </c>
      <c r="N269" t="s">
        <v>27</v>
      </c>
      <c r="O269">
        <v>5.1100000000000003</v>
      </c>
      <c r="P269" t="s">
        <v>27</v>
      </c>
      <c r="Q269" t="s">
        <v>27</v>
      </c>
      <c r="R269">
        <v>9.6800003051757795</v>
      </c>
      <c r="S269">
        <v>14</v>
      </c>
      <c r="T269">
        <v>5.1481809616088903</v>
      </c>
      <c r="U269">
        <v>-44.261898040771499</v>
      </c>
      <c r="V269">
        <v>-9407000</v>
      </c>
      <c r="W269" t="s">
        <v>27</v>
      </c>
      <c r="X269">
        <v>-0.20999999344348899</v>
      </c>
      <c r="Y269" t="s">
        <v>27</v>
      </c>
      <c r="Z269">
        <v>-6.9289989471435502</v>
      </c>
      <c r="AA269">
        <v>84982000</v>
      </c>
      <c r="AB269" t="s">
        <v>27</v>
      </c>
      <c r="AC269" t="s">
        <v>27</v>
      </c>
      <c r="AD269">
        <v>-0.119999997317791</v>
      </c>
      <c r="AE269">
        <v>-3.1221759319305402</v>
      </c>
      <c r="AF269">
        <v>466.05600556853</v>
      </c>
      <c r="AG269">
        <v>102956000</v>
      </c>
      <c r="AH269">
        <v>1.9366309642791699</v>
      </c>
      <c r="AI269">
        <v>-72.1207275390625</v>
      </c>
    </row>
    <row r="270" spans="1:35">
      <c r="A270">
        <f t="shared" si="32"/>
        <v>0</v>
      </c>
      <c r="B270">
        <f t="shared" si="33"/>
        <v>0</v>
      </c>
      <c r="C270">
        <f t="shared" si="34"/>
        <v>1</v>
      </c>
      <c r="D270">
        <f t="shared" si="35"/>
        <v>0</v>
      </c>
      <c r="E270">
        <f t="shared" si="36"/>
        <v>0</v>
      </c>
      <c r="F270">
        <f t="shared" si="37"/>
        <v>0</v>
      </c>
      <c r="G270">
        <f t="shared" si="38"/>
        <v>0</v>
      </c>
      <c r="H270">
        <v>0</v>
      </c>
      <c r="I270">
        <f t="shared" si="39"/>
        <v>0</v>
      </c>
      <c r="J270">
        <v>0</v>
      </c>
      <c r="K270" t="s">
        <v>1291</v>
      </c>
      <c r="L270" t="s">
        <v>1292</v>
      </c>
      <c r="M270" t="s">
        <v>27</v>
      </c>
      <c r="N270" t="s">
        <v>27</v>
      </c>
      <c r="O270">
        <v>12.96</v>
      </c>
      <c r="P270">
        <v>18.600376129150401</v>
      </c>
      <c r="Q270" t="s">
        <v>27</v>
      </c>
      <c r="R270">
        <v>23.379999160766602</v>
      </c>
      <c r="S270">
        <v>17</v>
      </c>
      <c r="T270">
        <v>0</v>
      </c>
      <c r="U270">
        <v>67.874588012695298</v>
      </c>
      <c r="V270">
        <v>1889999.875</v>
      </c>
      <c r="W270">
        <v>16.518823623657202</v>
      </c>
      <c r="X270">
        <v>5.9999998658895499E-2</v>
      </c>
      <c r="Y270">
        <v>2.0294120311737101</v>
      </c>
      <c r="Z270">
        <v>-8.9439649581909197</v>
      </c>
      <c r="AA270">
        <v>21613000</v>
      </c>
      <c r="AB270" t="s">
        <v>38</v>
      </c>
      <c r="AC270" t="s">
        <v>113</v>
      </c>
      <c r="AD270">
        <v>-0.46000000834464999</v>
      </c>
      <c r="AE270">
        <v>53.944892883300803</v>
      </c>
      <c r="AF270" t="s">
        <v>27</v>
      </c>
      <c r="AG270">
        <v>24764000</v>
      </c>
      <c r="AH270">
        <v>0</v>
      </c>
      <c r="AI270">
        <v>-24.9228000640869</v>
      </c>
    </row>
    <row r="271" spans="1:35">
      <c r="A271">
        <f t="shared" si="32"/>
        <v>0</v>
      </c>
      <c r="B271">
        <f t="shared" si="33"/>
        <v>1</v>
      </c>
      <c r="C271">
        <f t="shared" si="34"/>
        <v>0</v>
      </c>
      <c r="D271">
        <f t="shared" si="35"/>
        <v>1</v>
      </c>
      <c r="E271">
        <f t="shared" si="36"/>
        <v>0</v>
      </c>
      <c r="F271">
        <f t="shared" si="37"/>
        <v>0</v>
      </c>
      <c r="G271">
        <f t="shared" si="38"/>
        <v>1</v>
      </c>
      <c r="H271">
        <v>0</v>
      </c>
      <c r="I271">
        <f t="shared" si="39"/>
        <v>0</v>
      </c>
      <c r="J271">
        <v>0</v>
      </c>
      <c r="K271" t="s">
        <v>1298</v>
      </c>
      <c r="L271" t="s">
        <v>1299</v>
      </c>
      <c r="M271" t="s">
        <v>27</v>
      </c>
      <c r="N271" t="s">
        <v>27</v>
      </c>
      <c r="O271">
        <v>4.01</v>
      </c>
      <c r="P271" t="s">
        <v>27</v>
      </c>
      <c r="Q271" t="s">
        <v>27</v>
      </c>
      <c r="R271">
        <v>9.4200000762939506</v>
      </c>
      <c r="S271">
        <v>8.46875</v>
      </c>
      <c r="T271">
        <v>0</v>
      </c>
      <c r="U271">
        <v>-45.473171234130902</v>
      </c>
      <c r="V271">
        <v>-4009000</v>
      </c>
      <c r="W271">
        <v>-53.045158386230497</v>
      </c>
      <c r="X271">
        <v>-0.64999997615814198</v>
      </c>
      <c r="Y271">
        <v>-14.135923385620099</v>
      </c>
      <c r="Z271">
        <v>-4.9668869972229004</v>
      </c>
      <c r="AA271">
        <v>10900000</v>
      </c>
      <c r="AB271" t="s">
        <v>38</v>
      </c>
      <c r="AC271" t="s">
        <v>89</v>
      </c>
      <c r="AD271">
        <v>-2.9999999329447701E-2</v>
      </c>
      <c r="AE271">
        <v>81.097160339355497</v>
      </c>
      <c r="AF271" t="s">
        <v>27</v>
      </c>
      <c r="AG271">
        <v>44859000</v>
      </c>
      <c r="AH271">
        <v>0</v>
      </c>
      <c r="AI271">
        <v>-14.236228942871101</v>
      </c>
    </row>
    <row r="272" spans="1:35">
      <c r="A272">
        <f t="shared" si="32"/>
        <v>1</v>
      </c>
      <c r="B272">
        <f t="shared" si="33"/>
        <v>1</v>
      </c>
      <c r="C272">
        <f t="shared" si="34"/>
        <v>1</v>
      </c>
      <c r="D272">
        <f t="shared" si="35"/>
        <v>1</v>
      </c>
      <c r="E272">
        <f t="shared" si="36"/>
        <v>0</v>
      </c>
      <c r="F272">
        <f t="shared" si="37"/>
        <v>1</v>
      </c>
      <c r="G272">
        <f t="shared" si="38"/>
        <v>0</v>
      </c>
      <c r="H272">
        <v>0</v>
      </c>
      <c r="I272">
        <f t="shared" si="39"/>
        <v>0</v>
      </c>
      <c r="J272">
        <v>0</v>
      </c>
      <c r="K272" t="s">
        <v>1308</v>
      </c>
      <c r="L272" t="s">
        <v>1309</v>
      </c>
      <c r="M272" t="s">
        <v>27</v>
      </c>
      <c r="N272" t="s">
        <v>27</v>
      </c>
      <c r="O272">
        <v>26.11</v>
      </c>
      <c r="P272" t="s">
        <v>27</v>
      </c>
      <c r="Q272" t="s">
        <v>27</v>
      </c>
      <c r="R272">
        <v>47</v>
      </c>
      <c r="S272">
        <v>25.549999237060501</v>
      </c>
      <c r="T272">
        <v>95.829063415527301</v>
      </c>
      <c r="U272" t="s">
        <v>27</v>
      </c>
      <c r="V272">
        <v>119032000</v>
      </c>
      <c r="W272">
        <v>0.305806994438171</v>
      </c>
      <c r="X272">
        <v>0.25</v>
      </c>
      <c r="Y272">
        <v>4.7659568786621103</v>
      </c>
      <c r="Z272" t="s">
        <v>27</v>
      </c>
      <c r="AA272">
        <v>11130017</v>
      </c>
      <c r="AB272" t="s">
        <v>34</v>
      </c>
      <c r="AC272" t="s">
        <v>458</v>
      </c>
      <c r="AD272" t="s">
        <v>27</v>
      </c>
      <c r="AE272" t="s">
        <v>27</v>
      </c>
      <c r="AF272">
        <v>19.9015759617706</v>
      </c>
      <c r="AG272">
        <v>11380305</v>
      </c>
      <c r="AH272">
        <v>93.734809875488295</v>
      </c>
      <c r="AI272">
        <v>0.36294299364089999</v>
      </c>
    </row>
    <row r="273" spans="1:35">
      <c r="A273">
        <f t="shared" si="32"/>
        <v>0</v>
      </c>
      <c r="B273">
        <f t="shared" si="33"/>
        <v>1</v>
      </c>
      <c r="C273">
        <f t="shared" si="34"/>
        <v>0</v>
      </c>
      <c r="D273">
        <f t="shared" si="35"/>
        <v>1</v>
      </c>
      <c r="E273">
        <f t="shared" si="36"/>
        <v>0</v>
      </c>
      <c r="F273">
        <f t="shared" si="37"/>
        <v>1</v>
      </c>
      <c r="G273">
        <f t="shared" si="38"/>
        <v>0</v>
      </c>
      <c r="H273">
        <v>0</v>
      </c>
      <c r="I273">
        <f t="shared" si="39"/>
        <v>1</v>
      </c>
      <c r="J273">
        <v>0</v>
      </c>
      <c r="K273" t="s">
        <v>1310</v>
      </c>
      <c r="L273" t="s">
        <v>1311</v>
      </c>
      <c r="M273" t="s">
        <v>27</v>
      </c>
      <c r="N273" t="s">
        <v>27</v>
      </c>
      <c r="O273">
        <v>28.04</v>
      </c>
      <c r="P273" t="s">
        <v>27</v>
      </c>
      <c r="Q273" t="s">
        <v>27</v>
      </c>
      <c r="R273">
        <v>24.309999465942401</v>
      </c>
      <c r="S273">
        <v>19.719999313354499</v>
      </c>
      <c r="T273">
        <v>62.541713714599602</v>
      </c>
      <c r="U273" t="s">
        <v>27</v>
      </c>
      <c r="V273">
        <v>-117405008</v>
      </c>
      <c r="W273">
        <v>3.2098839282989502</v>
      </c>
      <c r="X273">
        <v>0.31999999284744302</v>
      </c>
      <c r="Y273">
        <v>7.0588231086731001</v>
      </c>
      <c r="Z273">
        <v>6.6818180084228498</v>
      </c>
      <c r="AA273">
        <v>40867020</v>
      </c>
      <c r="AB273" t="s">
        <v>83</v>
      </c>
      <c r="AC273" t="s">
        <v>84</v>
      </c>
      <c r="AD273">
        <v>0.34000000357627902</v>
      </c>
      <c r="AE273" t="s">
        <v>27</v>
      </c>
      <c r="AF273">
        <v>10.8014100475663</v>
      </c>
      <c r="AG273">
        <v>41464936</v>
      </c>
      <c r="AH273">
        <v>66.399398803710895</v>
      </c>
      <c r="AI273">
        <v>3.83648610115051</v>
      </c>
    </row>
    <row r="274" spans="1:35">
      <c r="A274">
        <f t="shared" si="32"/>
        <v>1</v>
      </c>
      <c r="B274">
        <f t="shared" si="33"/>
        <v>0</v>
      </c>
      <c r="C274">
        <f t="shared" si="34"/>
        <v>1</v>
      </c>
      <c r="D274">
        <f t="shared" si="35"/>
        <v>0</v>
      </c>
      <c r="E274">
        <f t="shared" si="36"/>
        <v>0</v>
      </c>
      <c r="F274">
        <f t="shared" si="37"/>
        <v>1</v>
      </c>
      <c r="G274">
        <f t="shared" si="38"/>
        <v>0</v>
      </c>
      <c r="H274">
        <v>0</v>
      </c>
      <c r="I274">
        <f t="shared" si="39"/>
        <v>0</v>
      </c>
      <c r="J274">
        <v>0</v>
      </c>
      <c r="K274" t="s">
        <v>1316</v>
      </c>
      <c r="L274" t="s">
        <v>1317</v>
      </c>
      <c r="M274" t="s">
        <v>27</v>
      </c>
      <c r="N274" t="s">
        <v>27</v>
      </c>
      <c r="O274">
        <v>10.45</v>
      </c>
      <c r="P274" t="s">
        <v>27</v>
      </c>
      <c r="Q274" t="s">
        <v>27</v>
      </c>
      <c r="R274">
        <v>17.930000305175799</v>
      </c>
      <c r="S274">
        <v>24</v>
      </c>
      <c r="T274">
        <v>44.674404144287102</v>
      </c>
      <c r="U274" t="s">
        <v>27</v>
      </c>
      <c r="V274" t="s">
        <v>27</v>
      </c>
      <c r="W274" t="s">
        <v>27</v>
      </c>
      <c r="X274">
        <v>0.44999998807907099</v>
      </c>
      <c r="Y274">
        <v>1.47027003765106</v>
      </c>
      <c r="Z274">
        <v>-1.7100369930267301</v>
      </c>
      <c r="AA274">
        <v>54260000</v>
      </c>
      <c r="AB274" t="s">
        <v>83</v>
      </c>
      <c r="AC274" t="s">
        <v>84</v>
      </c>
      <c r="AD274">
        <v>-0.60000002384185802</v>
      </c>
      <c r="AE274" t="s">
        <v>27</v>
      </c>
      <c r="AF274">
        <v>8.2665009751589604</v>
      </c>
      <c r="AG274">
        <v>52981000</v>
      </c>
      <c r="AH274">
        <v>41.863567352294901</v>
      </c>
      <c r="AI274">
        <v>1.4761669635772701</v>
      </c>
    </row>
    <row r="275" spans="1:35">
      <c r="A275">
        <f t="shared" si="32"/>
        <v>1</v>
      </c>
      <c r="B275">
        <f t="shared" si="33"/>
        <v>1</v>
      </c>
      <c r="C275">
        <f t="shared" si="34"/>
        <v>1</v>
      </c>
      <c r="D275">
        <f t="shared" si="35"/>
        <v>1</v>
      </c>
      <c r="E275">
        <f t="shared" si="36"/>
        <v>0</v>
      </c>
      <c r="F275">
        <f t="shared" si="37"/>
        <v>1</v>
      </c>
      <c r="G275">
        <f t="shared" si="38"/>
        <v>1</v>
      </c>
      <c r="H275">
        <v>0</v>
      </c>
      <c r="I275">
        <f t="shared" si="39"/>
        <v>1</v>
      </c>
      <c r="J275">
        <v>0</v>
      </c>
      <c r="K275" t="s">
        <v>1322</v>
      </c>
      <c r="L275" t="s">
        <v>1323</v>
      </c>
      <c r="M275" t="s">
        <v>27</v>
      </c>
      <c r="N275" t="s">
        <v>27</v>
      </c>
      <c r="O275">
        <v>18.059999999999999</v>
      </c>
      <c r="P275" t="s">
        <v>27</v>
      </c>
      <c r="Q275" t="s">
        <v>27</v>
      </c>
      <c r="R275">
        <v>12.3999996185303</v>
      </c>
      <c r="S275">
        <v>8.9687500000089706</v>
      </c>
      <c r="T275">
        <v>38.367359161377003</v>
      </c>
      <c r="U275">
        <v>63.741779327392599</v>
      </c>
      <c r="V275">
        <v>6588999</v>
      </c>
      <c r="W275">
        <v>-32.411773681640597</v>
      </c>
      <c r="X275">
        <v>2.1000000182560201E-2</v>
      </c>
      <c r="Y275">
        <v>-13.8500003814697</v>
      </c>
      <c r="Z275">
        <v>-0.394737988710403</v>
      </c>
      <c r="AA275">
        <v>3671714.28571061</v>
      </c>
      <c r="AB275" t="s">
        <v>27</v>
      </c>
      <c r="AC275" t="s">
        <v>27</v>
      </c>
      <c r="AD275">
        <v>0.109999999403954</v>
      </c>
      <c r="AE275">
        <v>66.086761474609403</v>
      </c>
      <c r="AF275">
        <v>10.4736717819547</v>
      </c>
      <c r="AG275">
        <v>24175000</v>
      </c>
      <c r="AH275">
        <v>8.9564847946166992</v>
      </c>
      <c r="AI275">
        <v>3.1415679454803498</v>
      </c>
    </row>
    <row r="276" spans="1:35">
      <c r="A276">
        <f t="shared" si="32"/>
        <v>0</v>
      </c>
      <c r="B276">
        <f t="shared" si="33"/>
        <v>1</v>
      </c>
      <c r="C276">
        <f t="shared" si="34"/>
        <v>1</v>
      </c>
      <c r="D276">
        <f t="shared" si="35"/>
        <v>0</v>
      </c>
      <c r="E276">
        <f t="shared" si="36"/>
        <v>0</v>
      </c>
      <c r="F276">
        <f t="shared" si="37"/>
        <v>1</v>
      </c>
      <c r="G276">
        <f t="shared" si="38"/>
        <v>0</v>
      </c>
      <c r="H276">
        <v>0</v>
      </c>
      <c r="I276">
        <f t="shared" si="39"/>
        <v>0</v>
      </c>
      <c r="J276">
        <v>0</v>
      </c>
      <c r="K276" t="s">
        <v>1324</v>
      </c>
      <c r="L276" t="s">
        <v>1325</v>
      </c>
      <c r="M276" t="s">
        <v>27</v>
      </c>
      <c r="N276" t="s">
        <v>27</v>
      </c>
      <c r="O276">
        <v>12.5</v>
      </c>
      <c r="P276">
        <v>20.087160110473601</v>
      </c>
      <c r="Q276" t="s">
        <v>27</v>
      </c>
      <c r="R276">
        <v>22.899999618530298</v>
      </c>
      <c r="S276">
        <v>27.125</v>
      </c>
      <c r="T276">
        <v>0</v>
      </c>
      <c r="U276">
        <v>67.616119384765597</v>
      </c>
      <c r="V276">
        <v>2298999.75</v>
      </c>
      <c r="W276">
        <v>8.7899856567382795</v>
      </c>
      <c r="X276">
        <v>0.30000001192092901</v>
      </c>
      <c r="Y276">
        <v>5.44329881668091</v>
      </c>
      <c r="Z276">
        <v>0.99304902553558305</v>
      </c>
      <c r="AA276">
        <v>34511000</v>
      </c>
      <c r="AB276" t="s">
        <v>27</v>
      </c>
      <c r="AC276" t="s">
        <v>27</v>
      </c>
      <c r="AD276">
        <v>-5.9999998658895499E-2</v>
      </c>
      <c r="AE276">
        <v>65.395065307617202</v>
      </c>
      <c r="AF276">
        <v>11.6743162472818</v>
      </c>
      <c r="AG276">
        <v>35020000</v>
      </c>
      <c r="AH276">
        <v>0</v>
      </c>
      <c r="AI276">
        <v>13.657960891723601</v>
      </c>
    </row>
    <row r="277" spans="1:35">
      <c r="A277">
        <f t="shared" si="32"/>
        <v>0</v>
      </c>
      <c r="B277">
        <f t="shared" si="33"/>
        <v>0</v>
      </c>
      <c r="C277">
        <f t="shared" si="34"/>
        <v>0</v>
      </c>
      <c r="D277">
        <f t="shared" si="35"/>
        <v>0</v>
      </c>
      <c r="E277">
        <f t="shared" si="36"/>
        <v>0</v>
      </c>
      <c r="F277">
        <f t="shared" si="37"/>
        <v>0</v>
      </c>
      <c r="G277">
        <f t="shared" si="38"/>
        <v>0</v>
      </c>
      <c r="H277">
        <v>0</v>
      </c>
      <c r="I277">
        <f t="shared" si="39"/>
        <v>0</v>
      </c>
      <c r="J277">
        <v>0</v>
      </c>
      <c r="K277" t="s">
        <v>1332</v>
      </c>
      <c r="L277" t="s">
        <v>1333</v>
      </c>
      <c r="M277" t="s">
        <v>27</v>
      </c>
      <c r="N277" t="s">
        <v>27</v>
      </c>
      <c r="O277">
        <v>1.3</v>
      </c>
      <c r="P277" t="s">
        <v>27</v>
      </c>
      <c r="Q277" t="s">
        <v>27</v>
      </c>
      <c r="R277">
        <v>11.7700004577637</v>
      </c>
      <c r="S277">
        <v>36.375</v>
      </c>
      <c r="T277">
        <v>0.29276400804519698</v>
      </c>
      <c r="U277">
        <v>39.489757537841797</v>
      </c>
      <c r="V277">
        <v>-29204998</v>
      </c>
      <c r="W277">
        <v>1.4932340383529701</v>
      </c>
      <c r="X277">
        <v>-0.15000000596046401</v>
      </c>
      <c r="Y277">
        <v>0.35864099860191301</v>
      </c>
      <c r="Z277">
        <v>-0.63938599824905396</v>
      </c>
      <c r="AA277">
        <v>169496992</v>
      </c>
      <c r="AB277" t="s">
        <v>38</v>
      </c>
      <c r="AC277" t="s">
        <v>113</v>
      </c>
      <c r="AD277">
        <v>-0.31000000238418601</v>
      </c>
      <c r="AE277">
        <v>4.6685161590576199</v>
      </c>
      <c r="AF277" t="s">
        <v>27</v>
      </c>
      <c r="AG277">
        <v>188620000</v>
      </c>
      <c r="AH277">
        <v>7.8538069725036603</v>
      </c>
      <c r="AI277">
        <v>-12.2514991760254</v>
      </c>
    </row>
    <row r="278" spans="1:35">
      <c r="A278">
        <f t="shared" si="32"/>
        <v>1</v>
      </c>
      <c r="B278">
        <f t="shared" si="33"/>
        <v>0</v>
      </c>
      <c r="C278">
        <f t="shared" si="34"/>
        <v>1</v>
      </c>
      <c r="D278">
        <f t="shared" si="35"/>
        <v>1</v>
      </c>
      <c r="E278">
        <f t="shared" si="36"/>
        <v>0</v>
      </c>
      <c r="F278">
        <f t="shared" si="37"/>
        <v>1</v>
      </c>
      <c r="G278">
        <f t="shared" si="38"/>
        <v>0</v>
      </c>
      <c r="H278">
        <v>0</v>
      </c>
      <c r="I278">
        <f t="shared" si="39"/>
        <v>1</v>
      </c>
      <c r="J278">
        <v>0</v>
      </c>
      <c r="K278" t="s">
        <v>1336</v>
      </c>
      <c r="L278" t="s">
        <v>1337</v>
      </c>
      <c r="M278" t="s">
        <v>27</v>
      </c>
      <c r="N278" t="s">
        <v>27</v>
      </c>
      <c r="O278">
        <v>13.1</v>
      </c>
      <c r="P278" t="s">
        <v>27</v>
      </c>
      <c r="Q278" t="s">
        <v>27</v>
      </c>
      <c r="R278">
        <v>10</v>
      </c>
      <c r="S278">
        <v>12.125</v>
      </c>
      <c r="T278">
        <v>40.391929626464801</v>
      </c>
      <c r="U278">
        <v>50.531673431396499</v>
      </c>
      <c r="V278">
        <v>153880992</v>
      </c>
      <c r="W278" t="s">
        <v>27</v>
      </c>
      <c r="X278">
        <v>1.08000004291534</v>
      </c>
      <c r="Y278" t="s">
        <v>27</v>
      </c>
      <c r="Z278" t="s">
        <v>27</v>
      </c>
      <c r="AA278">
        <v>10416000</v>
      </c>
      <c r="AB278" t="s">
        <v>27</v>
      </c>
      <c r="AC278" t="s">
        <v>27</v>
      </c>
      <c r="AD278">
        <v>2.78999996185303</v>
      </c>
      <c r="AE278">
        <v>49.905483245849602</v>
      </c>
      <c r="AF278" t="s">
        <v>27</v>
      </c>
      <c r="AG278">
        <v>10337000</v>
      </c>
      <c r="AH278">
        <v>37.104896545410199</v>
      </c>
      <c r="AI278">
        <v>0.86304402351379395</v>
      </c>
    </row>
    <row r="279" spans="1:35">
      <c r="A279">
        <f t="shared" si="32"/>
        <v>1</v>
      </c>
      <c r="B279">
        <f t="shared" si="33"/>
        <v>0</v>
      </c>
      <c r="C279">
        <f t="shared" si="34"/>
        <v>1</v>
      </c>
      <c r="D279">
        <f t="shared" si="35"/>
        <v>1</v>
      </c>
      <c r="E279">
        <f t="shared" si="36"/>
        <v>0</v>
      </c>
      <c r="F279">
        <f t="shared" si="37"/>
        <v>0</v>
      </c>
      <c r="G279">
        <f t="shared" si="38"/>
        <v>1</v>
      </c>
      <c r="H279">
        <v>0</v>
      </c>
      <c r="I279">
        <f t="shared" si="39"/>
        <v>0</v>
      </c>
      <c r="J279">
        <v>0</v>
      </c>
      <c r="K279" t="s">
        <v>1352</v>
      </c>
      <c r="L279" t="s">
        <v>1353</v>
      </c>
      <c r="M279" t="s">
        <v>27</v>
      </c>
      <c r="N279" t="s">
        <v>27</v>
      </c>
      <c r="O279">
        <v>5.59</v>
      </c>
      <c r="P279" t="s">
        <v>27</v>
      </c>
      <c r="Q279" t="s">
        <v>27</v>
      </c>
      <c r="R279">
        <v>11.1400003433228</v>
      </c>
      <c r="S279">
        <v>9.5</v>
      </c>
      <c r="T279">
        <v>0.10980100184678999</v>
      </c>
      <c r="U279">
        <v>32.437389373779297</v>
      </c>
      <c r="V279">
        <v>5988000</v>
      </c>
      <c r="W279" t="s">
        <v>27</v>
      </c>
      <c r="X279">
        <v>-0.25</v>
      </c>
      <c r="Y279">
        <v>-3.95505595207214</v>
      </c>
      <c r="Z279">
        <v>-0.222469002008438</v>
      </c>
      <c r="AA279">
        <v>24874704</v>
      </c>
      <c r="AB279" t="s">
        <v>27</v>
      </c>
      <c r="AC279" t="s">
        <v>27</v>
      </c>
      <c r="AD279">
        <v>5.0000000745058101E-2</v>
      </c>
      <c r="AE279">
        <v>36.157684326171903</v>
      </c>
      <c r="AF279" t="s">
        <v>27</v>
      </c>
      <c r="AG279">
        <v>23593000</v>
      </c>
      <c r="AH279">
        <v>0</v>
      </c>
      <c r="AI279">
        <v>-9.7001638412475604</v>
      </c>
    </row>
    <row r="280" spans="1:35">
      <c r="A280">
        <f t="shared" si="32"/>
        <v>1</v>
      </c>
      <c r="B280">
        <f t="shared" si="33"/>
        <v>0</v>
      </c>
      <c r="C280">
        <f t="shared" si="34"/>
        <v>1</v>
      </c>
      <c r="D280">
        <f t="shared" si="35"/>
        <v>1</v>
      </c>
      <c r="E280">
        <f t="shared" si="36"/>
        <v>0</v>
      </c>
      <c r="F280">
        <f t="shared" si="37"/>
        <v>1</v>
      </c>
      <c r="G280">
        <f t="shared" si="38"/>
        <v>0</v>
      </c>
      <c r="H280">
        <v>0</v>
      </c>
      <c r="I280">
        <f t="shared" si="39"/>
        <v>0</v>
      </c>
      <c r="J280">
        <v>0</v>
      </c>
      <c r="K280" t="s">
        <v>1378</v>
      </c>
      <c r="L280" t="s">
        <v>1379</v>
      </c>
      <c r="M280" t="s">
        <v>27</v>
      </c>
      <c r="N280" t="s">
        <v>27</v>
      </c>
      <c r="O280">
        <v>16.82</v>
      </c>
      <c r="P280">
        <v>2.1852269172668501</v>
      </c>
      <c r="Q280" t="s">
        <v>27</v>
      </c>
      <c r="R280">
        <v>16.75</v>
      </c>
      <c r="S280">
        <v>11.625</v>
      </c>
      <c r="T280">
        <v>29.845981597900401</v>
      </c>
      <c r="U280" t="s">
        <v>27</v>
      </c>
      <c r="V280">
        <v>15988000</v>
      </c>
      <c r="W280">
        <v>0.75757002830505404</v>
      </c>
      <c r="X280">
        <v>0.20999999344348899</v>
      </c>
      <c r="Y280">
        <v>8.1818180084228498</v>
      </c>
      <c r="Z280">
        <v>7.4229688644409197</v>
      </c>
      <c r="AA280">
        <v>8897000</v>
      </c>
      <c r="AB280" t="s">
        <v>34</v>
      </c>
      <c r="AC280" t="s">
        <v>458</v>
      </c>
      <c r="AD280">
        <v>0.34000000357627902</v>
      </c>
      <c r="AE280" t="s">
        <v>27</v>
      </c>
      <c r="AF280" t="s">
        <v>27</v>
      </c>
      <c r="AG280">
        <v>14364000</v>
      </c>
      <c r="AH280">
        <v>21.6276454925537</v>
      </c>
      <c r="AI280">
        <v>0.47754400968551602</v>
      </c>
    </row>
    <row r="281" spans="1:35">
      <c r="A281">
        <f t="shared" si="32"/>
        <v>0</v>
      </c>
      <c r="B281">
        <f t="shared" si="33"/>
        <v>1</v>
      </c>
      <c r="C281">
        <f t="shared" si="34"/>
        <v>1</v>
      </c>
      <c r="D281">
        <f t="shared" si="35"/>
        <v>0</v>
      </c>
      <c r="E281">
        <f t="shared" si="36"/>
        <v>0</v>
      </c>
      <c r="F281">
        <f t="shared" si="37"/>
        <v>0</v>
      </c>
      <c r="G281">
        <f t="shared" si="38"/>
        <v>0</v>
      </c>
      <c r="H281">
        <v>0</v>
      </c>
      <c r="I281">
        <f t="shared" si="39"/>
        <v>0</v>
      </c>
      <c r="J281">
        <v>0</v>
      </c>
      <c r="K281" t="s">
        <v>1392</v>
      </c>
      <c r="L281" t="s">
        <v>1393</v>
      </c>
      <c r="M281" t="s">
        <v>27</v>
      </c>
      <c r="N281" t="s">
        <v>27</v>
      </c>
      <c r="O281">
        <v>8.7799999999999994</v>
      </c>
      <c r="P281" t="s">
        <v>27</v>
      </c>
      <c r="Q281" t="s">
        <v>27</v>
      </c>
      <c r="R281">
        <v>19.2600002288818</v>
      </c>
      <c r="S281">
        <v>25.75</v>
      </c>
      <c r="T281">
        <v>0</v>
      </c>
      <c r="U281">
        <v>69.232864379882798</v>
      </c>
      <c r="V281">
        <v>2172000</v>
      </c>
      <c r="W281">
        <v>-23.733579635620099</v>
      </c>
      <c r="X281">
        <v>-1.9999999552965199E-2</v>
      </c>
      <c r="Y281" t="s">
        <v>27</v>
      </c>
      <c r="Z281">
        <v>2.99727511405945</v>
      </c>
      <c r="AA281">
        <v>15554000</v>
      </c>
      <c r="AB281" t="s">
        <v>27</v>
      </c>
      <c r="AC281" t="s">
        <v>27</v>
      </c>
      <c r="AD281">
        <v>-0.20000000298023199</v>
      </c>
      <c r="AE281">
        <v>60.286354064941399</v>
      </c>
      <c r="AF281">
        <v>16.2248274071605</v>
      </c>
      <c r="AG281">
        <v>15914000</v>
      </c>
      <c r="AH281">
        <v>0</v>
      </c>
      <c r="AI281">
        <v>-21.324464797973601</v>
      </c>
    </row>
    <row r="282" spans="1:35">
      <c r="A282">
        <f t="shared" si="32"/>
        <v>1</v>
      </c>
      <c r="B282">
        <f t="shared" si="33"/>
        <v>0</v>
      </c>
      <c r="C282">
        <f t="shared" si="34"/>
        <v>0</v>
      </c>
      <c r="D282">
        <f t="shared" si="35"/>
        <v>0</v>
      </c>
      <c r="E282">
        <f t="shared" si="36"/>
        <v>0</v>
      </c>
      <c r="F282">
        <f t="shared" si="37"/>
        <v>0</v>
      </c>
      <c r="G282">
        <f t="shared" si="38"/>
        <v>0</v>
      </c>
      <c r="H282">
        <v>0</v>
      </c>
      <c r="I282">
        <f t="shared" si="39"/>
        <v>0</v>
      </c>
      <c r="J282">
        <v>0</v>
      </c>
      <c r="K282" t="s">
        <v>1396</v>
      </c>
      <c r="L282" t="s">
        <v>1397</v>
      </c>
      <c r="M282" t="s">
        <v>27</v>
      </c>
      <c r="N282" t="s">
        <v>27</v>
      </c>
      <c r="O282">
        <v>4.99</v>
      </c>
      <c r="P282">
        <v>2.4438641071319598</v>
      </c>
      <c r="Q282" t="s">
        <v>27</v>
      </c>
      <c r="R282">
        <v>11</v>
      </c>
      <c r="S282">
        <v>14.0100002288818</v>
      </c>
      <c r="T282">
        <v>6.9727320671081499</v>
      </c>
      <c r="U282">
        <v>20.769689559936499</v>
      </c>
      <c r="V282">
        <v>-2577000.25</v>
      </c>
      <c r="W282">
        <v>5.4431128501892099</v>
      </c>
      <c r="X282">
        <v>-0.10000000149011599</v>
      </c>
      <c r="Y282">
        <v>4.5</v>
      </c>
      <c r="Z282">
        <v>-31.0520935058594</v>
      </c>
      <c r="AA282">
        <v>32740002</v>
      </c>
      <c r="AB282" t="s">
        <v>27</v>
      </c>
      <c r="AC282" t="s">
        <v>27</v>
      </c>
      <c r="AD282">
        <v>-0.37999999523162797</v>
      </c>
      <c r="AE282">
        <v>20.641685485839801</v>
      </c>
      <c r="AF282">
        <v>135.84722257202301</v>
      </c>
      <c r="AG282">
        <v>34969000</v>
      </c>
      <c r="AH282">
        <v>6.1008992195129403</v>
      </c>
      <c r="AI282">
        <v>-21.324140548706101</v>
      </c>
    </row>
    <row r="283" spans="1:35">
      <c r="A283">
        <f t="shared" si="32"/>
        <v>0</v>
      </c>
      <c r="B283">
        <f t="shared" si="33"/>
        <v>1</v>
      </c>
      <c r="C283">
        <f t="shared" si="34"/>
        <v>1</v>
      </c>
      <c r="D283">
        <f t="shared" si="35"/>
        <v>1</v>
      </c>
      <c r="E283">
        <f t="shared" si="36"/>
        <v>0</v>
      </c>
      <c r="F283">
        <f t="shared" si="37"/>
        <v>1</v>
      </c>
      <c r="G283">
        <f t="shared" si="38"/>
        <v>0</v>
      </c>
      <c r="H283">
        <v>0</v>
      </c>
      <c r="I283">
        <f t="shared" si="39"/>
        <v>0</v>
      </c>
      <c r="J283">
        <v>0</v>
      </c>
      <c r="K283" t="s">
        <v>1398</v>
      </c>
      <c r="L283" t="s">
        <v>1399</v>
      </c>
      <c r="M283" t="s">
        <v>27</v>
      </c>
      <c r="N283" t="s">
        <v>27</v>
      </c>
      <c r="O283">
        <v>3.65</v>
      </c>
      <c r="P283" t="s">
        <v>27</v>
      </c>
      <c r="Q283" t="s">
        <v>27</v>
      </c>
      <c r="R283">
        <v>20.5200004577637</v>
      </c>
      <c r="S283">
        <v>15.9799995422363</v>
      </c>
      <c r="T283">
        <v>49.061672210693402</v>
      </c>
      <c r="U283">
        <v>9.2600688934326207</v>
      </c>
      <c r="V283">
        <v>42663004</v>
      </c>
      <c r="W283">
        <v>-3.5017631053924601</v>
      </c>
      <c r="X283">
        <v>-0.95999997854232799</v>
      </c>
      <c r="Y283">
        <v>13.1216926574707</v>
      </c>
      <c r="Z283">
        <v>10.518053054809601</v>
      </c>
      <c r="AA283">
        <v>39618000</v>
      </c>
      <c r="AB283" t="s">
        <v>27</v>
      </c>
      <c r="AC283" t="s">
        <v>27</v>
      </c>
      <c r="AD283">
        <v>0.129999995231628</v>
      </c>
      <c r="AE283">
        <v>7.2008638381957999</v>
      </c>
      <c r="AF283">
        <v>5.3335783406993702</v>
      </c>
      <c r="AG283">
        <v>44438000</v>
      </c>
      <c r="AH283">
        <v>49.553817749023402</v>
      </c>
      <c r="AI283">
        <v>0.660516977310181</v>
      </c>
    </row>
    <row r="284" spans="1:35">
      <c r="A284">
        <f t="shared" si="32"/>
        <v>0</v>
      </c>
      <c r="B284">
        <f t="shared" si="33"/>
        <v>1</v>
      </c>
      <c r="C284">
        <f t="shared" si="34"/>
        <v>1</v>
      </c>
      <c r="D284">
        <f t="shared" si="35"/>
        <v>1</v>
      </c>
      <c r="E284">
        <f t="shared" si="36"/>
        <v>0</v>
      </c>
      <c r="F284">
        <f t="shared" si="37"/>
        <v>0</v>
      </c>
      <c r="G284">
        <f t="shared" si="38"/>
        <v>1</v>
      </c>
      <c r="H284">
        <v>0</v>
      </c>
      <c r="I284">
        <f t="shared" si="39"/>
        <v>0</v>
      </c>
      <c r="J284">
        <v>0</v>
      </c>
      <c r="K284" t="s">
        <v>1400</v>
      </c>
      <c r="L284" t="s">
        <v>1401</v>
      </c>
      <c r="M284" t="s">
        <v>27</v>
      </c>
      <c r="N284" t="s">
        <v>27</v>
      </c>
      <c r="O284">
        <v>46.67</v>
      </c>
      <c r="P284" t="s">
        <v>27</v>
      </c>
      <c r="Q284" t="s">
        <v>27</v>
      </c>
      <c r="R284">
        <v>45.659999847412102</v>
      </c>
      <c r="S284">
        <v>5</v>
      </c>
      <c r="T284">
        <v>59.483646392822301</v>
      </c>
      <c r="U284">
        <v>26.8039646148682</v>
      </c>
      <c r="V284">
        <v>7240000</v>
      </c>
      <c r="W284">
        <v>-25.118360519409201</v>
      </c>
      <c r="X284">
        <v>-1.25</v>
      </c>
      <c r="Y284">
        <v>-33.333332061767599</v>
      </c>
      <c r="Z284">
        <v>2.9734339714050302</v>
      </c>
      <c r="AA284">
        <v>14494993</v>
      </c>
      <c r="AB284" t="s">
        <v>38</v>
      </c>
      <c r="AC284" t="s">
        <v>146</v>
      </c>
      <c r="AD284">
        <v>0.40999999642372098</v>
      </c>
      <c r="AE284">
        <v>54.657993316650398</v>
      </c>
      <c r="AF284">
        <v>14.4056785324142</v>
      </c>
      <c r="AG284">
        <v>15252259</v>
      </c>
      <c r="AH284" t="s">
        <v>27</v>
      </c>
      <c r="AI284">
        <v>-14.335944175720201</v>
      </c>
    </row>
    <row r="285" spans="1:35">
      <c r="A285">
        <f t="shared" si="32"/>
        <v>0</v>
      </c>
      <c r="B285">
        <f t="shared" si="33"/>
        <v>1</v>
      </c>
      <c r="C285">
        <f t="shared" si="34"/>
        <v>0</v>
      </c>
      <c r="D285">
        <f t="shared" si="35"/>
        <v>0</v>
      </c>
      <c r="E285">
        <f t="shared" si="36"/>
        <v>0</v>
      </c>
      <c r="F285">
        <f t="shared" si="37"/>
        <v>1</v>
      </c>
      <c r="G285">
        <f t="shared" si="38"/>
        <v>0</v>
      </c>
      <c r="H285">
        <v>0</v>
      </c>
      <c r="I285">
        <f t="shared" si="39"/>
        <v>0</v>
      </c>
      <c r="J285">
        <v>0</v>
      </c>
      <c r="K285" t="s">
        <v>1406</v>
      </c>
      <c r="L285" t="s">
        <v>1407</v>
      </c>
      <c r="M285" t="s">
        <v>27</v>
      </c>
      <c r="N285" t="s">
        <v>27</v>
      </c>
      <c r="O285">
        <v>3.21</v>
      </c>
      <c r="P285" t="s">
        <v>27</v>
      </c>
      <c r="Q285" t="s">
        <v>27</v>
      </c>
      <c r="R285">
        <v>11.6199998855591</v>
      </c>
      <c r="S285">
        <v>12.5625</v>
      </c>
      <c r="T285">
        <v>40.404281616210902</v>
      </c>
      <c r="U285">
        <v>40.723667144775398</v>
      </c>
      <c r="V285">
        <v>-2447000</v>
      </c>
      <c r="W285">
        <v>4.0039591789245597</v>
      </c>
      <c r="X285">
        <v>0.15000000596046401</v>
      </c>
      <c r="Y285" t="s">
        <v>27</v>
      </c>
      <c r="Z285" t="s">
        <v>27</v>
      </c>
      <c r="AA285">
        <v>14736000</v>
      </c>
      <c r="AB285" t="s">
        <v>27</v>
      </c>
      <c r="AC285" t="s">
        <v>27</v>
      </c>
      <c r="AD285">
        <v>3.9999999105930301E-2</v>
      </c>
      <c r="AE285">
        <v>38.604892730712898</v>
      </c>
      <c r="AF285" t="s">
        <v>27</v>
      </c>
      <c r="AG285">
        <v>15103000</v>
      </c>
      <c r="AH285">
        <v>45.059822082519503</v>
      </c>
      <c r="AI285">
        <v>8.4131689071655291</v>
      </c>
    </row>
    <row r="286" spans="1:35">
      <c r="A286">
        <f t="shared" si="32"/>
        <v>1</v>
      </c>
      <c r="B286">
        <f t="shared" si="33"/>
        <v>0</v>
      </c>
      <c r="C286">
        <f t="shared" si="34"/>
        <v>1</v>
      </c>
      <c r="D286">
        <f t="shared" si="35"/>
        <v>0</v>
      </c>
      <c r="E286">
        <f t="shared" si="36"/>
        <v>0</v>
      </c>
      <c r="F286">
        <f t="shared" si="37"/>
        <v>1</v>
      </c>
      <c r="G286">
        <f t="shared" si="38"/>
        <v>0</v>
      </c>
      <c r="H286">
        <v>0</v>
      </c>
      <c r="I286">
        <f t="shared" si="39"/>
        <v>0</v>
      </c>
      <c r="J286">
        <v>0</v>
      </c>
      <c r="K286" t="s">
        <v>1408</v>
      </c>
      <c r="L286" t="s">
        <v>1409</v>
      </c>
      <c r="M286" t="s">
        <v>27</v>
      </c>
      <c r="N286" t="s">
        <v>27</v>
      </c>
      <c r="O286">
        <v>23.5</v>
      </c>
      <c r="P286" t="s">
        <v>27</v>
      </c>
      <c r="Q286" t="s">
        <v>27</v>
      </c>
      <c r="R286">
        <v>25</v>
      </c>
      <c r="S286">
        <v>11.066666920979801</v>
      </c>
      <c r="T286" t="s">
        <v>27</v>
      </c>
      <c r="U286" t="s">
        <v>27</v>
      </c>
      <c r="V286">
        <v>8133000</v>
      </c>
      <c r="W286" t="s">
        <v>27</v>
      </c>
      <c r="X286" t="s">
        <v>27</v>
      </c>
      <c r="Y286" t="s">
        <v>27</v>
      </c>
      <c r="Z286" t="s">
        <v>27</v>
      </c>
      <c r="AA286" t="s">
        <v>27</v>
      </c>
      <c r="AB286" t="s">
        <v>194</v>
      </c>
      <c r="AC286" t="s">
        <v>195</v>
      </c>
      <c r="AD286">
        <v>0.28666667143503799</v>
      </c>
      <c r="AE286">
        <v>46.713111877441399</v>
      </c>
      <c r="AF286">
        <v>6.8646106896877797</v>
      </c>
      <c r="AG286">
        <v>29799000</v>
      </c>
      <c r="AH286">
        <v>27.215091705322301</v>
      </c>
      <c r="AI286">
        <v>0.32240399718284601</v>
      </c>
    </row>
    <row r="287" spans="1:35">
      <c r="A287">
        <f t="shared" si="32"/>
        <v>1</v>
      </c>
      <c r="B287">
        <f t="shared" si="33"/>
        <v>0</v>
      </c>
      <c r="C287">
        <f t="shared" si="34"/>
        <v>1</v>
      </c>
      <c r="D287">
        <f t="shared" si="35"/>
        <v>1</v>
      </c>
      <c r="E287">
        <f t="shared" si="36"/>
        <v>0</v>
      </c>
      <c r="F287">
        <f t="shared" si="37"/>
        <v>1</v>
      </c>
      <c r="G287">
        <f t="shared" si="38"/>
        <v>0</v>
      </c>
      <c r="H287">
        <v>0</v>
      </c>
      <c r="I287">
        <f t="shared" si="39"/>
        <v>0</v>
      </c>
      <c r="J287">
        <v>0</v>
      </c>
      <c r="K287" t="s">
        <v>1414</v>
      </c>
      <c r="L287" t="s">
        <v>1415</v>
      </c>
      <c r="M287" t="s">
        <v>27</v>
      </c>
      <c r="N287" t="s">
        <v>27</v>
      </c>
      <c r="O287">
        <v>19.98</v>
      </c>
      <c r="P287">
        <v>14.3414316177368</v>
      </c>
      <c r="Q287" t="s">
        <v>27</v>
      </c>
      <c r="R287">
        <v>36</v>
      </c>
      <c r="S287">
        <v>37.858096867823399</v>
      </c>
      <c r="T287">
        <v>33.564388275146499</v>
      </c>
      <c r="U287">
        <v>27.331525802612301</v>
      </c>
      <c r="V287">
        <v>29700000</v>
      </c>
      <c r="W287">
        <v>5.2093801498413104</v>
      </c>
      <c r="X287">
        <v>-0.34000000357627902</v>
      </c>
      <c r="Y287">
        <v>8.5442676544189506</v>
      </c>
      <c r="Z287">
        <v>7.9403958320617702</v>
      </c>
      <c r="AA287">
        <v>30465132</v>
      </c>
      <c r="AB287" t="s">
        <v>52</v>
      </c>
      <c r="AC287" t="s">
        <v>53</v>
      </c>
      <c r="AD287">
        <v>0.68000000715255704</v>
      </c>
      <c r="AE287">
        <v>23.902236938476602</v>
      </c>
      <c r="AF287">
        <v>5.7918906637649599</v>
      </c>
      <c r="AG287">
        <v>31218470</v>
      </c>
      <c r="AH287">
        <v>32.443050384521499</v>
      </c>
      <c r="AI287">
        <v>3.1342539787292498</v>
      </c>
    </row>
    <row r="288" spans="1:35">
      <c r="A288">
        <f t="shared" si="32"/>
        <v>1</v>
      </c>
      <c r="B288">
        <f t="shared" si="33"/>
        <v>0</v>
      </c>
      <c r="C288">
        <f t="shared" si="34"/>
        <v>1</v>
      </c>
      <c r="D288">
        <f t="shared" si="35"/>
        <v>0</v>
      </c>
      <c r="E288">
        <f t="shared" si="36"/>
        <v>0</v>
      </c>
      <c r="F288">
        <f t="shared" si="37"/>
        <v>1</v>
      </c>
      <c r="G288">
        <f t="shared" si="38"/>
        <v>0</v>
      </c>
      <c r="H288">
        <v>0</v>
      </c>
      <c r="I288">
        <f t="shared" si="39"/>
        <v>0</v>
      </c>
      <c r="J288">
        <v>0</v>
      </c>
      <c r="K288" t="s">
        <v>1431</v>
      </c>
      <c r="L288" t="s">
        <v>1432</v>
      </c>
      <c r="M288" t="s">
        <v>27</v>
      </c>
      <c r="N288" t="s">
        <v>27</v>
      </c>
      <c r="O288">
        <v>6.44</v>
      </c>
      <c r="P288">
        <v>10.115710258483899</v>
      </c>
      <c r="Q288" t="s">
        <v>27</v>
      </c>
      <c r="R288">
        <v>14.560000419616699</v>
      </c>
      <c r="S288">
        <v>12.625</v>
      </c>
      <c r="T288">
        <v>20.5469074249268</v>
      </c>
      <c r="U288" t="s">
        <v>27</v>
      </c>
      <c r="V288">
        <v>16149000</v>
      </c>
      <c r="W288">
        <v>4.1199998855590803</v>
      </c>
      <c r="X288">
        <v>0.519999980926514</v>
      </c>
      <c r="Y288">
        <v>14.285714149475099</v>
      </c>
      <c r="Z288">
        <v>-5.8474578857421902</v>
      </c>
      <c r="AA288">
        <v>9493000</v>
      </c>
      <c r="AB288" t="s">
        <v>27</v>
      </c>
      <c r="AC288" t="s">
        <v>27</v>
      </c>
      <c r="AD288">
        <v>0.33000001311302202</v>
      </c>
      <c r="AE288" t="s">
        <v>27</v>
      </c>
      <c r="AF288" t="s">
        <v>27</v>
      </c>
      <c r="AG288">
        <v>9385000</v>
      </c>
      <c r="AH288">
        <v>7.5301198959350604</v>
      </c>
      <c r="AI288">
        <v>9.9466003477573395E-2</v>
      </c>
    </row>
    <row r="289" spans="1:35">
      <c r="A289">
        <f t="shared" si="32"/>
        <v>0</v>
      </c>
      <c r="B289">
        <f t="shared" si="33"/>
        <v>0</v>
      </c>
      <c r="C289">
        <f t="shared" si="34"/>
        <v>0</v>
      </c>
      <c r="D289">
        <f t="shared" si="35"/>
        <v>1</v>
      </c>
      <c r="E289">
        <f t="shared" si="36"/>
        <v>0</v>
      </c>
      <c r="F289">
        <f t="shared" si="37"/>
        <v>0</v>
      </c>
      <c r="G289">
        <f t="shared" si="38"/>
        <v>1</v>
      </c>
      <c r="H289">
        <v>0</v>
      </c>
      <c r="I289">
        <f t="shared" si="39"/>
        <v>0</v>
      </c>
      <c r="J289">
        <v>0</v>
      </c>
      <c r="K289" t="s">
        <v>1439</v>
      </c>
      <c r="L289" t="s">
        <v>1440</v>
      </c>
      <c r="M289" t="s">
        <v>27</v>
      </c>
      <c r="N289" t="s">
        <v>27</v>
      </c>
      <c r="O289">
        <v>4.1500000000000004</v>
      </c>
      <c r="P289" t="s">
        <v>27</v>
      </c>
      <c r="Q289" t="s">
        <v>27</v>
      </c>
      <c r="R289">
        <v>23</v>
      </c>
      <c r="S289">
        <v>23.4375</v>
      </c>
      <c r="T289">
        <v>0.92313802242279097</v>
      </c>
      <c r="U289">
        <v>39.929328918457003</v>
      </c>
      <c r="V289">
        <v>-3619000</v>
      </c>
      <c r="W289">
        <v>-18.296689987182599</v>
      </c>
      <c r="X289">
        <v>-1.25</v>
      </c>
      <c r="Y289" t="s">
        <v>27</v>
      </c>
      <c r="Z289">
        <v>-6.8052930831909197</v>
      </c>
      <c r="AA289">
        <v>38007000</v>
      </c>
      <c r="AB289" t="s">
        <v>27</v>
      </c>
      <c r="AC289" t="s">
        <v>27</v>
      </c>
      <c r="AD289">
        <v>-0.20000000298023199</v>
      </c>
      <c r="AE289">
        <v>49.532192230224602</v>
      </c>
      <c r="AF289" t="s">
        <v>27</v>
      </c>
      <c r="AG289">
        <v>40090000</v>
      </c>
      <c r="AH289">
        <v>2.41661596298218</v>
      </c>
      <c r="AI289">
        <v>-45.0625190734863</v>
      </c>
    </row>
    <row r="290" spans="1:35">
      <c r="A290">
        <f t="shared" si="32"/>
        <v>1</v>
      </c>
      <c r="B290">
        <f t="shared" si="33"/>
        <v>0</v>
      </c>
      <c r="C290">
        <f t="shared" si="34"/>
        <v>1</v>
      </c>
      <c r="D290">
        <f t="shared" si="35"/>
        <v>0</v>
      </c>
      <c r="E290">
        <f t="shared" si="36"/>
        <v>1</v>
      </c>
      <c r="F290">
        <f t="shared" si="37"/>
        <v>0</v>
      </c>
      <c r="G290">
        <f t="shared" si="38"/>
        <v>0</v>
      </c>
      <c r="H290">
        <v>0</v>
      </c>
      <c r="I290">
        <f t="shared" si="39"/>
        <v>1</v>
      </c>
      <c r="J290">
        <v>0</v>
      </c>
      <c r="K290" t="s">
        <v>1441</v>
      </c>
      <c r="L290" t="s">
        <v>1442</v>
      </c>
      <c r="M290" t="s">
        <v>27</v>
      </c>
      <c r="N290" t="s">
        <v>27</v>
      </c>
      <c r="O290">
        <v>25.51</v>
      </c>
      <c r="P290" t="s">
        <v>27</v>
      </c>
      <c r="Q290" t="s">
        <v>27</v>
      </c>
      <c r="R290">
        <v>15.4099998474121</v>
      </c>
      <c r="S290" t="s">
        <v>27</v>
      </c>
      <c r="T290" t="s">
        <v>27</v>
      </c>
      <c r="U290" t="s">
        <v>27</v>
      </c>
      <c r="V290">
        <v>2143000.25</v>
      </c>
      <c r="W290" t="s">
        <v>27</v>
      </c>
      <c r="X290" t="s">
        <v>27</v>
      </c>
      <c r="Y290" t="s">
        <v>27</v>
      </c>
      <c r="Z290" t="s">
        <v>27</v>
      </c>
      <c r="AA290" t="s">
        <v>27</v>
      </c>
      <c r="AB290" t="s">
        <v>27</v>
      </c>
      <c r="AC290" t="s">
        <v>27</v>
      </c>
      <c r="AD290">
        <v>0.10000000149011599</v>
      </c>
      <c r="AE290">
        <v>32.891056060791001</v>
      </c>
      <c r="AF290" t="s">
        <v>27</v>
      </c>
      <c r="AG290" t="s">
        <v>27</v>
      </c>
      <c r="AH290">
        <v>22.565433502197301</v>
      </c>
      <c r="AI290">
        <v>-7.2775459289550799</v>
      </c>
    </row>
    <row r="291" spans="1:35">
      <c r="A291">
        <f t="shared" si="32"/>
        <v>1</v>
      </c>
      <c r="B291">
        <f t="shared" si="33"/>
        <v>0</v>
      </c>
      <c r="C291">
        <f t="shared" si="34"/>
        <v>1</v>
      </c>
      <c r="D291">
        <f t="shared" si="35"/>
        <v>0</v>
      </c>
      <c r="E291">
        <f t="shared" si="36"/>
        <v>0</v>
      </c>
      <c r="F291">
        <f t="shared" si="37"/>
        <v>0</v>
      </c>
      <c r="G291">
        <f t="shared" si="38"/>
        <v>0</v>
      </c>
      <c r="H291">
        <v>0</v>
      </c>
      <c r="I291">
        <f t="shared" si="39"/>
        <v>0</v>
      </c>
      <c r="J291">
        <v>0</v>
      </c>
      <c r="K291" t="s">
        <v>1451</v>
      </c>
      <c r="L291" t="s">
        <v>1452</v>
      </c>
      <c r="M291" t="s">
        <v>27</v>
      </c>
      <c r="N291" t="s">
        <v>27</v>
      </c>
      <c r="O291">
        <v>2.87</v>
      </c>
      <c r="P291" t="s">
        <v>27</v>
      </c>
      <c r="Q291" t="s">
        <v>27</v>
      </c>
      <c r="R291">
        <v>9.1999998092651403</v>
      </c>
      <c r="S291">
        <v>10.0625</v>
      </c>
      <c r="T291">
        <v>2.34430003911257E-2</v>
      </c>
      <c r="U291">
        <v>35.913398742675803</v>
      </c>
      <c r="V291">
        <v>6419000</v>
      </c>
      <c r="W291">
        <v>-1.82215595245361</v>
      </c>
      <c r="X291">
        <v>0.21999999880790699</v>
      </c>
      <c r="Y291" t="s">
        <v>27</v>
      </c>
      <c r="Z291">
        <v>-1.7424240112304701</v>
      </c>
      <c r="AA291">
        <v>25375000</v>
      </c>
      <c r="AB291" t="s">
        <v>27</v>
      </c>
      <c r="AC291" t="s">
        <v>27</v>
      </c>
      <c r="AD291">
        <v>-0.28999999165535001</v>
      </c>
      <c r="AE291">
        <v>28.458446502685501</v>
      </c>
      <c r="AF291" t="s">
        <v>27</v>
      </c>
      <c r="AG291">
        <v>25984000</v>
      </c>
      <c r="AH291">
        <v>0</v>
      </c>
      <c r="AI291">
        <v>-8.2713518142700195</v>
      </c>
    </row>
    <row r="292" spans="1:35">
      <c r="A292">
        <f t="shared" si="32"/>
        <v>1</v>
      </c>
      <c r="B292">
        <f t="shared" si="33"/>
        <v>0</v>
      </c>
      <c r="C292">
        <f t="shared" si="34"/>
        <v>0</v>
      </c>
      <c r="D292">
        <f t="shared" si="35"/>
        <v>0</v>
      </c>
      <c r="E292">
        <f t="shared" si="36"/>
        <v>0</v>
      </c>
      <c r="F292">
        <f t="shared" si="37"/>
        <v>0</v>
      </c>
      <c r="G292">
        <f t="shared" si="38"/>
        <v>0</v>
      </c>
      <c r="H292">
        <v>0</v>
      </c>
      <c r="I292">
        <f t="shared" si="39"/>
        <v>0</v>
      </c>
      <c r="J292">
        <v>0</v>
      </c>
      <c r="K292" t="s">
        <v>1455</v>
      </c>
      <c r="L292" t="s">
        <v>1456</v>
      </c>
      <c r="M292" t="s">
        <v>27</v>
      </c>
      <c r="N292" t="s">
        <v>27</v>
      </c>
      <c r="O292">
        <v>4.01</v>
      </c>
      <c r="P292" t="s">
        <v>27</v>
      </c>
      <c r="Q292" t="s">
        <v>27</v>
      </c>
      <c r="R292">
        <v>6.7329376065730999</v>
      </c>
      <c r="S292">
        <v>11.140078125</v>
      </c>
      <c r="T292">
        <v>27.845220565795898</v>
      </c>
      <c r="U292">
        <v>38.824459075927699</v>
      </c>
      <c r="V292">
        <v>-977000</v>
      </c>
      <c r="W292">
        <v>3.6362988948821999</v>
      </c>
      <c r="X292">
        <v>9.00000035762787E-2</v>
      </c>
      <c r="Y292">
        <v>1.8148150444030799</v>
      </c>
      <c r="Z292">
        <v>-3.56112909317017</v>
      </c>
      <c r="AA292">
        <v>8562012</v>
      </c>
      <c r="AB292" t="s">
        <v>30</v>
      </c>
      <c r="AC292" t="s">
        <v>1457</v>
      </c>
      <c r="AD292">
        <v>-0.41999998688697798</v>
      </c>
      <c r="AE292">
        <v>32.326259613037102</v>
      </c>
      <c r="AF292" t="s">
        <v>27</v>
      </c>
      <c r="AG292">
        <v>10278000</v>
      </c>
      <c r="AH292">
        <v>10.842156410217299</v>
      </c>
      <c r="AI292">
        <v>-12.144832611084</v>
      </c>
    </row>
    <row r="293" spans="1:35">
      <c r="A293">
        <f t="shared" si="32"/>
        <v>1</v>
      </c>
      <c r="B293">
        <f t="shared" si="33"/>
        <v>1</v>
      </c>
      <c r="C293">
        <f t="shared" si="34"/>
        <v>0</v>
      </c>
      <c r="D293">
        <f t="shared" si="35"/>
        <v>0</v>
      </c>
      <c r="E293">
        <f t="shared" si="36"/>
        <v>0</v>
      </c>
      <c r="F293">
        <f t="shared" si="37"/>
        <v>0</v>
      </c>
      <c r="G293">
        <f t="shared" si="38"/>
        <v>0</v>
      </c>
      <c r="H293">
        <v>0</v>
      </c>
      <c r="I293">
        <f t="shared" si="39"/>
        <v>0</v>
      </c>
      <c r="J293">
        <v>0</v>
      </c>
      <c r="K293" t="s">
        <v>1458</v>
      </c>
      <c r="L293" t="s">
        <v>1459</v>
      </c>
      <c r="M293" t="s">
        <v>27</v>
      </c>
      <c r="N293" t="s">
        <v>27</v>
      </c>
      <c r="O293">
        <v>5.79</v>
      </c>
      <c r="P293" t="s">
        <v>27</v>
      </c>
      <c r="Q293" t="s">
        <v>27</v>
      </c>
      <c r="R293">
        <v>15.930000305175801</v>
      </c>
      <c r="S293">
        <v>35.75</v>
      </c>
      <c r="T293">
        <v>1.7851649522781401</v>
      </c>
      <c r="U293">
        <v>-30.568984985351602</v>
      </c>
      <c r="V293">
        <v>-9675000</v>
      </c>
      <c r="W293">
        <v>-8.0444526672363299</v>
      </c>
      <c r="X293">
        <v>-2.5000000372528999E-2</v>
      </c>
      <c r="Y293">
        <v>-0.13714300096035001</v>
      </c>
      <c r="Z293">
        <v>-2.07933497428894</v>
      </c>
      <c r="AA293">
        <v>62922840</v>
      </c>
      <c r="AB293" t="s">
        <v>61</v>
      </c>
      <c r="AC293" t="s">
        <v>106</v>
      </c>
      <c r="AD293">
        <v>-0.119999997317791</v>
      </c>
      <c r="AE293">
        <v>-34.170257568359403</v>
      </c>
      <c r="AF293" t="s">
        <v>27</v>
      </c>
      <c r="AG293">
        <v>38999000</v>
      </c>
      <c r="AH293">
        <v>0.42721998691558799</v>
      </c>
      <c r="AI293">
        <v>-7.26412105560303</v>
      </c>
    </row>
    <row r="294" spans="1:35">
      <c r="A294">
        <f t="shared" si="32"/>
        <v>1</v>
      </c>
      <c r="B294">
        <f t="shared" si="33"/>
        <v>1</v>
      </c>
      <c r="C294">
        <f t="shared" si="34"/>
        <v>0</v>
      </c>
      <c r="D294">
        <f t="shared" si="35"/>
        <v>1</v>
      </c>
      <c r="E294">
        <f t="shared" si="36"/>
        <v>0</v>
      </c>
      <c r="F294">
        <f t="shared" si="37"/>
        <v>0</v>
      </c>
      <c r="G294">
        <f t="shared" si="38"/>
        <v>1</v>
      </c>
      <c r="H294">
        <v>0</v>
      </c>
      <c r="I294">
        <f t="shared" si="39"/>
        <v>0</v>
      </c>
      <c r="J294">
        <v>0</v>
      </c>
      <c r="K294" t="s">
        <v>1460</v>
      </c>
      <c r="L294" t="s">
        <v>1461</v>
      </c>
      <c r="M294" t="s">
        <v>27</v>
      </c>
      <c r="N294" t="s">
        <v>27</v>
      </c>
      <c r="O294">
        <v>11.55</v>
      </c>
      <c r="P294" t="s">
        <v>27</v>
      </c>
      <c r="Q294" t="s">
        <v>27</v>
      </c>
      <c r="R294">
        <v>23.139999389648398</v>
      </c>
      <c r="S294">
        <v>17</v>
      </c>
      <c r="T294">
        <v>1.86059105396271</v>
      </c>
      <c r="U294">
        <v>43.520408630371101</v>
      </c>
      <c r="V294">
        <v>-3655000</v>
      </c>
      <c r="W294">
        <v>-46.469425201416001</v>
      </c>
      <c r="X294">
        <v>-0.490000009536743</v>
      </c>
      <c r="Y294">
        <v>-8.1872911453247106</v>
      </c>
      <c r="Z294">
        <v>-11.225489616394</v>
      </c>
      <c r="AA294">
        <v>9492000</v>
      </c>
      <c r="AB294" t="s">
        <v>27</v>
      </c>
      <c r="AC294" t="s">
        <v>27</v>
      </c>
      <c r="AD294">
        <v>-0.20999999344348899</v>
      </c>
      <c r="AE294">
        <v>56.6199340820313</v>
      </c>
      <c r="AF294" t="s">
        <v>27</v>
      </c>
      <c r="AG294">
        <v>11353000</v>
      </c>
      <c r="AH294">
        <v>0.68827497959136996</v>
      </c>
      <c r="AI294">
        <v>-29.7019958496094</v>
      </c>
    </row>
    <row r="295" spans="1:35">
      <c r="A295">
        <f t="shared" si="32"/>
        <v>1</v>
      </c>
      <c r="B295">
        <f t="shared" si="33"/>
        <v>0</v>
      </c>
      <c r="C295">
        <f t="shared" si="34"/>
        <v>0</v>
      </c>
      <c r="D295">
        <f t="shared" si="35"/>
        <v>1</v>
      </c>
      <c r="E295">
        <f t="shared" si="36"/>
        <v>0</v>
      </c>
      <c r="F295">
        <f t="shared" si="37"/>
        <v>1</v>
      </c>
      <c r="G295">
        <f t="shared" si="38"/>
        <v>1</v>
      </c>
      <c r="H295">
        <v>0</v>
      </c>
      <c r="I295">
        <f t="shared" si="39"/>
        <v>0</v>
      </c>
      <c r="J295">
        <v>0</v>
      </c>
      <c r="K295" t="s">
        <v>1464</v>
      </c>
      <c r="L295" t="s">
        <v>1465</v>
      </c>
      <c r="M295" t="s">
        <v>27</v>
      </c>
      <c r="N295" t="s">
        <v>27</v>
      </c>
      <c r="O295">
        <v>7.54</v>
      </c>
      <c r="P295" t="s">
        <v>27</v>
      </c>
      <c r="Q295" t="s">
        <v>27</v>
      </c>
      <c r="R295">
        <v>17.7299995422363</v>
      </c>
      <c r="S295">
        <v>15</v>
      </c>
      <c r="T295">
        <v>7.7850232124328604</v>
      </c>
      <c r="U295">
        <v>59.107677459716797</v>
      </c>
      <c r="V295">
        <v>-5086000</v>
      </c>
      <c r="W295">
        <v>7.8204660415649396</v>
      </c>
      <c r="X295">
        <v>1.9999999552965199E-2</v>
      </c>
      <c r="Y295">
        <v>1.0810810327529901</v>
      </c>
      <c r="Z295">
        <v>1.90597200393677</v>
      </c>
      <c r="AA295">
        <v>10863000</v>
      </c>
      <c r="AB295" t="s">
        <v>30</v>
      </c>
      <c r="AC295" t="s">
        <v>31</v>
      </c>
      <c r="AD295">
        <v>7.0000000298023196E-2</v>
      </c>
      <c r="AE295">
        <v>59.391963958740199</v>
      </c>
      <c r="AF295">
        <v>8.6515559957627097</v>
      </c>
      <c r="AG295">
        <v>13965000</v>
      </c>
      <c r="AH295">
        <v>1.0123590230941799</v>
      </c>
      <c r="AI295">
        <v>6.9954991340637198</v>
      </c>
    </row>
    <row r="296" spans="1:35">
      <c r="A296">
        <f t="shared" si="32"/>
        <v>1</v>
      </c>
      <c r="B296">
        <f t="shared" si="33"/>
        <v>0</v>
      </c>
      <c r="C296">
        <f t="shared" si="34"/>
        <v>0</v>
      </c>
      <c r="D296">
        <f t="shared" si="35"/>
        <v>0</v>
      </c>
      <c r="E296">
        <f t="shared" si="36"/>
        <v>0</v>
      </c>
      <c r="F296">
        <f t="shared" si="37"/>
        <v>1</v>
      </c>
      <c r="G296">
        <f t="shared" si="38"/>
        <v>0</v>
      </c>
      <c r="H296">
        <v>0</v>
      </c>
      <c r="I296">
        <f t="shared" si="39"/>
        <v>0</v>
      </c>
      <c r="J296">
        <v>0</v>
      </c>
      <c r="K296" t="s">
        <v>1466</v>
      </c>
      <c r="L296" t="s">
        <v>1467</v>
      </c>
      <c r="M296" t="s">
        <v>27</v>
      </c>
      <c r="N296" t="s">
        <v>27</v>
      </c>
      <c r="O296">
        <v>10.14</v>
      </c>
      <c r="P296" t="s">
        <v>27</v>
      </c>
      <c r="Q296" t="s">
        <v>27</v>
      </c>
      <c r="R296">
        <v>13.069999694824199</v>
      </c>
      <c r="S296" t="s">
        <v>27</v>
      </c>
      <c r="T296" t="s">
        <v>27</v>
      </c>
      <c r="U296" t="s">
        <v>27</v>
      </c>
      <c r="V296">
        <v>-17310000</v>
      </c>
      <c r="W296" t="s">
        <v>27</v>
      </c>
      <c r="X296" t="s">
        <v>27</v>
      </c>
      <c r="Y296" t="s">
        <v>27</v>
      </c>
      <c r="Z296" t="s">
        <v>27</v>
      </c>
      <c r="AA296" t="s">
        <v>27</v>
      </c>
      <c r="AB296" t="s">
        <v>27</v>
      </c>
      <c r="AC296" t="s">
        <v>27</v>
      </c>
      <c r="AD296">
        <v>-9.9999997764825804E-3</v>
      </c>
      <c r="AE296">
        <v>27.723121643066399</v>
      </c>
      <c r="AF296">
        <v>4.8455570894581097</v>
      </c>
      <c r="AG296">
        <v>17030000</v>
      </c>
      <c r="AH296">
        <v>8.0361499786377006</v>
      </c>
      <c r="AI296">
        <v>0.19314199686050401</v>
      </c>
    </row>
    <row r="297" spans="1:35">
      <c r="A297">
        <f t="shared" si="32"/>
        <v>0</v>
      </c>
      <c r="B297">
        <f t="shared" si="33"/>
        <v>0</v>
      </c>
      <c r="C297">
        <f t="shared" si="34"/>
        <v>1</v>
      </c>
      <c r="D297">
        <f t="shared" si="35"/>
        <v>0</v>
      </c>
      <c r="E297">
        <f t="shared" si="36"/>
        <v>0</v>
      </c>
      <c r="F297">
        <f t="shared" si="37"/>
        <v>0</v>
      </c>
      <c r="G297">
        <f t="shared" si="38"/>
        <v>1</v>
      </c>
      <c r="H297">
        <v>0</v>
      </c>
      <c r="I297">
        <f t="shared" si="39"/>
        <v>0</v>
      </c>
      <c r="J297">
        <v>0</v>
      </c>
      <c r="K297" t="s">
        <v>1472</v>
      </c>
      <c r="L297" t="s">
        <v>1473</v>
      </c>
      <c r="M297" t="s">
        <v>27</v>
      </c>
      <c r="N297" t="s">
        <v>27</v>
      </c>
      <c r="O297">
        <v>8.68</v>
      </c>
      <c r="P297">
        <v>8.4145860671997106</v>
      </c>
      <c r="Q297" t="s">
        <v>27</v>
      </c>
      <c r="R297">
        <v>11.710000038146999</v>
      </c>
      <c r="S297">
        <v>8.1000003814697301</v>
      </c>
      <c r="T297">
        <v>35.767047882080099</v>
      </c>
      <c r="U297">
        <v>53.372581481933601</v>
      </c>
      <c r="V297">
        <v>26099000</v>
      </c>
      <c r="W297">
        <v>2.8771181106567401</v>
      </c>
      <c r="X297">
        <v>2.9999999329447701E-2</v>
      </c>
      <c r="Y297">
        <v>5.3333330154418901</v>
      </c>
      <c r="Z297">
        <v>0.72727298736572299</v>
      </c>
      <c r="AA297">
        <v>85824000</v>
      </c>
      <c r="AB297" t="s">
        <v>38</v>
      </c>
      <c r="AC297" t="s">
        <v>628</v>
      </c>
      <c r="AD297">
        <v>-0.10000000149011599</v>
      </c>
      <c r="AE297">
        <v>54.476383209228501</v>
      </c>
      <c r="AF297" t="s">
        <v>27</v>
      </c>
      <c r="AG297">
        <v>85934040</v>
      </c>
      <c r="AH297">
        <v>41.1142578125</v>
      </c>
      <c r="AI297">
        <v>-7.3097438812255904</v>
      </c>
    </row>
    <row r="298" spans="1:35">
      <c r="A298">
        <f t="shared" si="32"/>
        <v>1</v>
      </c>
      <c r="B298">
        <f t="shared" si="33"/>
        <v>0</v>
      </c>
      <c r="C298">
        <f t="shared" si="34"/>
        <v>1</v>
      </c>
      <c r="D298">
        <f t="shared" si="35"/>
        <v>1</v>
      </c>
      <c r="E298">
        <f t="shared" si="36"/>
        <v>0</v>
      </c>
      <c r="F298">
        <f t="shared" si="37"/>
        <v>0</v>
      </c>
      <c r="G298">
        <f t="shared" si="38"/>
        <v>1</v>
      </c>
      <c r="H298">
        <v>0</v>
      </c>
      <c r="I298">
        <f t="shared" si="39"/>
        <v>0</v>
      </c>
      <c r="J298">
        <v>0</v>
      </c>
      <c r="K298" t="s">
        <v>1476</v>
      </c>
      <c r="L298" t="s">
        <v>1477</v>
      </c>
      <c r="M298" t="s">
        <v>27</v>
      </c>
      <c r="N298" t="s">
        <v>27</v>
      </c>
      <c r="O298">
        <v>22.64</v>
      </c>
      <c r="P298">
        <v>3.68382692337036</v>
      </c>
      <c r="Q298" t="s">
        <v>27</v>
      </c>
      <c r="R298">
        <v>33.700000762939503</v>
      </c>
      <c r="S298">
        <v>28.899999618530298</v>
      </c>
      <c r="T298">
        <v>15.7095079421997</v>
      </c>
      <c r="U298">
        <v>27.175186157226602</v>
      </c>
      <c r="V298">
        <v>5437000.5</v>
      </c>
      <c r="W298">
        <v>4.0630450248718297</v>
      </c>
      <c r="X298">
        <v>0.18000000715255701</v>
      </c>
      <c r="Y298">
        <v>4.3167147636413601</v>
      </c>
      <c r="Z298">
        <v>2.9398460388183598</v>
      </c>
      <c r="AA298">
        <v>16285999</v>
      </c>
      <c r="AB298" t="s">
        <v>27</v>
      </c>
      <c r="AC298" t="s">
        <v>27</v>
      </c>
      <c r="AD298">
        <v>0.239999994635582</v>
      </c>
      <c r="AE298">
        <v>28.490270614623999</v>
      </c>
      <c r="AF298">
        <v>40.922281672816702</v>
      </c>
      <c r="AG298">
        <v>17467000</v>
      </c>
      <c r="AH298">
        <v>12.168453216552701</v>
      </c>
      <c r="AI298">
        <v>-0.34681901335716198</v>
      </c>
    </row>
    <row r="299" spans="1:35">
      <c r="A299">
        <f t="shared" si="32"/>
        <v>1</v>
      </c>
      <c r="B299">
        <f t="shared" si="33"/>
        <v>1</v>
      </c>
      <c r="C299">
        <f t="shared" si="34"/>
        <v>1</v>
      </c>
      <c r="D299">
        <f t="shared" si="35"/>
        <v>0</v>
      </c>
      <c r="E299">
        <f t="shared" si="36"/>
        <v>0</v>
      </c>
      <c r="F299">
        <f t="shared" si="37"/>
        <v>1</v>
      </c>
      <c r="G299">
        <f t="shared" si="38"/>
        <v>0</v>
      </c>
      <c r="H299">
        <v>0</v>
      </c>
      <c r="I299">
        <f t="shared" si="39"/>
        <v>0</v>
      </c>
      <c r="J299">
        <v>0</v>
      </c>
      <c r="K299" t="s">
        <v>1482</v>
      </c>
      <c r="L299" t="s">
        <v>1483</v>
      </c>
      <c r="M299" t="s">
        <v>27</v>
      </c>
      <c r="N299" t="s">
        <v>27</v>
      </c>
      <c r="O299">
        <v>9.02</v>
      </c>
      <c r="P299" t="s">
        <v>27</v>
      </c>
      <c r="Q299" t="s">
        <v>27</v>
      </c>
      <c r="R299">
        <v>13.25</v>
      </c>
      <c r="S299">
        <v>9.25</v>
      </c>
      <c r="T299">
        <v>54.768661499023402</v>
      </c>
      <c r="U299">
        <v>45.428218841552699</v>
      </c>
      <c r="V299">
        <v>18187000</v>
      </c>
      <c r="W299">
        <v>-6.6352519989013699</v>
      </c>
      <c r="X299">
        <v>3.9999999105930301E-2</v>
      </c>
      <c r="Y299">
        <v>-12.338981628418001</v>
      </c>
      <c r="Z299">
        <v>2.97297310829163</v>
      </c>
      <c r="AA299">
        <v>15737000</v>
      </c>
      <c r="AB299" t="s">
        <v>27</v>
      </c>
      <c r="AC299" t="s">
        <v>27</v>
      </c>
      <c r="AD299">
        <v>-9.9999997764825804E-3</v>
      </c>
      <c r="AE299">
        <v>38.8709526062012</v>
      </c>
      <c r="AF299" t="s">
        <v>27</v>
      </c>
      <c r="AG299">
        <v>15795000</v>
      </c>
      <c r="AH299">
        <v>53.328109741210902</v>
      </c>
      <c r="AI299">
        <v>0.30723598599433899</v>
      </c>
    </row>
    <row r="300" spans="1:35">
      <c r="A300">
        <f t="shared" si="32"/>
        <v>0</v>
      </c>
      <c r="B300">
        <f t="shared" si="33"/>
        <v>0</v>
      </c>
      <c r="C300">
        <f t="shared" si="34"/>
        <v>1</v>
      </c>
      <c r="D300">
        <f t="shared" si="35"/>
        <v>0</v>
      </c>
      <c r="E300">
        <f t="shared" si="36"/>
        <v>1</v>
      </c>
      <c r="F300">
        <f t="shared" si="37"/>
        <v>0</v>
      </c>
      <c r="G300">
        <f t="shared" si="38"/>
        <v>0</v>
      </c>
      <c r="H300">
        <v>0</v>
      </c>
      <c r="I300">
        <f t="shared" si="39"/>
        <v>0</v>
      </c>
      <c r="J300">
        <v>0</v>
      </c>
      <c r="K300" t="s">
        <v>1486</v>
      </c>
      <c r="L300" t="s">
        <v>1487</v>
      </c>
      <c r="M300" t="s">
        <v>27</v>
      </c>
      <c r="N300" t="s">
        <v>27</v>
      </c>
      <c r="O300">
        <v>5.61</v>
      </c>
      <c r="P300" t="s">
        <v>27</v>
      </c>
      <c r="Q300" t="s">
        <v>27</v>
      </c>
      <c r="R300">
        <v>8.6300001144409197</v>
      </c>
      <c r="S300">
        <v>7.375</v>
      </c>
      <c r="T300" t="s">
        <v>27</v>
      </c>
      <c r="U300" t="s">
        <v>27</v>
      </c>
      <c r="V300" t="s">
        <v>27</v>
      </c>
      <c r="W300">
        <v>-1.47789394855499</v>
      </c>
      <c r="X300" t="s">
        <v>27</v>
      </c>
      <c r="Y300" t="s">
        <v>27</v>
      </c>
      <c r="Z300" t="s">
        <v>27</v>
      </c>
      <c r="AA300" t="s">
        <v>27</v>
      </c>
      <c r="AB300" t="s">
        <v>171</v>
      </c>
      <c r="AC300" t="s">
        <v>172</v>
      </c>
      <c r="AD300" t="s">
        <v>27</v>
      </c>
      <c r="AE300" t="s">
        <v>27</v>
      </c>
      <c r="AF300" t="s">
        <v>27</v>
      </c>
      <c r="AG300" t="s">
        <v>27</v>
      </c>
      <c r="AH300" t="s">
        <v>27</v>
      </c>
      <c r="AI300">
        <v>-2.0018789768218999</v>
      </c>
    </row>
    <row r="301" spans="1:35">
      <c r="A301">
        <f t="shared" si="32"/>
        <v>1</v>
      </c>
      <c r="B301">
        <f t="shared" si="33"/>
        <v>0</v>
      </c>
      <c r="C301">
        <f t="shared" si="34"/>
        <v>1</v>
      </c>
      <c r="D301">
        <f t="shared" si="35"/>
        <v>1</v>
      </c>
      <c r="E301">
        <f t="shared" si="36"/>
        <v>0</v>
      </c>
      <c r="F301">
        <f t="shared" si="37"/>
        <v>1</v>
      </c>
      <c r="G301">
        <f t="shared" si="38"/>
        <v>0</v>
      </c>
      <c r="H301">
        <v>0</v>
      </c>
      <c r="I301">
        <f t="shared" si="39"/>
        <v>0</v>
      </c>
      <c r="J301">
        <v>0</v>
      </c>
      <c r="K301" t="s">
        <v>1492</v>
      </c>
      <c r="L301" t="s">
        <v>1493</v>
      </c>
      <c r="M301" t="s">
        <v>27</v>
      </c>
      <c r="N301" t="s">
        <v>27</v>
      </c>
      <c r="O301">
        <v>14.37</v>
      </c>
      <c r="P301">
        <v>3.6964650154113801</v>
      </c>
      <c r="Q301" t="s">
        <v>27</v>
      </c>
      <c r="R301">
        <v>60.470001220703097</v>
      </c>
      <c r="S301">
        <v>18.4375</v>
      </c>
      <c r="T301">
        <v>0.69772797822952304</v>
      </c>
      <c r="U301">
        <v>62.746009826660199</v>
      </c>
      <c r="V301">
        <v>7971000</v>
      </c>
      <c r="W301">
        <v>8.7960987091064506</v>
      </c>
      <c r="X301">
        <v>0.10000000149011599</v>
      </c>
      <c r="Y301">
        <v>1.2054790258407599</v>
      </c>
      <c r="Z301">
        <v>1.1371710300445601</v>
      </c>
      <c r="AA301">
        <v>19360000</v>
      </c>
      <c r="AB301" t="s">
        <v>27</v>
      </c>
      <c r="AC301" t="s">
        <v>27</v>
      </c>
      <c r="AD301">
        <v>0.31999999284744302</v>
      </c>
      <c r="AE301">
        <v>46.135540008544901</v>
      </c>
      <c r="AF301">
        <v>13.139856313939299</v>
      </c>
      <c r="AG301">
        <v>20985000</v>
      </c>
      <c r="AH301">
        <v>0.38762301206588701</v>
      </c>
      <c r="AI301">
        <v>3.4743568897247301</v>
      </c>
    </row>
    <row r="302" spans="1:35">
      <c r="A302">
        <f t="shared" si="32"/>
        <v>0</v>
      </c>
      <c r="B302">
        <f t="shared" si="33"/>
        <v>0</v>
      </c>
      <c r="C302">
        <f t="shared" si="34"/>
        <v>1</v>
      </c>
      <c r="D302">
        <f t="shared" si="35"/>
        <v>0</v>
      </c>
      <c r="E302">
        <f t="shared" si="36"/>
        <v>1</v>
      </c>
      <c r="F302">
        <f t="shared" si="37"/>
        <v>1</v>
      </c>
      <c r="G302">
        <f t="shared" si="38"/>
        <v>0</v>
      </c>
      <c r="H302">
        <v>0</v>
      </c>
      <c r="I302">
        <f t="shared" si="39"/>
        <v>0</v>
      </c>
      <c r="J302">
        <v>0</v>
      </c>
      <c r="K302" t="s">
        <v>1496</v>
      </c>
      <c r="L302" t="s">
        <v>1497</v>
      </c>
      <c r="M302" t="s">
        <v>27</v>
      </c>
      <c r="N302" t="s">
        <v>27</v>
      </c>
      <c r="O302">
        <v>7.3609999999999998</v>
      </c>
      <c r="P302" t="s">
        <v>27</v>
      </c>
      <c r="Q302" t="s">
        <v>27</v>
      </c>
      <c r="R302">
        <v>13.3999996185303</v>
      </c>
      <c r="S302">
        <v>8.34375</v>
      </c>
      <c r="T302" t="s">
        <v>27</v>
      </c>
      <c r="U302" t="s">
        <v>27</v>
      </c>
      <c r="V302" t="s">
        <v>27</v>
      </c>
      <c r="W302" t="s">
        <v>27</v>
      </c>
      <c r="X302" t="s">
        <v>27</v>
      </c>
      <c r="Y302" t="s">
        <v>27</v>
      </c>
      <c r="Z302" t="s">
        <v>27</v>
      </c>
      <c r="AA302" t="s">
        <v>27</v>
      </c>
      <c r="AB302" t="s">
        <v>27</v>
      </c>
      <c r="AC302" t="s">
        <v>27</v>
      </c>
      <c r="AD302" t="s">
        <v>27</v>
      </c>
      <c r="AE302" t="s">
        <v>27</v>
      </c>
      <c r="AF302" t="s">
        <v>27</v>
      </c>
      <c r="AG302" t="s">
        <v>27</v>
      </c>
      <c r="AH302" t="s">
        <v>27</v>
      </c>
      <c r="AI302" t="s">
        <v>27</v>
      </c>
    </row>
    <row r="303" spans="1:35">
      <c r="A303">
        <f t="shared" si="32"/>
        <v>1</v>
      </c>
      <c r="B303">
        <f t="shared" si="33"/>
        <v>0</v>
      </c>
      <c r="C303">
        <f t="shared" si="34"/>
        <v>1</v>
      </c>
      <c r="D303">
        <f t="shared" si="35"/>
        <v>1</v>
      </c>
      <c r="E303">
        <f t="shared" si="36"/>
        <v>0</v>
      </c>
      <c r="F303">
        <f t="shared" si="37"/>
        <v>0</v>
      </c>
      <c r="G303">
        <f t="shared" si="38"/>
        <v>1</v>
      </c>
      <c r="H303">
        <v>0</v>
      </c>
      <c r="I303">
        <f t="shared" si="39"/>
        <v>0</v>
      </c>
      <c r="J303">
        <v>0</v>
      </c>
      <c r="K303" t="s">
        <v>1498</v>
      </c>
      <c r="L303" t="s">
        <v>1499</v>
      </c>
      <c r="M303" t="s">
        <v>27</v>
      </c>
      <c r="N303" t="s">
        <v>27</v>
      </c>
      <c r="O303">
        <v>9.35</v>
      </c>
      <c r="P303" t="s">
        <v>27</v>
      </c>
      <c r="Q303" t="s">
        <v>27</v>
      </c>
      <c r="R303">
        <v>10.1205042289467</v>
      </c>
      <c r="S303">
        <v>6.3121650000000002</v>
      </c>
      <c r="T303">
        <v>8.8669748306274396</v>
      </c>
      <c r="U303">
        <v>31.069480895996101</v>
      </c>
      <c r="V303">
        <v>5479999.5</v>
      </c>
      <c r="W303">
        <v>-1.50202596187592</v>
      </c>
      <c r="X303">
        <v>-6.3000001907348597</v>
      </c>
      <c r="Y303" t="s">
        <v>27</v>
      </c>
      <c r="Z303">
        <v>2.0322039127349898</v>
      </c>
      <c r="AA303">
        <v>20809000</v>
      </c>
      <c r="AB303" t="s">
        <v>73</v>
      </c>
      <c r="AC303" t="s">
        <v>210</v>
      </c>
      <c r="AD303">
        <v>0.259999990463257</v>
      </c>
      <c r="AE303">
        <v>33.856040954589801</v>
      </c>
      <c r="AF303">
        <v>6.2321101641546699</v>
      </c>
      <c r="AG303">
        <v>25317000</v>
      </c>
      <c r="AH303">
        <v>0</v>
      </c>
      <c r="AI303">
        <v>-11.1533365249634</v>
      </c>
    </row>
    <row r="304" spans="1:35">
      <c r="A304">
        <f t="shared" si="32"/>
        <v>1</v>
      </c>
      <c r="B304">
        <f t="shared" si="33"/>
        <v>0</v>
      </c>
      <c r="C304">
        <f t="shared" si="34"/>
        <v>1</v>
      </c>
      <c r="D304">
        <f t="shared" si="35"/>
        <v>0</v>
      </c>
      <c r="E304">
        <f t="shared" si="36"/>
        <v>0</v>
      </c>
      <c r="F304">
        <f t="shared" si="37"/>
        <v>0</v>
      </c>
      <c r="G304">
        <f t="shared" si="38"/>
        <v>0</v>
      </c>
      <c r="H304">
        <v>0</v>
      </c>
      <c r="I304">
        <f t="shared" si="39"/>
        <v>0</v>
      </c>
      <c r="J304">
        <v>0</v>
      </c>
      <c r="K304" t="s">
        <v>1500</v>
      </c>
      <c r="L304" t="s">
        <v>1501</v>
      </c>
      <c r="M304" t="s">
        <v>27</v>
      </c>
      <c r="N304" t="s">
        <v>27</v>
      </c>
      <c r="O304">
        <v>2.02</v>
      </c>
      <c r="P304" t="s">
        <v>27</v>
      </c>
      <c r="Q304" t="s">
        <v>27</v>
      </c>
      <c r="R304">
        <v>6.0100002288818404</v>
      </c>
      <c r="S304">
        <v>8</v>
      </c>
      <c r="T304" t="s">
        <v>27</v>
      </c>
      <c r="U304" t="s">
        <v>27</v>
      </c>
      <c r="V304">
        <v>6366000</v>
      </c>
      <c r="W304" t="s">
        <v>27</v>
      </c>
      <c r="X304" t="s">
        <v>27</v>
      </c>
      <c r="Y304" t="s">
        <v>27</v>
      </c>
      <c r="Z304" t="s">
        <v>27</v>
      </c>
      <c r="AA304" t="s">
        <v>27</v>
      </c>
      <c r="AB304" t="s">
        <v>27</v>
      </c>
      <c r="AC304" t="s">
        <v>27</v>
      </c>
      <c r="AD304">
        <v>-0.479999989271164</v>
      </c>
      <c r="AE304">
        <v>52.109336853027301</v>
      </c>
      <c r="AF304" t="s">
        <v>27</v>
      </c>
      <c r="AG304">
        <v>39479000</v>
      </c>
      <c r="AH304">
        <v>29.650194168090799</v>
      </c>
      <c r="AI304">
        <v>-26.987319946289102</v>
      </c>
    </row>
    <row r="305" spans="1:35">
      <c r="A305">
        <f t="shared" si="32"/>
        <v>0</v>
      </c>
      <c r="B305">
        <f t="shared" si="33"/>
        <v>1</v>
      </c>
      <c r="C305">
        <f t="shared" si="34"/>
        <v>0</v>
      </c>
      <c r="D305">
        <f t="shared" si="35"/>
        <v>0</v>
      </c>
      <c r="E305">
        <f t="shared" si="36"/>
        <v>0</v>
      </c>
      <c r="F305">
        <f t="shared" si="37"/>
        <v>0</v>
      </c>
      <c r="G305">
        <f t="shared" si="38"/>
        <v>0</v>
      </c>
      <c r="H305">
        <v>0</v>
      </c>
      <c r="I305">
        <f t="shared" si="39"/>
        <v>0</v>
      </c>
      <c r="J305">
        <v>0</v>
      </c>
      <c r="K305" t="s">
        <v>1510</v>
      </c>
      <c r="L305" t="s">
        <v>1511</v>
      </c>
      <c r="M305" t="s">
        <v>27</v>
      </c>
      <c r="N305" t="s">
        <v>27</v>
      </c>
      <c r="O305">
        <v>2.1</v>
      </c>
      <c r="P305" t="s">
        <v>27</v>
      </c>
      <c r="Q305" t="s">
        <v>27</v>
      </c>
      <c r="R305">
        <v>8.9399995803833008</v>
      </c>
      <c r="S305">
        <v>19.5</v>
      </c>
      <c r="T305">
        <v>29.186845779418899</v>
      </c>
      <c r="U305" t="s">
        <v>27</v>
      </c>
      <c r="V305">
        <v>-5303000</v>
      </c>
      <c r="W305">
        <v>-85.756813049316406</v>
      </c>
      <c r="X305">
        <v>-0.230000004172325</v>
      </c>
      <c r="Y305">
        <v>-6.8017621040344203</v>
      </c>
      <c r="Z305">
        <v>-12.0833330154419</v>
      </c>
      <c r="AA305">
        <v>21727000</v>
      </c>
      <c r="AB305" t="s">
        <v>73</v>
      </c>
      <c r="AC305" t="s">
        <v>141</v>
      </c>
      <c r="AD305">
        <v>-0.41999998688697798</v>
      </c>
      <c r="AE305" t="s">
        <v>27</v>
      </c>
      <c r="AF305" t="s">
        <v>27</v>
      </c>
      <c r="AG305">
        <v>22036000</v>
      </c>
      <c r="AH305">
        <v>45.942344665527301</v>
      </c>
      <c r="AI305">
        <v>-51.575695037841797</v>
      </c>
    </row>
    <row r="306" spans="1:35">
      <c r="A306">
        <f t="shared" si="32"/>
        <v>0</v>
      </c>
      <c r="B306">
        <f t="shared" si="33"/>
        <v>0</v>
      </c>
      <c r="C306">
        <f t="shared" si="34"/>
        <v>1</v>
      </c>
      <c r="D306">
        <f t="shared" si="35"/>
        <v>0</v>
      </c>
      <c r="E306">
        <f t="shared" si="36"/>
        <v>1</v>
      </c>
      <c r="F306">
        <f t="shared" si="37"/>
        <v>1</v>
      </c>
      <c r="G306">
        <f t="shared" si="38"/>
        <v>0</v>
      </c>
      <c r="H306">
        <v>0</v>
      </c>
      <c r="I306">
        <f t="shared" si="39"/>
        <v>0</v>
      </c>
      <c r="J306">
        <v>0</v>
      </c>
      <c r="K306" t="s">
        <v>1518</v>
      </c>
      <c r="L306" t="s">
        <v>1519</v>
      </c>
      <c r="M306" t="s">
        <v>27</v>
      </c>
      <c r="N306" t="s">
        <v>27</v>
      </c>
      <c r="O306">
        <v>16.2</v>
      </c>
      <c r="P306" t="s">
        <v>27</v>
      </c>
      <c r="Q306" t="s">
        <v>27</v>
      </c>
      <c r="R306">
        <v>17.9899997711182</v>
      </c>
      <c r="S306" t="s">
        <v>27</v>
      </c>
      <c r="T306" t="s">
        <v>27</v>
      </c>
      <c r="U306" t="s">
        <v>27</v>
      </c>
      <c r="V306" t="s">
        <v>27</v>
      </c>
      <c r="W306" t="s">
        <v>27</v>
      </c>
      <c r="X306" t="s">
        <v>27</v>
      </c>
      <c r="Y306" t="s">
        <v>27</v>
      </c>
      <c r="Z306" t="s">
        <v>27</v>
      </c>
      <c r="AA306" t="s">
        <v>27</v>
      </c>
      <c r="AB306" t="s">
        <v>34</v>
      </c>
      <c r="AC306" t="s">
        <v>237</v>
      </c>
      <c r="AD306" t="s">
        <v>27</v>
      </c>
      <c r="AE306" t="s">
        <v>27</v>
      </c>
      <c r="AF306" t="s">
        <v>27</v>
      </c>
      <c r="AG306" t="s">
        <v>27</v>
      </c>
      <c r="AH306" t="s">
        <v>27</v>
      </c>
      <c r="AI306" t="s">
        <v>27</v>
      </c>
    </row>
    <row r="307" spans="1:35">
      <c r="A307">
        <f t="shared" si="32"/>
        <v>1</v>
      </c>
      <c r="B307">
        <f t="shared" si="33"/>
        <v>0</v>
      </c>
      <c r="C307">
        <f t="shared" si="34"/>
        <v>0</v>
      </c>
      <c r="D307">
        <f t="shared" si="35"/>
        <v>1</v>
      </c>
      <c r="E307">
        <f t="shared" si="36"/>
        <v>0</v>
      </c>
      <c r="F307">
        <f t="shared" si="37"/>
        <v>0</v>
      </c>
      <c r="G307">
        <f t="shared" si="38"/>
        <v>1</v>
      </c>
      <c r="H307">
        <v>0</v>
      </c>
      <c r="I307">
        <f t="shared" si="39"/>
        <v>1</v>
      </c>
      <c r="J307">
        <v>0</v>
      </c>
      <c r="K307" t="s">
        <v>1520</v>
      </c>
      <c r="L307" t="s">
        <v>1521</v>
      </c>
      <c r="M307" t="s">
        <v>27</v>
      </c>
      <c r="N307" t="s">
        <v>27</v>
      </c>
      <c r="O307">
        <v>35.74</v>
      </c>
      <c r="P307">
        <v>1.8177670240402199</v>
      </c>
      <c r="Q307" t="s">
        <v>27</v>
      </c>
      <c r="R307">
        <v>23.120000839233398</v>
      </c>
      <c r="S307">
        <v>20.649999618530298</v>
      </c>
      <c r="T307">
        <v>2.59368801116943</v>
      </c>
      <c r="U307">
        <v>23.667015075683601</v>
      </c>
      <c r="V307">
        <v>-8700000</v>
      </c>
      <c r="W307">
        <v>3.59703397750854</v>
      </c>
      <c r="X307">
        <v>-0.97000002861022905</v>
      </c>
      <c r="Y307">
        <v>9.2885913848877006</v>
      </c>
      <c r="Z307">
        <v>5.8373208045959499</v>
      </c>
      <c r="AA307">
        <v>35239000</v>
      </c>
      <c r="AB307" t="s">
        <v>38</v>
      </c>
      <c r="AC307" t="s">
        <v>39</v>
      </c>
      <c r="AD307">
        <v>0.28999999165535001</v>
      </c>
      <c r="AE307">
        <v>30.798192977905298</v>
      </c>
      <c r="AF307">
        <v>6.3787224729520897</v>
      </c>
      <c r="AG307">
        <v>34942000</v>
      </c>
      <c r="AH307">
        <v>1.4223929643630999</v>
      </c>
      <c r="AI307">
        <v>-0.41597700119018599</v>
      </c>
    </row>
    <row r="308" spans="1:35">
      <c r="A308">
        <f t="shared" si="32"/>
        <v>0</v>
      </c>
      <c r="B308">
        <f t="shared" si="33"/>
        <v>0</v>
      </c>
      <c r="C308">
        <f t="shared" si="34"/>
        <v>1</v>
      </c>
      <c r="D308">
        <f t="shared" si="35"/>
        <v>0</v>
      </c>
      <c r="E308">
        <f t="shared" si="36"/>
        <v>0</v>
      </c>
      <c r="F308">
        <f t="shared" si="37"/>
        <v>1</v>
      </c>
      <c r="G308">
        <f t="shared" si="38"/>
        <v>0</v>
      </c>
      <c r="H308">
        <v>0</v>
      </c>
      <c r="I308">
        <f t="shared" si="39"/>
        <v>0</v>
      </c>
      <c r="J308">
        <v>0</v>
      </c>
      <c r="K308" t="s">
        <v>1524</v>
      </c>
      <c r="L308" t="s">
        <v>1525</v>
      </c>
      <c r="M308" t="s">
        <v>27</v>
      </c>
      <c r="N308" t="s">
        <v>27</v>
      </c>
      <c r="O308">
        <v>17.53</v>
      </c>
      <c r="P308" t="s">
        <v>27</v>
      </c>
      <c r="Q308" t="s">
        <v>27</v>
      </c>
      <c r="R308">
        <v>17.899999618530298</v>
      </c>
      <c r="S308">
        <v>14.560000419616699</v>
      </c>
      <c r="T308">
        <v>66.239212036132798</v>
      </c>
      <c r="U308" t="s">
        <v>27</v>
      </c>
      <c r="V308">
        <v>18731000</v>
      </c>
      <c r="W308">
        <v>2.6158308982849099</v>
      </c>
      <c r="X308">
        <v>0.15000000596046401</v>
      </c>
      <c r="Y308">
        <v>4.2175731658935502</v>
      </c>
      <c r="Z308">
        <v>8.0964145660400408</v>
      </c>
      <c r="AA308">
        <v>23809000</v>
      </c>
      <c r="AB308" t="s">
        <v>83</v>
      </c>
      <c r="AC308" t="s">
        <v>84</v>
      </c>
      <c r="AD308">
        <v>0.129999995231628</v>
      </c>
      <c r="AE308" t="s">
        <v>27</v>
      </c>
      <c r="AF308">
        <v>11.2497754143991</v>
      </c>
      <c r="AG308">
        <v>29938000</v>
      </c>
      <c r="AH308">
        <v>69.6119384765625</v>
      </c>
      <c r="AI308">
        <v>2.5790441036224401</v>
      </c>
    </row>
    <row r="309" spans="1:35">
      <c r="A309">
        <f t="shared" ref="A309:A370" si="40">IF(AH309&lt;T309,1,0)</f>
        <v>1</v>
      </c>
      <c r="B309">
        <f t="shared" ref="B309:B370" si="41">IF(AI309&gt;W309,1,0)</f>
        <v>0</v>
      </c>
      <c r="C309">
        <f t="shared" ref="C309:C370" si="42">IF(V309&gt;0,1,0)</f>
        <v>1</v>
      </c>
      <c r="D309">
        <f t="shared" ref="D309:D370" si="43">IF(AD309&gt;X309,1,0)</f>
        <v>0</v>
      </c>
      <c r="E309">
        <f t="shared" ref="E309:E370" si="44">IF(AA309=AG309,1,0)</f>
        <v>0</v>
      </c>
      <c r="F309">
        <f t="shared" ref="F309:F370" si="45">IF(AI309&gt;0,1,0)</f>
        <v>0</v>
      </c>
      <c r="G309">
        <f t="shared" ref="G309:G370" si="46">IF(AE309&gt;U309,1,0)</f>
        <v>0</v>
      </c>
      <c r="H309">
        <v>0</v>
      </c>
      <c r="I309">
        <f t="shared" ref="I309:I370" si="47">IF(((O309-R309)/R309)&gt;0.075,1,0)</f>
        <v>0</v>
      </c>
      <c r="J309">
        <v>0</v>
      </c>
      <c r="K309" t="s">
        <v>1528</v>
      </c>
      <c r="L309" t="s">
        <v>1529</v>
      </c>
      <c r="M309" t="s">
        <v>27</v>
      </c>
      <c r="N309" t="s">
        <v>27</v>
      </c>
      <c r="O309">
        <v>4.92</v>
      </c>
      <c r="P309" t="s">
        <v>27</v>
      </c>
      <c r="Q309" t="s">
        <v>27</v>
      </c>
      <c r="R309">
        <v>11.1000003814697</v>
      </c>
      <c r="S309" t="s">
        <v>27</v>
      </c>
      <c r="T309" t="s">
        <v>27</v>
      </c>
      <c r="U309" t="s">
        <v>27</v>
      </c>
      <c r="V309">
        <v>17039000</v>
      </c>
      <c r="W309" t="s">
        <v>27</v>
      </c>
      <c r="X309" t="s">
        <v>27</v>
      </c>
      <c r="Y309" t="s">
        <v>27</v>
      </c>
      <c r="Z309" t="s">
        <v>27</v>
      </c>
      <c r="AA309" t="s">
        <v>27</v>
      </c>
      <c r="AB309" t="s">
        <v>27</v>
      </c>
      <c r="AC309" t="s">
        <v>27</v>
      </c>
      <c r="AD309">
        <v>0.259999990463257</v>
      </c>
      <c r="AE309">
        <v>17.441652297973601</v>
      </c>
      <c r="AF309" t="s">
        <v>27</v>
      </c>
      <c r="AG309">
        <v>43953000</v>
      </c>
      <c r="AH309">
        <v>26.8059692382813</v>
      </c>
      <c r="AI309">
        <v>-4.6576490402221697</v>
      </c>
    </row>
    <row r="310" spans="1:35">
      <c r="A310">
        <f t="shared" si="40"/>
        <v>0</v>
      </c>
      <c r="B310">
        <f t="shared" si="41"/>
        <v>0</v>
      </c>
      <c r="C310">
        <f t="shared" si="42"/>
        <v>0</v>
      </c>
      <c r="D310">
        <f t="shared" si="43"/>
        <v>0</v>
      </c>
      <c r="E310">
        <f t="shared" si="44"/>
        <v>0</v>
      </c>
      <c r="F310">
        <f t="shared" si="45"/>
        <v>0</v>
      </c>
      <c r="G310">
        <f t="shared" si="46"/>
        <v>0</v>
      </c>
      <c r="H310">
        <v>0</v>
      </c>
      <c r="I310">
        <f t="shared" si="47"/>
        <v>0</v>
      </c>
      <c r="J310">
        <v>0</v>
      </c>
      <c r="K310" t="s">
        <v>1530</v>
      </c>
      <c r="L310" t="s">
        <v>1531</v>
      </c>
      <c r="M310" t="s">
        <v>27</v>
      </c>
      <c r="N310" t="s">
        <v>27</v>
      </c>
      <c r="O310">
        <v>4.4400000000000004</v>
      </c>
      <c r="P310" t="s">
        <v>27</v>
      </c>
      <c r="Q310" t="s">
        <v>27</v>
      </c>
      <c r="R310">
        <v>16.2399997711182</v>
      </c>
      <c r="S310">
        <v>35.8125</v>
      </c>
      <c r="T310">
        <v>0.85586899518966697</v>
      </c>
      <c r="U310">
        <v>59.104869842529297</v>
      </c>
      <c r="V310">
        <v>-2705000</v>
      </c>
      <c r="W310">
        <v>-13.1839237213135</v>
      </c>
      <c r="X310">
        <v>-0.10000000149011599</v>
      </c>
      <c r="Y310">
        <v>0.27322399616241499</v>
      </c>
      <c r="Z310">
        <v>3.2079648971557599</v>
      </c>
      <c r="AA310">
        <v>71634000</v>
      </c>
      <c r="AB310" t="s">
        <v>27</v>
      </c>
      <c r="AC310" t="s">
        <v>27</v>
      </c>
      <c r="AD310">
        <v>-0.88999998569488503</v>
      </c>
      <c r="AE310">
        <v>55.559177398681598</v>
      </c>
      <c r="AF310" t="s">
        <v>27</v>
      </c>
      <c r="AG310">
        <v>73235000</v>
      </c>
      <c r="AH310">
        <v>16.040483474731399</v>
      </c>
      <c r="AI310">
        <v>-31.368888854980501</v>
      </c>
    </row>
    <row r="311" spans="1:35">
      <c r="A311">
        <f t="shared" si="40"/>
        <v>0</v>
      </c>
      <c r="B311">
        <f t="shared" si="41"/>
        <v>1</v>
      </c>
      <c r="C311">
        <f t="shared" si="42"/>
        <v>1</v>
      </c>
      <c r="D311">
        <f t="shared" si="43"/>
        <v>1</v>
      </c>
      <c r="E311">
        <f t="shared" si="44"/>
        <v>0</v>
      </c>
      <c r="F311">
        <f t="shared" si="45"/>
        <v>0</v>
      </c>
      <c r="G311">
        <f t="shared" si="46"/>
        <v>0</v>
      </c>
      <c r="H311">
        <v>0</v>
      </c>
      <c r="I311">
        <f t="shared" si="47"/>
        <v>0</v>
      </c>
      <c r="J311">
        <v>0</v>
      </c>
      <c r="K311" t="s">
        <v>1534</v>
      </c>
      <c r="L311" t="s">
        <v>1535</v>
      </c>
      <c r="M311" t="s">
        <v>27</v>
      </c>
      <c r="N311" t="s">
        <v>27</v>
      </c>
      <c r="O311">
        <v>1.91</v>
      </c>
      <c r="P311" t="s">
        <v>27</v>
      </c>
      <c r="Q311" t="s">
        <v>27</v>
      </c>
      <c r="R311">
        <v>7.0199999809265101</v>
      </c>
      <c r="S311">
        <v>7.4899997711181596</v>
      </c>
      <c r="T311">
        <v>40.107814788818402</v>
      </c>
      <c r="U311" t="s">
        <v>27</v>
      </c>
      <c r="V311">
        <v>26563002</v>
      </c>
      <c r="W311">
        <v>-6.4993629455566397</v>
      </c>
      <c r="X311">
        <v>-0.21999999880790699</v>
      </c>
      <c r="Y311">
        <v>5.0526318550109899</v>
      </c>
      <c r="Z311">
        <v>4.0196080207824698</v>
      </c>
      <c r="AA311">
        <v>103697000</v>
      </c>
      <c r="AB311" t="s">
        <v>27</v>
      </c>
      <c r="AC311" t="s">
        <v>27</v>
      </c>
      <c r="AD311">
        <v>0.119999997317791</v>
      </c>
      <c r="AE311" t="s">
        <v>27</v>
      </c>
      <c r="AF311">
        <v>3.10124037256714</v>
      </c>
      <c r="AG311">
        <v>104265000</v>
      </c>
      <c r="AH311">
        <v>40.935222625732401</v>
      </c>
      <c r="AI311">
        <v>-2.8247621059417698</v>
      </c>
    </row>
    <row r="312" spans="1:35">
      <c r="A312">
        <f t="shared" si="40"/>
        <v>1</v>
      </c>
      <c r="B312">
        <f t="shared" si="41"/>
        <v>0</v>
      </c>
      <c r="C312">
        <f t="shared" si="42"/>
        <v>0</v>
      </c>
      <c r="D312">
        <f t="shared" si="43"/>
        <v>1</v>
      </c>
      <c r="E312">
        <f t="shared" si="44"/>
        <v>0</v>
      </c>
      <c r="F312">
        <f t="shared" si="45"/>
        <v>1</v>
      </c>
      <c r="G312">
        <f t="shared" si="46"/>
        <v>0</v>
      </c>
      <c r="H312">
        <v>0</v>
      </c>
      <c r="I312">
        <f t="shared" si="47"/>
        <v>0</v>
      </c>
      <c r="J312">
        <v>0</v>
      </c>
      <c r="K312" t="s">
        <v>1536</v>
      </c>
      <c r="L312" t="s">
        <v>1537</v>
      </c>
      <c r="M312" t="s">
        <v>27</v>
      </c>
      <c r="N312" t="s">
        <v>27</v>
      </c>
      <c r="O312">
        <v>13.5</v>
      </c>
      <c r="P312" t="s">
        <v>27</v>
      </c>
      <c r="Q312" t="s">
        <v>27</v>
      </c>
      <c r="R312">
        <v>13.1499996185303</v>
      </c>
      <c r="S312">
        <v>11</v>
      </c>
      <c r="T312">
        <v>7.64516305923462</v>
      </c>
      <c r="U312">
        <v>57.997249603271499</v>
      </c>
      <c r="V312">
        <v>-3188000.25</v>
      </c>
      <c r="W312" t="s">
        <v>27</v>
      </c>
      <c r="X312">
        <v>-0.18000000715255701</v>
      </c>
      <c r="Y312" t="s">
        <v>27</v>
      </c>
      <c r="Z312" t="s">
        <v>27</v>
      </c>
      <c r="AA312">
        <v>24050000</v>
      </c>
      <c r="AB312" t="s">
        <v>27</v>
      </c>
      <c r="AC312" t="s">
        <v>27</v>
      </c>
      <c r="AD312">
        <v>-9.00000035762787E-2</v>
      </c>
      <c r="AE312">
        <v>52.233531951904297</v>
      </c>
      <c r="AF312" t="s">
        <v>27</v>
      </c>
      <c r="AG312">
        <v>24480000</v>
      </c>
      <c r="AH312">
        <v>5.4517641067504901</v>
      </c>
      <c r="AI312" t="s">
        <v>27</v>
      </c>
    </row>
    <row r="313" spans="1:35">
      <c r="A313">
        <f t="shared" si="40"/>
        <v>0</v>
      </c>
      <c r="B313">
        <f t="shared" si="41"/>
        <v>0</v>
      </c>
      <c r="C313">
        <f t="shared" si="42"/>
        <v>0</v>
      </c>
      <c r="D313">
        <f t="shared" si="43"/>
        <v>0</v>
      </c>
      <c r="E313">
        <f t="shared" si="44"/>
        <v>0</v>
      </c>
      <c r="F313">
        <f t="shared" si="45"/>
        <v>1</v>
      </c>
      <c r="G313">
        <f t="shared" si="46"/>
        <v>0</v>
      </c>
      <c r="H313">
        <v>0</v>
      </c>
      <c r="I313">
        <f t="shared" si="47"/>
        <v>0</v>
      </c>
      <c r="J313">
        <v>0</v>
      </c>
      <c r="K313" t="s">
        <v>1538</v>
      </c>
      <c r="L313" t="s">
        <v>1539</v>
      </c>
      <c r="M313" t="s">
        <v>27</v>
      </c>
      <c r="N313" t="s">
        <v>27</v>
      </c>
      <c r="O313">
        <v>3.32</v>
      </c>
      <c r="P313">
        <v>0.74856901168823198</v>
      </c>
      <c r="Q313" t="s">
        <v>27</v>
      </c>
      <c r="R313">
        <v>4.28999996185303</v>
      </c>
      <c r="S313">
        <v>5.1875</v>
      </c>
      <c r="T313">
        <v>6.7861996591091198E-2</v>
      </c>
      <c r="U313">
        <v>29.858970642089801</v>
      </c>
      <c r="V313">
        <v>-36310000</v>
      </c>
      <c r="W313">
        <v>4.9283790588378897</v>
      </c>
      <c r="X313">
        <v>5.0000000745058101E-2</v>
      </c>
      <c r="Y313">
        <v>3.47826099395752</v>
      </c>
      <c r="Z313">
        <v>-0.86206901073455799</v>
      </c>
      <c r="AA313">
        <v>32528000</v>
      </c>
      <c r="AB313" t="s">
        <v>27</v>
      </c>
      <c r="AC313" t="s">
        <v>27</v>
      </c>
      <c r="AD313">
        <v>9.9999997764825804E-3</v>
      </c>
      <c r="AE313">
        <v>29.832023620605501</v>
      </c>
      <c r="AF313">
        <v>4.7611441113346604</v>
      </c>
      <c r="AG313">
        <v>32451000</v>
      </c>
      <c r="AH313">
        <v>6.2138690948486301</v>
      </c>
      <c r="AI313">
        <v>3.1064250469207799</v>
      </c>
    </row>
    <row r="314" spans="1:35">
      <c r="A314">
        <f t="shared" si="40"/>
        <v>0</v>
      </c>
      <c r="B314">
        <f t="shared" si="41"/>
        <v>0</v>
      </c>
      <c r="C314">
        <f t="shared" si="42"/>
        <v>1</v>
      </c>
      <c r="D314">
        <f t="shared" si="43"/>
        <v>1</v>
      </c>
      <c r="E314">
        <f t="shared" si="44"/>
        <v>0</v>
      </c>
      <c r="F314">
        <f t="shared" si="45"/>
        <v>1</v>
      </c>
      <c r="G314">
        <f t="shared" si="46"/>
        <v>1</v>
      </c>
      <c r="H314">
        <v>0</v>
      </c>
      <c r="I314">
        <f t="shared" si="47"/>
        <v>0</v>
      </c>
      <c r="J314">
        <v>0</v>
      </c>
      <c r="K314" t="s">
        <v>1540</v>
      </c>
      <c r="L314" t="s">
        <v>1541</v>
      </c>
      <c r="M314" t="s">
        <v>27</v>
      </c>
      <c r="N314" t="s">
        <v>27</v>
      </c>
      <c r="O314">
        <v>21.6</v>
      </c>
      <c r="P314">
        <v>15.008378982543899</v>
      </c>
      <c r="Q314" t="s">
        <v>27</v>
      </c>
      <c r="R314">
        <v>24.799999237060501</v>
      </c>
      <c r="S314">
        <v>17.75</v>
      </c>
      <c r="T314">
        <v>2.4349529743194598</v>
      </c>
      <c r="U314">
        <v>26.530786514282202</v>
      </c>
      <c r="V314" t="s">
        <v>27</v>
      </c>
      <c r="W314">
        <v>9.8966531753540004</v>
      </c>
      <c r="X314">
        <v>0.37000000476837203</v>
      </c>
      <c r="Y314">
        <v>10.220532417297401</v>
      </c>
      <c r="Z314" t="s">
        <v>27</v>
      </c>
      <c r="AA314">
        <v>8566000</v>
      </c>
      <c r="AB314" t="s">
        <v>61</v>
      </c>
      <c r="AC314" t="s">
        <v>101</v>
      </c>
      <c r="AD314" t="s">
        <v>27</v>
      </c>
      <c r="AE314" t="s">
        <v>27</v>
      </c>
      <c r="AF314" t="s">
        <v>27</v>
      </c>
      <c r="AG314" t="s">
        <v>27</v>
      </c>
      <c r="AH314" t="s">
        <v>27</v>
      </c>
      <c r="AI314">
        <v>9.7582368850708008</v>
      </c>
    </row>
    <row r="315" spans="1:35">
      <c r="A315">
        <f t="shared" si="40"/>
        <v>1</v>
      </c>
      <c r="B315">
        <f t="shared" si="41"/>
        <v>0</v>
      </c>
      <c r="C315">
        <f t="shared" si="42"/>
        <v>0</v>
      </c>
      <c r="D315">
        <f t="shared" si="43"/>
        <v>0</v>
      </c>
      <c r="E315">
        <f t="shared" si="44"/>
        <v>0</v>
      </c>
      <c r="F315">
        <f t="shared" si="45"/>
        <v>1</v>
      </c>
      <c r="G315">
        <f t="shared" si="46"/>
        <v>0</v>
      </c>
      <c r="H315">
        <v>0</v>
      </c>
      <c r="I315">
        <f t="shared" si="47"/>
        <v>0</v>
      </c>
      <c r="J315">
        <v>0</v>
      </c>
      <c r="K315" t="s">
        <v>1542</v>
      </c>
      <c r="L315" t="s">
        <v>1543</v>
      </c>
      <c r="M315" t="s">
        <v>27</v>
      </c>
      <c r="N315" t="s">
        <v>27</v>
      </c>
      <c r="O315">
        <v>3.85</v>
      </c>
      <c r="P315">
        <v>26.7722492218018</v>
      </c>
      <c r="Q315" t="s">
        <v>27</v>
      </c>
      <c r="R315">
        <v>11.310000419616699</v>
      </c>
      <c r="S315">
        <v>10.25</v>
      </c>
      <c r="T315">
        <v>83.758697509765597</v>
      </c>
      <c r="U315">
        <v>27.604167938232401</v>
      </c>
      <c r="V315">
        <v>-31000000</v>
      </c>
      <c r="W315">
        <v>4.0579710006713903</v>
      </c>
      <c r="X315">
        <v>0.15999999642372101</v>
      </c>
      <c r="Y315">
        <v>6.22660112380981</v>
      </c>
      <c r="Z315">
        <v>4.83146095275879</v>
      </c>
      <c r="AA315">
        <v>45159000</v>
      </c>
      <c r="AB315" t="s">
        <v>61</v>
      </c>
      <c r="AC315" t="s">
        <v>106</v>
      </c>
      <c r="AD315">
        <v>7.0000000298023196E-2</v>
      </c>
      <c r="AE315">
        <v>27.388534545898398</v>
      </c>
      <c r="AF315">
        <v>12.322072820512799</v>
      </c>
      <c r="AG315">
        <v>55769000</v>
      </c>
      <c r="AH315">
        <v>76.133651733398395</v>
      </c>
      <c r="AI315">
        <v>1.0863660573959399</v>
      </c>
    </row>
    <row r="316" spans="1:35">
      <c r="A316">
        <f t="shared" si="40"/>
        <v>0</v>
      </c>
      <c r="B316">
        <f t="shared" si="41"/>
        <v>1</v>
      </c>
      <c r="C316">
        <f t="shared" si="42"/>
        <v>1</v>
      </c>
      <c r="D316">
        <f t="shared" si="43"/>
        <v>0</v>
      </c>
      <c r="E316">
        <f t="shared" si="44"/>
        <v>0</v>
      </c>
      <c r="F316">
        <f t="shared" si="45"/>
        <v>0</v>
      </c>
      <c r="G316">
        <f t="shared" si="46"/>
        <v>0</v>
      </c>
      <c r="H316">
        <v>0</v>
      </c>
      <c r="I316">
        <f t="shared" si="47"/>
        <v>0</v>
      </c>
      <c r="J316">
        <v>0</v>
      </c>
      <c r="K316" t="s">
        <v>1550</v>
      </c>
      <c r="L316" t="s">
        <v>1551</v>
      </c>
      <c r="M316" t="s">
        <v>27</v>
      </c>
      <c r="N316" t="s">
        <v>27</v>
      </c>
      <c r="O316">
        <v>11.66</v>
      </c>
      <c r="P316" t="s">
        <v>27</v>
      </c>
      <c r="Q316" t="s">
        <v>27</v>
      </c>
      <c r="R316">
        <v>13.199999809265099</v>
      </c>
      <c r="S316">
        <v>17.600000381469702</v>
      </c>
      <c r="T316">
        <v>58.2276000976563</v>
      </c>
      <c r="U316">
        <v>40.987743377685497</v>
      </c>
      <c r="V316">
        <v>2435000.25</v>
      </c>
      <c r="W316">
        <v>-1.1203670501709</v>
      </c>
      <c r="X316">
        <v>-9.00000035762787E-2</v>
      </c>
      <c r="Y316">
        <v>-5.6526951789856001</v>
      </c>
      <c r="Z316">
        <v>-5.3665909767150897</v>
      </c>
      <c r="AA316">
        <v>15521000</v>
      </c>
      <c r="AB316" t="s">
        <v>30</v>
      </c>
      <c r="AC316" t="s">
        <v>92</v>
      </c>
      <c r="AD316">
        <v>-0.31000000238418601</v>
      </c>
      <c r="AE316">
        <v>29.823745727539102</v>
      </c>
      <c r="AF316" t="s">
        <v>27</v>
      </c>
      <c r="AG316">
        <v>15625000</v>
      </c>
      <c r="AH316">
        <v>60.138450622558601</v>
      </c>
      <c r="AI316">
        <v>-0.95928102731704701</v>
      </c>
    </row>
    <row r="317" spans="1:35">
      <c r="A317">
        <f t="shared" si="40"/>
        <v>1</v>
      </c>
      <c r="B317">
        <f t="shared" si="41"/>
        <v>0</v>
      </c>
      <c r="C317">
        <f t="shared" si="42"/>
        <v>0</v>
      </c>
      <c r="D317">
        <f t="shared" si="43"/>
        <v>0</v>
      </c>
      <c r="E317">
        <f t="shared" si="44"/>
        <v>0</v>
      </c>
      <c r="F317">
        <f t="shared" si="45"/>
        <v>0</v>
      </c>
      <c r="G317">
        <f t="shared" si="46"/>
        <v>1</v>
      </c>
      <c r="H317">
        <v>0</v>
      </c>
      <c r="I317">
        <f t="shared" si="47"/>
        <v>0</v>
      </c>
      <c r="J317">
        <v>0</v>
      </c>
      <c r="K317" t="s">
        <v>1554</v>
      </c>
      <c r="L317" t="s">
        <v>1555</v>
      </c>
      <c r="M317" t="s">
        <v>27</v>
      </c>
      <c r="N317" t="s">
        <v>27</v>
      </c>
      <c r="O317">
        <v>5.36</v>
      </c>
      <c r="P317" t="s">
        <v>27</v>
      </c>
      <c r="Q317" t="s">
        <v>27</v>
      </c>
      <c r="R317">
        <v>25.7399997711182</v>
      </c>
      <c r="S317">
        <v>9.9899997711181605</v>
      </c>
      <c r="T317">
        <v>37.270908355712898</v>
      </c>
      <c r="U317">
        <v>28.349920272827099</v>
      </c>
      <c r="V317">
        <v>-58560000</v>
      </c>
      <c r="W317">
        <v>0.43722200393676802</v>
      </c>
      <c r="X317">
        <v>-0.37999999523162797</v>
      </c>
      <c r="Y317">
        <v>11.308271408081101</v>
      </c>
      <c r="Z317">
        <v>0.87682700157165505</v>
      </c>
      <c r="AA317">
        <v>38347000</v>
      </c>
      <c r="AB317" t="s">
        <v>27</v>
      </c>
      <c r="AC317" t="s">
        <v>27</v>
      </c>
      <c r="AD317">
        <v>-2.3399999141693102</v>
      </c>
      <c r="AE317">
        <v>28.7841701507568</v>
      </c>
      <c r="AF317">
        <v>3.7725069824526498</v>
      </c>
      <c r="AG317">
        <v>38347468</v>
      </c>
      <c r="AH317">
        <v>32.823963165283203</v>
      </c>
      <c r="AI317">
        <v>-0.586054027080536</v>
      </c>
    </row>
    <row r="318" spans="1:35">
      <c r="A318">
        <f t="shared" si="40"/>
        <v>1</v>
      </c>
      <c r="B318">
        <f t="shared" si="41"/>
        <v>0</v>
      </c>
      <c r="C318">
        <f t="shared" si="42"/>
        <v>0</v>
      </c>
      <c r="D318">
        <f t="shared" si="43"/>
        <v>1</v>
      </c>
      <c r="E318">
        <f t="shared" si="44"/>
        <v>0</v>
      </c>
      <c r="F318">
        <f t="shared" si="45"/>
        <v>0</v>
      </c>
      <c r="G318">
        <f t="shared" si="46"/>
        <v>1</v>
      </c>
      <c r="H318">
        <v>0</v>
      </c>
      <c r="I318">
        <f t="shared" si="47"/>
        <v>0</v>
      </c>
      <c r="J318">
        <v>0</v>
      </c>
      <c r="K318" t="s">
        <v>1556</v>
      </c>
      <c r="L318" t="s">
        <v>1557</v>
      </c>
      <c r="M318" t="s">
        <v>27</v>
      </c>
      <c r="N318" t="s">
        <v>27</v>
      </c>
      <c r="O318">
        <v>1.23</v>
      </c>
      <c r="P318" t="s">
        <v>27</v>
      </c>
      <c r="Q318" t="s">
        <v>27</v>
      </c>
      <c r="R318">
        <v>6.4699997901916504</v>
      </c>
      <c r="S318">
        <v>69.25</v>
      </c>
      <c r="T318">
        <v>0.27334699034690901</v>
      </c>
      <c r="U318">
        <v>75.318023681640597</v>
      </c>
      <c r="V318">
        <v>-15774000</v>
      </c>
      <c r="W318">
        <v>-23.0591011047363</v>
      </c>
      <c r="X318">
        <v>-1.03999996185303</v>
      </c>
      <c r="Y318">
        <v>-0.12321200221777</v>
      </c>
      <c r="Z318">
        <v>2.0392160415649401</v>
      </c>
      <c r="AA318">
        <v>83999000</v>
      </c>
      <c r="AB318" t="s">
        <v>34</v>
      </c>
      <c r="AC318" t="s">
        <v>237</v>
      </c>
      <c r="AD318">
        <v>-0.99000000953674305</v>
      </c>
      <c r="AE318">
        <v>84.236000061035199</v>
      </c>
      <c r="AF318" t="s">
        <v>27</v>
      </c>
      <c r="AG318">
        <v>173928000</v>
      </c>
      <c r="AH318">
        <v>0.12902800738811501</v>
      </c>
      <c r="AI318">
        <v>-33.765800476074197</v>
      </c>
    </row>
    <row r="319" spans="1:35">
      <c r="A319">
        <f t="shared" si="40"/>
        <v>0</v>
      </c>
      <c r="B319">
        <f t="shared" si="41"/>
        <v>1</v>
      </c>
      <c r="C319">
        <f t="shared" si="42"/>
        <v>1</v>
      </c>
      <c r="D319">
        <f t="shared" si="43"/>
        <v>0</v>
      </c>
      <c r="E319">
        <f t="shared" si="44"/>
        <v>1</v>
      </c>
      <c r="F319">
        <f t="shared" si="45"/>
        <v>1</v>
      </c>
      <c r="G319">
        <f t="shared" si="46"/>
        <v>0</v>
      </c>
      <c r="H319">
        <v>0</v>
      </c>
      <c r="I319">
        <f t="shared" si="47"/>
        <v>0</v>
      </c>
      <c r="J319">
        <v>0</v>
      </c>
      <c r="K319" t="s">
        <v>1558</v>
      </c>
      <c r="L319" t="s">
        <v>1559</v>
      </c>
      <c r="M319" t="s">
        <v>27</v>
      </c>
      <c r="N319" t="s">
        <v>27</v>
      </c>
      <c r="O319">
        <v>5.59</v>
      </c>
      <c r="P319" t="s">
        <v>27</v>
      </c>
      <c r="Q319" t="s">
        <v>27</v>
      </c>
      <c r="R319">
        <v>6.9499998092651403</v>
      </c>
      <c r="S319">
        <v>6.9250357481484404</v>
      </c>
      <c r="T319" t="s">
        <v>27</v>
      </c>
      <c r="U319" t="s">
        <v>27</v>
      </c>
      <c r="V319" t="s">
        <v>27</v>
      </c>
      <c r="W319">
        <v>0.51384699344634999</v>
      </c>
      <c r="X319" t="s">
        <v>27</v>
      </c>
      <c r="Y319" t="s">
        <v>27</v>
      </c>
      <c r="Z319" t="s">
        <v>27</v>
      </c>
      <c r="AA319" t="s">
        <v>27</v>
      </c>
      <c r="AB319" t="s">
        <v>27</v>
      </c>
      <c r="AC319" t="s">
        <v>27</v>
      </c>
      <c r="AD319" t="s">
        <v>27</v>
      </c>
      <c r="AE319" t="s">
        <v>27</v>
      </c>
      <c r="AF319" t="s">
        <v>27</v>
      </c>
      <c r="AG319" t="s">
        <v>27</v>
      </c>
      <c r="AH319" t="s">
        <v>27</v>
      </c>
      <c r="AI319" t="s">
        <v>27</v>
      </c>
    </row>
    <row r="320" spans="1:35">
      <c r="A320">
        <f t="shared" si="40"/>
        <v>1</v>
      </c>
      <c r="B320">
        <f t="shared" si="41"/>
        <v>0</v>
      </c>
      <c r="C320">
        <f t="shared" si="42"/>
        <v>0</v>
      </c>
      <c r="D320">
        <f t="shared" si="43"/>
        <v>0</v>
      </c>
      <c r="E320">
        <f t="shared" si="44"/>
        <v>0</v>
      </c>
      <c r="F320">
        <f t="shared" si="45"/>
        <v>0</v>
      </c>
      <c r="G320">
        <f t="shared" si="46"/>
        <v>0</v>
      </c>
      <c r="H320">
        <v>0</v>
      </c>
      <c r="I320">
        <f t="shared" si="47"/>
        <v>0</v>
      </c>
      <c r="J320">
        <v>0</v>
      </c>
      <c r="K320" t="s">
        <v>1560</v>
      </c>
      <c r="L320" t="s">
        <v>1561</v>
      </c>
      <c r="M320" t="s">
        <v>27</v>
      </c>
      <c r="N320" t="s">
        <v>27</v>
      </c>
      <c r="O320">
        <v>22.23</v>
      </c>
      <c r="P320">
        <v>8.6358585357665998</v>
      </c>
      <c r="Q320" t="s">
        <v>27</v>
      </c>
      <c r="R320">
        <v>23.059999465942401</v>
      </c>
      <c r="S320">
        <v>33.799999237060497</v>
      </c>
      <c r="T320">
        <v>32.524364471435497</v>
      </c>
      <c r="U320">
        <v>26.382038116455099</v>
      </c>
      <c r="V320">
        <v>-15599998</v>
      </c>
      <c r="W320">
        <v>5.77876901626587</v>
      </c>
      <c r="X320">
        <v>0.479999989271164</v>
      </c>
      <c r="Y320">
        <v>5.8084030151367196</v>
      </c>
      <c r="Z320">
        <v>0.20593099296093001</v>
      </c>
      <c r="AA320">
        <v>50300000</v>
      </c>
      <c r="AB320" t="s">
        <v>27</v>
      </c>
      <c r="AC320" t="s">
        <v>27</v>
      </c>
      <c r="AD320">
        <v>-0.980000019073486</v>
      </c>
      <c r="AE320">
        <v>11.8832149505615</v>
      </c>
      <c r="AF320">
        <v>6.6869352488455602</v>
      </c>
      <c r="AG320">
        <v>50200000</v>
      </c>
      <c r="AH320">
        <v>30.2960319519043</v>
      </c>
      <c r="AI320">
        <v>-15.149136543273899</v>
      </c>
    </row>
    <row r="321" spans="1:35">
      <c r="A321">
        <f t="shared" si="40"/>
        <v>0</v>
      </c>
      <c r="B321">
        <f t="shared" si="41"/>
        <v>0</v>
      </c>
      <c r="C321">
        <f t="shared" si="42"/>
        <v>0</v>
      </c>
      <c r="D321">
        <f t="shared" si="43"/>
        <v>1</v>
      </c>
      <c r="E321">
        <f t="shared" si="44"/>
        <v>0</v>
      </c>
      <c r="F321">
        <f t="shared" si="45"/>
        <v>1</v>
      </c>
      <c r="G321">
        <f t="shared" si="46"/>
        <v>1</v>
      </c>
      <c r="H321">
        <v>0</v>
      </c>
      <c r="I321">
        <f t="shared" si="47"/>
        <v>0</v>
      </c>
      <c r="J321">
        <v>0</v>
      </c>
      <c r="K321" t="s">
        <v>1582</v>
      </c>
      <c r="L321" t="s">
        <v>1583</v>
      </c>
      <c r="M321" t="s">
        <v>27</v>
      </c>
      <c r="N321" t="s">
        <v>27</v>
      </c>
      <c r="O321">
        <v>13.31</v>
      </c>
      <c r="P321" t="s">
        <v>27</v>
      </c>
      <c r="Q321" t="s">
        <v>27</v>
      </c>
      <c r="R321">
        <v>13.3500003814697</v>
      </c>
      <c r="S321">
        <v>13.25</v>
      </c>
      <c r="T321">
        <v>50.5484619140625</v>
      </c>
      <c r="U321">
        <v>36.0597114562988</v>
      </c>
      <c r="V321">
        <v>-8340999.5</v>
      </c>
      <c r="W321" t="s">
        <v>27</v>
      </c>
      <c r="X321">
        <v>0.32499998807907099</v>
      </c>
      <c r="Y321">
        <v>-0.61276602745056197</v>
      </c>
      <c r="Z321">
        <v>9.375</v>
      </c>
      <c r="AA321">
        <v>16372000</v>
      </c>
      <c r="AB321" t="s">
        <v>328</v>
      </c>
      <c r="AC321" t="s">
        <v>403</v>
      </c>
      <c r="AD321">
        <v>0.43999999761581399</v>
      </c>
      <c r="AE321">
        <v>44.200782775878899</v>
      </c>
      <c r="AF321">
        <v>6.5985047580651299</v>
      </c>
      <c r="AG321">
        <v>16398001</v>
      </c>
      <c r="AH321">
        <v>54.463203430175803</v>
      </c>
      <c r="AI321" t="s">
        <v>27</v>
      </c>
    </row>
    <row r="322" spans="1:35">
      <c r="A322">
        <f t="shared" si="40"/>
        <v>0</v>
      </c>
      <c r="B322">
        <f t="shared" si="41"/>
        <v>0</v>
      </c>
      <c r="C322">
        <f t="shared" si="42"/>
        <v>1</v>
      </c>
      <c r="D322">
        <f t="shared" si="43"/>
        <v>1</v>
      </c>
      <c r="E322">
        <f t="shared" si="44"/>
        <v>0</v>
      </c>
      <c r="F322">
        <f t="shared" si="45"/>
        <v>0</v>
      </c>
      <c r="G322">
        <f t="shared" si="46"/>
        <v>1</v>
      </c>
      <c r="H322">
        <v>0</v>
      </c>
      <c r="I322">
        <f t="shared" si="47"/>
        <v>0</v>
      </c>
      <c r="J322">
        <v>0</v>
      </c>
      <c r="K322" t="s">
        <v>1584</v>
      </c>
      <c r="L322" t="s">
        <v>1585</v>
      </c>
      <c r="M322" t="s">
        <v>27</v>
      </c>
      <c r="N322" t="s">
        <v>27</v>
      </c>
      <c r="O322">
        <v>14.26</v>
      </c>
      <c r="P322" t="s">
        <v>27</v>
      </c>
      <c r="Q322" t="s">
        <v>27</v>
      </c>
      <c r="R322">
        <v>13.9799995422363</v>
      </c>
      <c r="S322">
        <v>14.375</v>
      </c>
      <c r="T322">
        <v>12.8339586257935</v>
      </c>
      <c r="U322">
        <v>32.056381225585902</v>
      </c>
      <c r="V322">
        <v>6405999.5</v>
      </c>
      <c r="W322">
        <v>-4.2697858810424796</v>
      </c>
      <c r="X322">
        <v>-0.18000000715255701</v>
      </c>
      <c r="Y322">
        <v>-18.9809894561768</v>
      </c>
      <c r="Z322">
        <v>-0.26725998520851102</v>
      </c>
      <c r="AA322">
        <v>27702000</v>
      </c>
      <c r="AB322" t="s">
        <v>27</v>
      </c>
      <c r="AC322" t="s">
        <v>27</v>
      </c>
      <c r="AD322">
        <v>5.9999998658895499E-2</v>
      </c>
      <c r="AE322">
        <v>34.174274444580099</v>
      </c>
      <c r="AF322">
        <v>5.9732914872054703</v>
      </c>
      <c r="AG322">
        <v>28543000</v>
      </c>
      <c r="AH322">
        <v>13.894080162048301</v>
      </c>
      <c r="AI322">
        <v>-15.1920223236084</v>
      </c>
    </row>
    <row r="323" spans="1:35">
      <c r="A323">
        <f t="shared" si="40"/>
        <v>0</v>
      </c>
      <c r="B323">
        <f t="shared" si="41"/>
        <v>1</v>
      </c>
      <c r="C323">
        <f t="shared" si="42"/>
        <v>1</v>
      </c>
      <c r="D323">
        <f t="shared" si="43"/>
        <v>0</v>
      </c>
      <c r="E323">
        <f t="shared" si="44"/>
        <v>0</v>
      </c>
      <c r="F323">
        <f t="shared" si="45"/>
        <v>1</v>
      </c>
      <c r="G323">
        <f t="shared" si="46"/>
        <v>0</v>
      </c>
      <c r="H323">
        <v>0</v>
      </c>
      <c r="I323">
        <f t="shared" si="47"/>
        <v>0</v>
      </c>
      <c r="J323">
        <v>0</v>
      </c>
      <c r="K323" t="s">
        <v>1586</v>
      </c>
      <c r="L323" t="s">
        <v>1587</v>
      </c>
      <c r="M323" t="s">
        <v>27</v>
      </c>
      <c r="N323" t="s">
        <v>27</v>
      </c>
      <c r="O323">
        <v>2.4</v>
      </c>
      <c r="P323">
        <v>12.704877853393601</v>
      </c>
      <c r="Q323" t="s">
        <v>27</v>
      </c>
      <c r="R323">
        <v>7.2300000190734899</v>
      </c>
      <c r="S323">
        <v>7.71875</v>
      </c>
      <c r="T323">
        <v>0</v>
      </c>
      <c r="U323" t="s">
        <v>27</v>
      </c>
      <c r="V323">
        <v>10417000</v>
      </c>
      <c r="W323">
        <v>0.64048397541046098</v>
      </c>
      <c r="X323">
        <v>0.15999999642372101</v>
      </c>
      <c r="Y323">
        <v>3.6923079490661599</v>
      </c>
      <c r="Z323">
        <v>3.4042549133300799</v>
      </c>
      <c r="AA323">
        <v>44157000</v>
      </c>
      <c r="AB323" t="s">
        <v>38</v>
      </c>
      <c r="AC323" t="s">
        <v>628</v>
      </c>
      <c r="AD323">
        <v>-5.0000000745058101E-2</v>
      </c>
      <c r="AE323" t="s">
        <v>27</v>
      </c>
      <c r="AF323">
        <v>3.8861483732305602</v>
      </c>
      <c r="AG323">
        <v>45657000</v>
      </c>
      <c r="AH323">
        <v>0</v>
      </c>
      <c r="AI323">
        <v>3.6801130771636998</v>
      </c>
    </row>
    <row r="324" spans="1:35">
      <c r="A324">
        <f t="shared" si="40"/>
        <v>0</v>
      </c>
      <c r="B324">
        <f t="shared" si="41"/>
        <v>1</v>
      </c>
      <c r="C324">
        <f t="shared" si="42"/>
        <v>0</v>
      </c>
      <c r="D324">
        <f t="shared" si="43"/>
        <v>0</v>
      </c>
      <c r="E324">
        <f t="shared" si="44"/>
        <v>0</v>
      </c>
      <c r="F324">
        <f t="shared" si="45"/>
        <v>1</v>
      </c>
      <c r="G324">
        <f t="shared" si="46"/>
        <v>0</v>
      </c>
      <c r="H324">
        <v>0</v>
      </c>
      <c r="I324">
        <f t="shared" si="47"/>
        <v>0</v>
      </c>
      <c r="J324">
        <v>0</v>
      </c>
      <c r="K324" t="s">
        <v>1592</v>
      </c>
      <c r="L324" t="s">
        <v>1593</v>
      </c>
      <c r="M324" t="s">
        <v>27</v>
      </c>
      <c r="N324" t="s">
        <v>27</v>
      </c>
      <c r="O324">
        <v>2.4700000000000002</v>
      </c>
      <c r="P324">
        <v>15.2938632965088</v>
      </c>
      <c r="Q324" t="s">
        <v>27</v>
      </c>
      <c r="R324">
        <v>7.53999996185303</v>
      </c>
      <c r="S324">
        <v>21</v>
      </c>
      <c r="T324">
        <v>0.111892998218536</v>
      </c>
      <c r="U324">
        <v>51.056610107421903</v>
      </c>
      <c r="V324">
        <v>-3929000</v>
      </c>
      <c r="W324">
        <v>11.5536098480225</v>
      </c>
      <c r="X324">
        <v>0.33000001311302202</v>
      </c>
      <c r="Y324">
        <v>3.6868009567260702</v>
      </c>
      <c r="Z324">
        <v>1.03092801570892</v>
      </c>
      <c r="AA324">
        <v>13163000</v>
      </c>
      <c r="AB324" t="s">
        <v>27</v>
      </c>
      <c r="AC324" t="s">
        <v>27</v>
      </c>
      <c r="AD324">
        <v>-0.259999990463257</v>
      </c>
      <c r="AE324">
        <v>37.389625549316399</v>
      </c>
      <c r="AF324" t="s">
        <v>27</v>
      </c>
      <c r="AG324">
        <v>13062000</v>
      </c>
      <c r="AH324">
        <v>0.30623900890350297</v>
      </c>
      <c r="AI324">
        <v>13.504331588745099</v>
      </c>
    </row>
    <row r="325" spans="1:35">
      <c r="A325">
        <f t="shared" si="40"/>
        <v>1</v>
      </c>
      <c r="B325">
        <f t="shared" si="41"/>
        <v>0</v>
      </c>
      <c r="C325">
        <f t="shared" si="42"/>
        <v>1</v>
      </c>
      <c r="D325">
        <f t="shared" si="43"/>
        <v>1</v>
      </c>
      <c r="E325">
        <f t="shared" si="44"/>
        <v>0</v>
      </c>
      <c r="F325">
        <f t="shared" si="45"/>
        <v>1</v>
      </c>
      <c r="G325">
        <f t="shared" si="46"/>
        <v>1</v>
      </c>
      <c r="H325">
        <v>0</v>
      </c>
      <c r="I325">
        <f t="shared" si="47"/>
        <v>1</v>
      </c>
      <c r="J325">
        <v>0</v>
      </c>
      <c r="K325" t="s">
        <v>1594</v>
      </c>
      <c r="L325" t="s">
        <v>1595</v>
      </c>
      <c r="M325" t="s">
        <v>27</v>
      </c>
      <c r="N325" t="s">
        <v>27</v>
      </c>
      <c r="O325">
        <v>16.8</v>
      </c>
      <c r="P325" t="s">
        <v>27</v>
      </c>
      <c r="Q325" t="s">
        <v>27</v>
      </c>
      <c r="R325">
        <v>14.829999923706101</v>
      </c>
      <c r="S325">
        <v>3.96000003814697</v>
      </c>
      <c r="T325">
        <v>15.8517513275146</v>
      </c>
      <c r="U325">
        <v>49.258682250976598</v>
      </c>
      <c r="V325">
        <v>4117000</v>
      </c>
      <c r="W325" t="s">
        <v>27</v>
      </c>
      <c r="X325">
        <v>0.21999999880790699</v>
      </c>
      <c r="Y325" t="s">
        <v>27</v>
      </c>
      <c r="Z325" t="s">
        <v>27</v>
      </c>
      <c r="AA325">
        <v>18652000</v>
      </c>
      <c r="AB325" t="s">
        <v>30</v>
      </c>
      <c r="AC325" t="s">
        <v>68</v>
      </c>
      <c r="AD325">
        <v>0.31000000238418601</v>
      </c>
      <c r="AE325">
        <v>53.211082458496101</v>
      </c>
      <c r="AF325" t="s">
        <v>27</v>
      </c>
      <c r="AG325">
        <v>17285000</v>
      </c>
      <c r="AH325">
        <v>8.3018121719360405</v>
      </c>
      <c r="AI325" t="s">
        <v>27</v>
      </c>
    </row>
    <row r="326" spans="1:35">
      <c r="A326">
        <f t="shared" si="40"/>
        <v>0</v>
      </c>
      <c r="B326">
        <f t="shared" si="41"/>
        <v>0</v>
      </c>
      <c r="C326">
        <f t="shared" si="42"/>
        <v>0</v>
      </c>
      <c r="D326">
        <f t="shared" si="43"/>
        <v>0</v>
      </c>
      <c r="E326">
        <f t="shared" si="44"/>
        <v>0</v>
      </c>
      <c r="F326">
        <f t="shared" si="45"/>
        <v>0</v>
      </c>
      <c r="G326">
        <f t="shared" si="46"/>
        <v>0</v>
      </c>
      <c r="H326">
        <v>0</v>
      </c>
      <c r="I326">
        <f t="shared" si="47"/>
        <v>0</v>
      </c>
      <c r="J326">
        <v>0</v>
      </c>
      <c r="K326" t="s">
        <v>1600</v>
      </c>
      <c r="L326" t="s">
        <v>1601</v>
      </c>
      <c r="M326" t="s">
        <v>27</v>
      </c>
      <c r="N326" t="s">
        <v>27</v>
      </c>
      <c r="O326">
        <v>0.85</v>
      </c>
      <c r="P326" t="s">
        <v>27</v>
      </c>
      <c r="Q326" t="s">
        <v>27</v>
      </c>
      <c r="R326">
        <v>5.6700000762939498</v>
      </c>
      <c r="S326">
        <v>45.953125</v>
      </c>
      <c r="T326">
        <v>0</v>
      </c>
      <c r="U326">
        <v>31.210912704467798</v>
      </c>
      <c r="V326">
        <v>-58939000</v>
      </c>
      <c r="W326">
        <v>-48.996559143066399</v>
      </c>
      <c r="X326">
        <v>-0.17000000178813901</v>
      </c>
      <c r="Y326" t="s">
        <v>27</v>
      </c>
      <c r="Z326">
        <v>-47.407405853271499</v>
      </c>
      <c r="AA326">
        <v>126830000</v>
      </c>
      <c r="AB326" t="s">
        <v>27</v>
      </c>
      <c r="AC326" t="s">
        <v>27</v>
      </c>
      <c r="AD326">
        <v>-0.28000000119209301</v>
      </c>
      <c r="AE326">
        <v>8.6494941711425799</v>
      </c>
      <c r="AF326" t="s">
        <v>27</v>
      </c>
      <c r="AG326">
        <v>131918000</v>
      </c>
      <c r="AH326">
        <v>0</v>
      </c>
      <c r="AI326">
        <v>-52.082355499267599</v>
      </c>
    </row>
    <row r="327" spans="1:35">
      <c r="A327">
        <f t="shared" si="40"/>
        <v>1</v>
      </c>
      <c r="B327">
        <f t="shared" si="41"/>
        <v>0</v>
      </c>
      <c r="C327">
        <f t="shared" si="42"/>
        <v>1</v>
      </c>
      <c r="D327">
        <f t="shared" si="43"/>
        <v>0</v>
      </c>
      <c r="E327">
        <f t="shared" si="44"/>
        <v>0</v>
      </c>
      <c r="F327">
        <f t="shared" si="45"/>
        <v>1</v>
      </c>
      <c r="G327">
        <f t="shared" si="46"/>
        <v>1</v>
      </c>
      <c r="H327">
        <v>0</v>
      </c>
      <c r="I327">
        <f t="shared" si="47"/>
        <v>1</v>
      </c>
      <c r="J327">
        <v>0</v>
      </c>
      <c r="K327" t="s">
        <v>1602</v>
      </c>
      <c r="L327" t="s">
        <v>1603</v>
      </c>
      <c r="M327" t="s">
        <v>27</v>
      </c>
      <c r="N327" t="s">
        <v>27</v>
      </c>
      <c r="O327">
        <v>13.95</v>
      </c>
      <c r="P327" t="s">
        <v>27</v>
      </c>
      <c r="Q327" t="s">
        <v>27</v>
      </c>
      <c r="R327">
        <v>8.1000003814697301</v>
      </c>
      <c r="S327">
        <v>1.3099999427795399</v>
      </c>
      <c r="T327">
        <v>59.213932037353501</v>
      </c>
      <c r="U327">
        <v>51.440296173095703</v>
      </c>
      <c r="V327">
        <v>14923000</v>
      </c>
      <c r="W327" t="s">
        <v>27</v>
      </c>
      <c r="X327">
        <v>1.9999999552965199E-2</v>
      </c>
      <c r="Y327">
        <v>1.3333330154418901</v>
      </c>
      <c r="Z327">
        <v>-24.324323654174801</v>
      </c>
      <c r="AA327">
        <v>18910000</v>
      </c>
      <c r="AB327" t="s">
        <v>73</v>
      </c>
      <c r="AC327" t="s">
        <v>210</v>
      </c>
      <c r="AD327">
        <v>-7.0000000298023196E-2</v>
      </c>
      <c r="AE327">
        <v>52.466339111328097</v>
      </c>
      <c r="AF327">
        <v>7.3756497485046904</v>
      </c>
      <c r="AG327">
        <v>18777000</v>
      </c>
      <c r="AH327">
        <v>59.1910400390625</v>
      </c>
      <c r="AI327" t="s">
        <v>27</v>
      </c>
    </row>
    <row r="328" spans="1:35">
      <c r="A328">
        <f t="shared" si="40"/>
        <v>0</v>
      </c>
      <c r="B328">
        <f t="shared" si="41"/>
        <v>0</v>
      </c>
      <c r="C328">
        <f t="shared" si="42"/>
        <v>0</v>
      </c>
      <c r="D328">
        <f t="shared" si="43"/>
        <v>1</v>
      </c>
      <c r="E328">
        <f t="shared" si="44"/>
        <v>0</v>
      </c>
      <c r="F328">
        <f t="shared" si="45"/>
        <v>0</v>
      </c>
      <c r="G328">
        <f t="shared" si="46"/>
        <v>0</v>
      </c>
      <c r="H328">
        <v>0</v>
      </c>
      <c r="I328">
        <f t="shared" si="47"/>
        <v>0</v>
      </c>
      <c r="J328">
        <v>0</v>
      </c>
      <c r="K328" t="s">
        <v>1612</v>
      </c>
      <c r="L328" t="s">
        <v>1613</v>
      </c>
      <c r="M328" t="s">
        <v>27</v>
      </c>
      <c r="N328" t="s">
        <v>27</v>
      </c>
      <c r="O328">
        <v>4.22</v>
      </c>
      <c r="P328" t="s">
        <v>27</v>
      </c>
      <c r="Q328" t="s">
        <v>27</v>
      </c>
      <c r="R328">
        <v>13.3500003814697</v>
      </c>
      <c r="S328">
        <v>11.75</v>
      </c>
      <c r="T328">
        <v>0</v>
      </c>
      <c r="U328">
        <v>28.045650482177699</v>
      </c>
      <c r="V328">
        <v>-11854000</v>
      </c>
      <c r="W328">
        <v>19.087770462036101</v>
      </c>
      <c r="X328">
        <v>-1.54999995231628</v>
      </c>
      <c r="Y328">
        <v>2.6666669845581099</v>
      </c>
      <c r="Z328">
        <v>-33.086418151855497</v>
      </c>
      <c r="AA328">
        <v>57777000</v>
      </c>
      <c r="AB328" t="s">
        <v>38</v>
      </c>
      <c r="AC328" t="s">
        <v>113</v>
      </c>
      <c r="AD328">
        <v>-1.16999995708466</v>
      </c>
      <c r="AE328">
        <v>-21.5823078155518</v>
      </c>
      <c r="AF328" t="s">
        <v>27</v>
      </c>
      <c r="AG328">
        <v>59002000</v>
      </c>
      <c r="AH328">
        <v>0.37643098831176802</v>
      </c>
      <c r="AI328">
        <v>-540.84631347656295</v>
      </c>
    </row>
    <row r="329" spans="1:35">
      <c r="A329">
        <f t="shared" si="40"/>
        <v>0</v>
      </c>
      <c r="B329">
        <f t="shared" si="41"/>
        <v>1</v>
      </c>
      <c r="C329">
        <f t="shared" si="42"/>
        <v>0</v>
      </c>
      <c r="D329">
        <f t="shared" si="43"/>
        <v>1</v>
      </c>
      <c r="E329">
        <f t="shared" si="44"/>
        <v>0</v>
      </c>
      <c r="F329">
        <f t="shared" si="45"/>
        <v>0</v>
      </c>
      <c r="G329">
        <f t="shared" si="46"/>
        <v>0</v>
      </c>
      <c r="H329">
        <v>0</v>
      </c>
      <c r="I329">
        <f t="shared" si="47"/>
        <v>1</v>
      </c>
      <c r="J329">
        <v>0</v>
      </c>
      <c r="K329" t="s">
        <v>1616</v>
      </c>
      <c r="L329" t="s">
        <v>1617</v>
      </c>
      <c r="M329" t="s">
        <v>27</v>
      </c>
      <c r="N329" t="s">
        <v>27</v>
      </c>
      <c r="O329">
        <v>3.9</v>
      </c>
      <c r="P329" t="s">
        <v>27</v>
      </c>
      <c r="Q329" t="s">
        <v>27</v>
      </c>
      <c r="R329">
        <v>3.0999999046325701</v>
      </c>
      <c r="S329">
        <v>5.8125</v>
      </c>
      <c r="T329">
        <v>0</v>
      </c>
      <c r="U329">
        <v>47.722560882568402</v>
      </c>
      <c r="V329">
        <v>-1368000</v>
      </c>
      <c r="W329">
        <v>-35.126708984375</v>
      </c>
      <c r="X329">
        <v>-0.21999999880790699</v>
      </c>
      <c r="Y329">
        <v>-20.222221374511701</v>
      </c>
      <c r="Z329">
        <v>-24.545455932617202</v>
      </c>
      <c r="AA329">
        <v>34264000</v>
      </c>
      <c r="AB329" t="s">
        <v>27</v>
      </c>
      <c r="AC329" t="s">
        <v>27</v>
      </c>
      <c r="AD329">
        <v>-9.00000035762787E-2</v>
      </c>
      <c r="AE329">
        <v>46.3756294250488</v>
      </c>
      <c r="AF329">
        <v>234.04169922044099</v>
      </c>
      <c r="AG329">
        <v>35014000</v>
      </c>
      <c r="AH329">
        <v>2.0663828849792498</v>
      </c>
      <c r="AI329">
        <v>-25.327800750732401</v>
      </c>
    </row>
    <row r="330" spans="1:35">
      <c r="A330">
        <f t="shared" si="40"/>
        <v>1</v>
      </c>
      <c r="B330">
        <f t="shared" si="41"/>
        <v>1</v>
      </c>
      <c r="C330">
        <f t="shared" si="42"/>
        <v>0</v>
      </c>
      <c r="D330">
        <f t="shared" si="43"/>
        <v>0</v>
      </c>
      <c r="E330">
        <f t="shared" si="44"/>
        <v>0</v>
      </c>
      <c r="F330">
        <f t="shared" si="45"/>
        <v>0</v>
      </c>
      <c r="G330">
        <f t="shared" si="46"/>
        <v>0</v>
      </c>
      <c r="H330">
        <v>0</v>
      </c>
      <c r="I330">
        <f t="shared" si="47"/>
        <v>0</v>
      </c>
      <c r="J330">
        <v>0</v>
      </c>
      <c r="K330" t="s">
        <v>1620</v>
      </c>
      <c r="L330" t="s">
        <v>1621</v>
      </c>
      <c r="M330" t="s">
        <v>27</v>
      </c>
      <c r="N330" t="s">
        <v>27</v>
      </c>
      <c r="O330">
        <v>3.01</v>
      </c>
      <c r="P330" t="s">
        <v>27</v>
      </c>
      <c r="Q330" t="s">
        <v>27</v>
      </c>
      <c r="R330">
        <v>7.78999996185303</v>
      </c>
      <c r="S330">
        <v>11.625</v>
      </c>
      <c r="T330" t="s">
        <v>27</v>
      </c>
      <c r="U330" t="s">
        <v>27</v>
      </c>
      <c r="V330">
        <v>-679000</v>
      </c>
      <c r="W330">
        <v>-142.83001708984401</v>
      </c>
      <c r="X330" t="s">
        <v>27</v>
      </c>
      <c r="Y330" t="s">
        <v>27</v>
      </c>
      <c r="Z330" t="s">
        <v>27</v>
      </c>
      <c r="AA330" t="s">
        <v>27</v>
      </c>
      <c r="AB330" t="s">
        <v>73</v>
      </c>
      <c r="AC330" t="s">
        <v>177</v>
      </c>
      <c r="AD330">
        <v>9.9999997764825804E-3</v>
      </c>
      <c r="AE330">
        <v>50.972469329833999</v>
      </c>
      <c r="AF330">
        <v>8.9620648727404504</v>
      </c>
      <c r="AG330">
        <v>31283000</v>
      </c>
      <c r="AH330">
        <v>5.90629987418652E-2</v>
      </c>
      <c r="AI330">
        <v>-125.54836273193401</v>
      </c>
    </row>
    <row r="331" spans="1:35">
      <c r="A331">
        <f t="shared" si="40"/>
        <v>1</v>
      </c>
      <c r="B331">
        <f t="shared" si="41"/>
        <v>1</v>
      </c>
      <c r="C331">
        <f t="shared" si="42"/>
        <v>1</v>
      </c>
      <c r="D331">
        <f t="shared" si="43"/>
        <v>1</v>
      </c>
      <c r="E331">
        <f t="shared" si="44"/>
        <v>0</v>
      </c>
      <c r="F331">
        <f t="shared" si="45"/>
        <v>1</v>
      </c>
      <c r="G331">
        <f t="shared" si="46"/>
        <v>0</v>
      </c>
      <c r="H331">
        <v>0</v>
      </c>
      <c r="I331">
        <f t="shared" si="47"/>
        <v>1</v>
      </c>
      <c r="J331">
        <v>0</v>
      </c>
      <c r="K331" t="s">
        <v>1630</v>
      </c>
      <c r="L331" t="s">
        <v>1631</v>
      </c>
      <c r="M331" t="s">
        <v>27</v>
      </c>
      <c r="N331" t="s">
        <v>27</v>
      </c>
      <c r="O331">
        <v>14.3</v>
      </c>
      <c r="P331" t="s">
        <v>27</v>
      </c>
      <c r="Q331" t="s">
        <v>27</v>
      </c>
      <c r="R331">
        <v>12.949999809265099</v>
      </c>
      <c r="S331">
        <v>5.625</v>
      </c>
      <c r="T331">
        <v>15.7381639480591</v>
      </c>
      <c r="U331">
        <v>62.889743804931598</v>
      </c>
      <c r="V331">
        <v>4916000</v>
      </c>
      <c r="W331">
        <v>8.044921875</v>
      </c>
      <c r="X331">
        <v>0.129999995231628</v>
      </c>
      <c r="Y331">
        <v>11.4782609939575</v>
      </c>
      <c r="Z331">
        <v>8.8181819915771502</v>
      </c>
      <c r="AA331">
        <v>23127000</v>
      </c>
      <c r="AB331" t="s">
        <v>52</v>
      </c>
      <c r="AC331" t="s">
        <v>1139</v>
      </c>
      <c r="AD331">
        <v>0.28999999165535001</v>
      </c>
      <c r="AE331">
        <v>58.558483123779297</v>
      </c>
      <c r="AF331">
        <v>12.832713621169299</v>
      </c>
      <c r="AG331">
        <v>23259000</v>
      </c>
      <c r="AH331">
        <v>8.1354398727416992</v>
      </c>
      <c r="AI331">
        <v>48.452980041503899</v>
      </c>
    </row>
    <row r="332" spans="1:35">
      <c r="A332">
        <f t="shared" si="40"/>
        <v>1</v>
      </c>
      <c r="B332">
        <f t="shared" si="41"/>
        <v>0</v>
      </c>
      <c r="C332">
        <f t="shared" si="42"/>
        <v>1</v>
      </c>
      <c r="D332">
        <f t="shared" si="43"/>
        <v>0</v>
      </c>
      <c r="E332">
        <f t="shared" si="44"/>
        <v>0</v>
      </c>
      <c r="F332">
        <f t="shared" si="45"/>
        <v>1</v>
      </c>
      <c r="G332">
        <f t="shared" si="46"/>
        <v>0</v>
      </c>
      <c r="H332">
        <v>0</v>
      </c>
      <c r="I332">
        <f t="shared" si="47"/>
        <v>0</v>
      </c>
      <c r="J332">
        <v>0</v>
      </c>
      <c r="K332" t="s">
        <v>1632</v>
      </c>
      <c r="L332" t="s">
        <v>1633</v>
      </c>
      <c r="M332" t="s">
        <v>27</v>
      </c>
      <c r="N332" t="s">
        <v>27</v>
      </c>
      <c r="O332">
        <v>28.13</v>
      </c>
      <c r="P332" t="s">
        <v>27</v>
      </c>
      <c r="Q332" t="s">
        <v>27</v>
      </c>
      <c r="R332">
        <v>28.7600002288818</v>
      </c>
      <c r="S332">
        <v>22.280000686645501</v>
      </c>
      <c r="T332">
        <v>34.052486419677699</v>
      </c>
      <c r="U332" t="s">
        <v>27</v>
      </c>
      <c r="V332">
        <v>6319000</v>
      </c>
      <c r="W332">
        <v>5.3426499366760298</v>
      </c>
      <c r="X332">
        <v>0.46999999880790699</v>
      </c>
      <c r="Y332">
        <v>9.4201183319091797</v>
      </c>
      <c r="Z332">
        <v>6.9411759376525897</v>
      </c>
      <c r="AA332">
        <v>40150932</v>
      </c>
      <c r="AB332" t="s">
        <v>83</v>
      </c>
      <c r="AC332" t="s">
        <v>84</v>
      </c>
      <c r="AD332">
        <v>0.44999998807907099</v>
      </c>
      <c r="AE332" t="s">
        <v>27</v>
      </c>
      <c r="AF332">
        <v>10.4911436462738</v>
      </c>
      <c r="AG332">
        <v>40765436</v>
      </c>
      <c r="AH332">
        <v>33.600181579589801</v>
      </c>
      <c r="AI332">
        <v>4.9953050613403303</v>
      </c>
    </row>
    <row r="333" spans="1:35">
      <c r="A333">
        <f t="shared" si="40"/>
        <v>1</v>
      </c>
      <c r="B333">
        <f t="shared" si="41"/>
        <v>0</v>
      </c>
      <c r="C333">
        <f t="shared" si="42"/>
        <v>0</v>
      </c>
      <c r="D333">
        <f t="shared" si="43"/>
        <v>0</v>
      </c>
      <c r="E333">
        <f t="shared" si="44"/>
        <v>0</v>
      </c>
      <c r="F333">
        <f t="shared" si="45"/>
        <v>0</v>
      </c>
      <c r="G333">
        <f t="shared" si="46"/>
        <v>0</v>
      </c>
      <c r="H333">
        <v>0</v>
      </c>
      <c r="I333">
        <f t="shared" si="47"/>
        <v>0</v>
      </c>
      <c r="J333">
        <v>0</v>
      </c>
      <c r="K333" t="s">
        <v>1640</v>
      </c>
      <c r="L333" t="s">
        <v>1641</v>
      </c>
      <c r="M333" t="s">
        <v>27</v>
      </c>
      <c r="N333" t="s">
        <v>27</v>
      </c>
      <c r="O333">
        <v>2.35</v>
      </c>
      <c r="P333" t="s">
        <v>27</v>
      </c>
      <c r="Q333" t="s">
        <v>27</v>
      </c>
      <c r="R333">
        <v>8</v>
      </c>
      <c r="S333">
        <v>5.5</v>
      </c>
      <c r="T333">
        <v>0.69786798954009999</v>
      </c>
      <c r="U333">
        <v>31.696222305297901</v>
      </c>
      <c r="V333">
        <v>-6287000</v>
      </c>
      <c r="W333" t="s">
        <v>27</v>
      </c>
      <c r="X333">
        <v>0</v>
      </c>
      <c r="Y333" t="s">
        <v>27</v>
      </c>
      <c r="Z333" t="s">
        <v>27</v>
      </c>
      <c r="AA333">
        <v>1612000</v>
      </c>
      <c r="AB333" t="s">
        <v>27</v>
      </c>
      <c r="AC333" t="s">
        <v>27</v>
      </c>
      <c r="AD333">
        <v>-0.31999999284744302</v>
      </c>
      <c r="AE333">
        <v>-62.629764556884801</v>
      </c>
      <c r="AF333" t="s">
        <v>27</v>
      </c>
      <c r="AG333">
        <v>1641000</v>
      </c>
      <c r="AH333">
        <v>5.88189996778965E-2</v>
      </c>
      <c r="AI333">
        <v>-119.513969421387</v>
      </c>
    </row>
    <row r="334" spans="1:35">
      <c r="A334">
        <f t="shared" si="40"/>
        <v>1</v>
      </c>
      <c r="B334">
        <f t="shared" si="41"/>
        <v>0</v>
      </c>
      <c r="C334">
        <f t="shared" si="42"/>
        <v>0</v>
      </c>
      <c r="D334">
        <f t="shared" si="43"/>
        <v>1</v>
      </c>
      <c r="E334">
        <f t="shared" si="44"/>
        <v>0</v>
      </c>
      <c r="F334">
        <f t="shared" si="45"/>
        <v>0</v>
      </c>
      <c r="G334">
        <f t="shared" si="46"/>
        <v>1</v>
      </c>
      <c r="H334">
        <v>0</v>
      </c>
      <c r="I334">
        <f t="shared" si="47"/>
        <v>1</v>
      </c>
      <c r="J334">
        <v>0</v>
      </c>
      <c r="K334" t="s">
        <v>1644</v>
      </c>
      <c r="L334" t="s">
        <v>1645</v>
      </c>
      <c r="M334" t="s">
        <v>27</v>
      </c>
      <c r="N334" t="s">
        <v>27</v>
      </c>
      <c r="O334">
        <v>4.38</v>
      </c>
      <c r="P334" t="s">
        <v>27</v>
      </c>
      <c r="Q334" t="s">
        <v>27</v>
      </c>
      <c r="R334">
        <v>1.03999996185303</v>
      </c>
      <c r="S334">
        <v>0.87000000476837203</v>
      </c>
      <c r="T334">
        <v>28.1110649108887</v>
      </c>
      <c r="U334">
        <v>-0.40909400582313499</v>
      </c>
      <c r="V334">
        <v>-1770000</v>
      </c>
      <c r="W334">
        <v>-15.36838722229</v>
      </c>
      <c r="X334">
        <v>-7.9999998211860698E-2</v>
      </c>
      <c r="Y334">
        <v>-70.666664123535199</v>
      </c>
      <c r="Z334">
        <v>-30.1587314605713</v>
      </c>
      <c r="AA334">
        <v>66797996</v>
      </c>
      <c r="AB334" t="s">
        <v>52</v>
      </c>
      <c r="AC334" t="s">
        <v>56</v>
      </c>
      <c r="AD334">
        <v>-5.9999998658895499E-2</v>
      </c>
      <c r="AE334">
        <v>1.19993996620178</v>
      </c>
      <c r="AF334">
        <v>14.649364662071999</v>
      </c>
      <c r="AG334">
        <v>72865000</v>
      </c>
      <c r="AH334">
        <v>12.3932914733887</v>
      </c>
      <c r="AI334">
        <v>-36.2548637390137</v>
      </c>
    </row>
    <row r="335" spans="1:35">
      <c r="A335">
        <f t="shared" si="40"/>
        <v>0</v>
      </c>
      <c r="B335">
        <f t="shared" si="41"/>
        <v>1</v>
      </c>
      <c r="C335">
        <f t="shared" si="42"/>
        <v>1</v>
      </c>
      <c r="D335">
        <f t="shared" si="43"/>
        <v>0</v>
      </c>
      <c r="E335">
        <f t="shared" si="44"/>
        <v>0</v>
      </c>
      <c r="F335">
        <f t="shared" si="45"/>
        <v>1</v>
      </c>
      <c r="G335">
        <f t="shared" si="46"/>
        <v>0</v>
      </c>
      <c r="H335">
        <v>0</v>
      </c>
      <c r="I335">
        <f t="shared" si="47"/>
        <v>0</v>
      </c>
      <c r="J335">
        <v>0</v>
      </c>
      <c r="K335" t="s">
        <v>1648</v>
      </c>
      <c r="L335" t="s">
        <v>1649</v>
      </c>
      <c r="M335" t="s">
        <v>27</v>
      </c>
      <c r="N335" t="s">
        <v>27</v>
      </c>
      <c r="O335">
        <v>12.93</v>
      </c>
      <c r="P335" t="s">
        <v>27</v>
      </c>
      <c r="Q335" t="s">
        <v>27</v>
      </c>
      <c r="R335">
        <v>16.5</v>
      </c>
      <c r="S335">
        <v>37.9375</v>
      </c>
      <c r="T335">
        <v>0</v>
      </c>
      <c r="U335" t="s">
        <v>27</v>
      </c>
      <c r="V335">
        <v>4659000.5</v>
      </c>
      <c r="W335">
        <v>2.4991149902343799</v>
      </c>
      <c r="X335">
        <v>-0.129999995231628</v>
      </c>
      <c r="Y335" t="s">
        <v>27</v>
      </c>
      <c r="Z335">
        <v>3.43377709388733</v>
      </c>
      <c r="AA335">
        <v>19724000</v>
      </c>
      <c r="AB335" t="s">
        <v>61</v>
      </c>
      <c r="AC335" t="s">
        <v>80</v>
      </c>
      <c r="AD335">
        <v>-0.68999999761581399</v>
      </c>
      <c r="AE335" t="s">
        <v>27</v>
      </c>
      <c r="AF335">
        <v>13.606863248775401</v>
      </c>
      <c r="AG335">
        <v>17997000</v>
      </c>
      <c r="AH335">
        <v>1.04316198825836</v>
      </c>
      <c r="AI335">
        <v>4.5240349769592303</v>
      </c>
    </row>
    <row r="336" spans="1:35">
      <c r="A336">
        <f t="shared" si="40"/>
        <v>0</v>
      </c>
      <c r="B336">
        <f t="shared" si="41"/>
        <v>0</v>
      </c>
      <c r="C336">
        <f t="shared" si="42"/>
        <v>0</v>
      </c>
      <c r="D336">
        <f t="shared" si="43"/>
        <v>0</v>
      </c>
      <c r="E336">
        <f t="shared" si="44"/>
        <v>0</v>
      </c>
      <c r="F336">
        <f t="shared" si="45"/>
        <v>0</v>
      </c>
      <c r="G336">
        <f t="shared" si="46"/>
        <v>0</v>
      </c>
      <c r="H336">
        <v>0</v>
      </c>
      <c r="I336">
        <f t="shared" si="47"/>
        <v>0</v>
      </c>
      <c r="J336">
        <v>0</v>
      </c>
      <c r="K336" t="s">
        <v>1652</v>
      </c>
      <c r="L336" t="s">
        <v>1653</v>
      </c>
      <c r="M336" t="s">
        <v>27</v>
      </c>
      <c r="N336" t="s">
        <v>27</v>
      </c>
      <c r="O336">
        <v>8.6</v>
      </c>
      <c r="P336">
        <v>46.886272430419901</v>
      </c>
      <c r="Q336" t="s">
        <v>27</v>
      </c>
      <c r="R336">
        <v>20.620000839233398</v>
      </c>
      <c r="S336">
        <v>31</v>
      </c>
      <c r="T336">
        <v>0</v>
      </c>
      <c r="U336">
        <v>48.189609527587898</v>
      </c>
      <c r="V336">
        <v>-716000</v>
      </c>
      <c r="W336">
        <v>38.934913635253899</v>
      </c>
      <c r="X336">
        <v>0.64999997615814198</v>
      </c>
      <c r="Y336">
        <v>8.5333328247070295</v>
      </c>
      <c r="Z336">
        <v>-1.0199559926986701</v>
      </c>
      <c r="AA336">
        <v>22533000</v>
      </c>
      <c r="AB336" t="s">
        <v>27</v>
      </c>
      <c r="AC336" t="s">
        <v>27</v>
      </c>
      <c r="AD336">
        <v>-0.15999999642372101</v>
      </c>
      <c r="AE336">
        <v>20.082067489623999</v>
      </c>
      <c r="AF336" t="s">
        <v>27</v>
      </c>
      <c r="AG336">
        <v>22611000</v>
      </c>
      <c r="AH336">
        <v>0</v>
      </c>
      <c r="AI336">
        <v>-4.6488327980041504</v>
      </c>
    </row>
    <row r="337" spans="1:35">
      <c r="A337">
        <f t="shared" si="40"/>
        <v>0</v>
      </c>
      <c r="B337">
        <f t="shared" si="41"/>
        <v>1</v>
      </c>
      <c r="C337">
        <f t="shared" si="42"/>
        <v>1</v>
      </c>
      <c r="D337">
        <f t="shared" si="43"/>
        <v>0</v>
      </c>
      <c r="E337">
        <f t="shared" si="44"/>
        <v>0</v>
      </c>
      <c r="F337">
        <f t="shared" si="45"/>
        <v>1</v>
      </c>
      <c r="G337">
        <f t="shared" si="46"/>
        <v>0</v>
      </c>
      <c r="H337">
        <v>0</v>
      </c>
      <c r="I337">
        <f t="shared" si="47"/>
        <v>1</v>
      </c>
      <c r="J337">
        <v>0</v>
      </c>
      <c r="K337" t="s">
        <v>1656</v>
      </c>
      <c r="L337" t="s">
        <v>1657</v>
      </c>
      <c r="M337" t="s">
        <v>27</v>
      </c>
      <c r="N337" t="s">
        <v>27</v>
      </c>
      <c r="O337">
        <v>2.88</v>
      </c>
      <c r="P337" t="s">
        <v>27</v>
      </c>
      <c r="Q337" t="s">
        <v>27</v>
      </c>
      <c r="R337">
        <v>2.4700000286102299</v>
      </c>
      <c r="S337">
        <v>11.699999809265099</v>
      </c>
      <c r="T337">
        <v>55.886222839355497</v>
      </c>
      <c r="U337">
        <v>20.888889312744102</v>
      </c>
      <c r="V337">
        <v>29000000</v>
      </c>
      <c r="W337">
        <v>-1.74789702892303</v>
      </c>
      <c r="X337">
        <v>0</v>
      </c>
      <c r="Y337">
        <v>2.16822409629822</v>
      </c>
      <c r="Z337">
        <v>-2.5</v>
      </c>
      <c r="AA337">
        <v>36900000</v>
      </c>
      <c r="AB337" t="s">
        <v>61</v>
      </c>
      <c r="AC337" t="s">
        <v>65</v>
      </c>
      <c r="AD337">
        <v>-0.34000000357627902</v>
      </c>
      <c r="AE337">
        <v>18.204490661621101</v>
      </c>
      <c r="AF337">
        <v>7.2070314285714296</v>
      </c>
      <c r="AG337">
        <v>38100000</v>
      </c>
      <c r="AH337">
        <v>56.935447692871101</v>
      </c>
      <c r="AI337">
        <v>4.3828082084655797</v>
      </c>
    </row>
    <row r="338" spans="1:35">
      <c r="A338">
        <f t="shared" si="40"/>
        <v>0</v>
      </c>
      <c r="B338">
        <f t="shared" si="41"/>
        <v>1</v>
      </c>
      <c r="C338">
        <f t="shared" si="42"/>
        <v>1</v>
      </c>
      <c r="D338">
        <f t="shared" si="43"/>
        <v>0</v>
      </c>
      <c r="E338">
        <f t="shared" si="44"/>
        <v>0</v>
      </c>
      <c r="F338">
        <f t="shared" si="45"/>
        <v>1</v>
      </c>
      <c r="G338">
        <f t="shared" si="46"/>
        <v>0</v>
      </c>
      <c r="H338">
        <v>0</v>
      </c>
      <c r="I338">
        <f t="shared" si="47"/>
        <v>1</v>
      </c>
      <c r="J338">
        <v>0</v>
      </c>
      <c r="K338" t="s">
        <v>1664</v>
      </c>
      <c r="L338" t="s">
        <v>1665</v>
      </c>
      <c r="M338" t="s">
        <v>27</v>
      </c>
      <c r="N338" t="s">
        <v>27</v>
      </c>
      <c r="O338">
        <v>12.44</v>
      </c>
      <c r="P338" t="s">
        <v>27</v>
      </c>
      <c r="Q338" t="s">
        <v>27</v>
      </c>
      <c r="R338">
        <v>10.300000190734901</v>
      </c>
      <c r="S338">
        <v>10.300000190734901</v>
      </c>
      <c r="T338">
        <v>96.260757446289105</v>
      </c>
      <c r="U338">
        <v>31.883653640747099</v>
      </c>
      <c r="V338">
        <v>1125000</v>
      </c>
      <c r="W338">
        <v>-20.5060024261475</v>
      </c>
      <c r="X338">
        <v>0.41999998688697798</v>
      </c>
      <c r="Y338">
        <v>-3.5135130882263201</v>
      </c>
      <c r="Z338">
        <v>-4.8888888359069798</v>
      </c>
      <c r="AA338">
        <v>24987000</v>
      </c>
      <c r="AB338" t="s">
        <v>27</v>
      </c>
      <c r="AC338" t="s">
        <v>27</v>
      </c>
      <c r="AD338">
        <v>-0.119999997317791</v>
      </c>
      <c r="AE338">
        <v>27.199150085449201</v>
      </c>
      <c r="AF338">
        <v>7.0076730009687802</v>
      </c>
      <c r="AG338">
        <v>25023000</v>
      </c>
      <c r="AH338">
        <v>102.288581848145</v>
      </c>
      <c r="AI338">
        <v>1.5031030178070099</v>
      </c>
    </row>
    <row r="339" spans="1:35">
      <c r="A339">
        <f t="shared" si="40"/>
        <v>0</v>
      </c>
      <c r="B339">
        <f t="shared" si="41"/>
        <v>0</v>
      </c>
      <c r="C339">
        <f t="shared" si="42"/>
        <v>1</v>
      </c>
      <c r="D339">
        <f t="shared" si="43"/>
        <v>1</v>
      </c>
      <c r="E339">
        <f t="shared" si="44"/>
        <v>0</v>
      </c>
      <c r="F339">
        <f t="shared" si="45"/>
        <v>0</v>
      </c>
      <c r="G339">
        <f t="shared" si="46"/>
        <v>0</v>
      </c>
      <c r="H339">
        <v>0</v>
      </c>
      <c r="I339">
        <f t="shared" si="47"/>
        <v>0</v>
      </c>
      <c r="J339">
        <v>0</v>
      </c>
      <c r="K339" t="s">
        <v>1666</v>
      </c>
      <c r="L339" t="s">
        <v>1667</v>
      </c>
      <c r="M339" t="s">
        <v>27</v>
      </c>
      <c r="N339" t="s">
        <v>27</v>
      </c>
      <c r="O339">
        <v>13.34</v>
      </c>
      <c r="P339" t="s">
        <v>27</v>
      </c>
      <c r="Q339" t="s">
        <v>27</v>
      </c>
      <c r="R339">
        <v>13.0100002288818</v>
      </c>
      <c r="S339">
        <v>1.03125</v>
      </c>
      <c r="T339">
        <v>53.160549163818402</v>
      </c>
      <c r="U339">
        <v>62.663280487060497</v>
      </c>
      <c r="V339">
        <v>65449000</v>
      </c>
      <c r="W339">
        <v>-5.1618809700012198</v>
      </c>
      <c r="X339">
        <v>1.9999999552965199E-2</v>
      </c>
      <c r="Y339">
        <v>-8.2823534011840803</v>
      </c>
      <c r="Z339">
        <v>-78.893623352050795</v>
      </c>
      <c r="AA339">
        <v>46244000</v>
      </c>
      <c r="AB339" t="s">
        <v>27</v>
      </c>
      <c r="AC339" t="s">
        <v>27</v>
      </c>
      <c r="AD339">
        <v>0.31000000238418601</v>
      </c>
      <c r="AE339">
        <v>61.350254058837898</v>
      </c>
      <c r="AF339">
        <v>4.0848533488707597</v>
      </c>
      <c r="AG339">
        <v>49337000</v>
      </c>
      <c r="AH339">
        <v>81.744857788085895</v>
      </c>
      <c r="AI339">
        <v>-61.689762115478501</v>
      </c>
    </row>
    <row r="340" spans="1:35">
      <c r="A340">
        <f t="shared" si="40"/>
        <v>0</v>
      </c>
      <c r="B340">
        <f t="shared" si="41"/>
        <v>0</v>
      </c>
      <c r="C340">
        <f t="shared" si="42"/>
        <v>0</v>
      </c>
      <c r="D340">
        <f t="shared" si="43"/>
        <v>1</v>
      </c>
      <c r="E340">
        <f t="shared" si="44"/>
        <v>0</v>
      </c>
      <c r="F340">
        <f t="shared" si="45"/>
        <v>0</v>
      </c>
      <c r="G340">
        <f t="shared" si="46"/>
        <v>1</v>
      </c>
      <c r="H340">
        <v>0</v>
      </c>
      <c r="I340">
        <f t="shared" si="47"/>
        <v>0</v>
      </c>
      <c r="J340">
        <v>0</v>
      </c>
      <c r="K340" t="s">
        <v>1668</v>
      </c>
      <c r="L340" t="s">
        <v>1669</v>
      </c>
      <c r="M340" t="s">
        <v>27</v>
      </c>
      <c r="N340" t="s">
        <v>27</v>
      </c>
      <c r="O340">
        <v>9.91</v>
      </c>
      <c r="P340" t="s">
        <v>27</v>
      </c>
      <c r="Q340" t="s">
        <v>27</v>
      </c>
      <c r="R340">
        <v>13.050000190734901</v>
      </c>
      <c r="S340">
        <v>7.125</v>
      </c>
      <c r="T340">
        <v>11.5581245422363</v>
      </c>
      <c r="U340">
        <v>14.9100131988525</v>
      </c>
      <c r="V340">
        <v>-1228000.375</v>
      </c>
      <c r="W340">
        <v>-9.4172086715698207</v>
      </c>
      <c r="X340">
        <v>-0.70999997854232799</v>
      </c>
      <c r="Y340">
        <v>-8.7394962310790998</v>
      </c>
      <c r="Z340">
        <v>-31.2871284484863</v>
      </c>
      <c r="AA340">
        <v>15419000</v>
      </c>
      <c r="AB340" t="s">
        <v>73</v>
      </c>
      <c r="AC340" t="s">
        <v>74</v>
      </c>
      <c r="AD340">
        <v>-0.31999999284744302</v>
      </c>
      <c r="AE340">
        <v>35.1870307922363</v>
      </c>
      <c r="AF340">
        <v>12.916253268392699</v>
      </c>
      <c r="AG340">
        <v>15625000</v>
      </c>
      <c r="AH340">
        <v>15.835976600646999</v>
      </c>
      <c r="AI340">
        <v>-10.053668022155801</v>
      </c>
    </row>
    <row r="341" spans="1:35">
      <c r="A341">
        <f t="shared" si="40"/>
        <v>0</v>
      </c>
      <c r="B341">
        <f t="shared" si="41"/>
        <v>1</v>
      </c>
      <c r="C341">
        <f t="shared" si="42"/>
        <v>1</v>
      </c>
      <c r="D341">
        <f t="shared" si="43"/>
        <v>0</v>
      </c>
      <c r="E341">
        <f t="shared" si="44"/>
        <v>0</v>
      </c>
      <c r="F341">
        <f t="shared" si="45"/>
        <v>1</v>
      </c>
      <c r="G341">
        <f t="shared" si="46"/>
        <v>0</v>
      </c>
      <c r="H341">
        <v>0</v>
      </c>
      <c r="I341">
        <f t="shared" si="47"/>
        <v>1</v>
      </c>
      <c r="J341">
        <v>0</v>
      </c>
      <c r="K341" t="s">
        <v>1674</v>
      </c>
      <c r="L341" t="s">
        <v>1675</v>
      </c>
      <c r="M341" t="s">
        <v>27</v>
      </c>
      <c r="N341" t="s">
        <v>27</v>
      </c>
      <c r="O341">
        <v>22.17</v>
      </c>
      <c r="P341" t="s">
        <v>27</v>
      </c>
      <c r="Q341" t="s">
        <v>27</v>
      </c>
      <c r="R341">
        <v>19</v>
      </c>
      <c r="S341">
        <v>18.5</v>
      </c>
      <c r="T341">
        <v>0.81338000297546398</v>
      </c>
      <c r="U341" t="s">
        <v>27</v>
      </c>
      <c r="V341">
        <v>1834000</v>
      </c>
      <c r="W341">
        <v>1.25097000598907</v>
      </c>
      <c r="X341">
        <v>0.58999997377395597</v>
      </c>
      <c r="Y341" t="s">
        <v>27</v>
      </c>
      <c r="Z341">
        <v>10.3278694152832</v>
      </c>
      <c r="AA341">
        <v>5461000</v>
      </c>
      <c r="AB341" t="s">
        <v>34</v>
      </c>
      <c r="AC341" t="s">
        <v>35</v>
      </c>
      <c r="AD341">
        <v>0.46000000834464999</v>
      </c>
      <c r="AE341" t="s">
        <v>27</v>
      </c>
      <c r="AF341" t="s">
        <v>27</v>
      </c>
      <c r="AG341">
        <v>5558000</v>
      </c>
      <c r="AH341">
        <v>2.9629979133606001</v>
      </c>
      <c r="AI341">
        <v>2.17727398872375</v>
      </c>
    </row>
    <row r="342" spans="1:35">
      <c r="A342">
        <f t="shared" si="40"/>
        <v>1</v>
      </c>
      <c r="B342">
        <f t="shared" si="41"/>
        <v>0</v>
      </c>
      <c r="C342">
        <f t="shared" si="42"/>
        <v>1</v>
      </c>
      <c r="D342">
        <f t="shared" si="43"/>
        <v>0</v>
      </c>
      <c r="E342">
        <f t="shared" si="44"/>
        <v>0</v>
      </c>
      <c r="F342">
        <f t="shared" si="45"/>
        <v>1</v>
      </c>
      <c r="G342">
        <f t="shared" si="46"/>
        <v>0</v>
      </c>
      <c r="H342">
        <v>0</v>
      </c>
      <c r="I342">
        <f t="shared" si="47"/>
        <v>0</v>
      </c>
      <c r="J342">
        <v>0</v>
      </c>
      <c r="K342" t="s">
        <v>1676</v>
      </c>
      <c r="L342" t="s">
        <v>1677</v>
      </c>
      <c r="M342" t="s">
        <v>27</v>
      </c>
      <c r="N342" t="s">
        <v>27</v>
      </c>
      <c r="O342">
        <v>14.36</v>
      </c>
      <c r="P342">
        <v>-2.43074297904968</v>
      </c>
      <c r="Q342" t="s">
        <v>27</v>
      </c>
      <c r="R342">
        <v>20.0100002288818</v>
      </c>
      <c r="S342">
        <v>16.629999160766602</v>
      </c>
      <c r="T342">
        <v>3.4217510223388699</v>
      </c>
      <c r="U342" t="s">
        <v>27</v>
      </c>
      <c r="V342" t="s">
        <v>27</v>
      </c>
      <c r="W342">
        <v>1.02909803390503</v>
      </c>
      <c r="X342">
        <v>0.30000001192092901</v>
      </c>
      <c r="Y342">
        <v>8.3053436279296893</v>
      </c>
      <c r="Z342">
        <v>1.69971704483032</v>
      </c>
      <c r="AA342">
        <v>40516000</v>
      </c>
      <c r="AB342" t="s">
        <v>34</v>
      </c>
      <c r="AC342" t="s">
        <v>447</v>
      </c>
      <c r="AD342">
        <v>0.21999999880790699</v>
      </c>
      <c r="AE342" t="s">
        <v>27</v>
      </c>
      <c r="AF342" t="s">
        <v>27</v>
      </c>
      <c r="AG342">
        <v>40719380</v>
      </c>
      <c r="AH342">
        <v>3.2145071029663099</v>
      </c>
      <c r="AI342">
        <v>0.480515986680984</v>
      </c>
    </row>
    <row r="343" spans="1:35">
      <c r="A343">
        <f t="shared" si="40"/>
        <v>1</v>
      </c>
      <c r="B343">
        <f t="shared" si="41"/>
        <v>0</v>
      </c>
      <c r="C343">
        <f t="shared" si="42"/>
        <v>1</v>
      </c>
      <c r="D343">
        <f t="shared" si="43"/>
        <v>1</v>
      </c>
      <c r="E343">
        <f t="shared" si="44"/>
        <v>0</v>
      </c>
      <c r="F343">
        <f t="shared" si="45"/>
        <v>1</v>
      </c>
      <c r="G343">
        <f t="shared" si="46"/>
        <v>0</v>
      </c>
      <c r="H343">
        <v>0</v>
      </c>
      <c r="I343">
        <f t="shared" si="47"/>
        <v>0</v>
      </c>
      <c r="J343">
        <v>0</v>
      </c>
      <c r="K343" t="s">
        <v>1680</v>
      </c>
      <c r="L343" t="s">
        <v>1681</v>
      </c>
      <c r="M343" t="s">
        <v>27</v>
      </c>
      <c r="N343" t="s">
        <v>27</v>
      </c>
      <c r="O343">
        <v>12.79</v>
      </c>
      <c r="P343">
        <v>1.6662349700927701</v>
      </c>
      <c r="Q343">
        <v>1.12567794322968</v>
      </c>
      <c r="R343">
        <v>14.8999996185303</v>
      </c>
      <c r="S343">
        <v>4.9375</v>
      </c>
      <c r="T343">
        <v>37.640323638916001</v>
      </c>
      <c r="U343">
        <v>30.8427124023438</v>
      </c>
      <c r="V343">
        <v>2969999.75</v>
      </c>
      <c r="W343">
        <v>1.8211580514907799</v>
      </c>
      <c r="X343">
        <v>2.9999999329447701E-2</v>
      </c>
      <c r="Y343">
        <v>0.74418598413467396</v>
      </c>
      <c r="Z343" t="s">
        <v>27</v>
      </c>
      <c r="AA343">
        <v>9835000</v>
      </c>
      <c r="AB343" t="s">
        <v>27</v>
      </c>
      <c r="AC343" t="s">
        <v>27</v>
      </c>
      <c r="AD343">
        <v>5.9999998658895499E-2</v>
      </c>
      <c r="AE343">
        <v>30.267372131347699</v>
      </c>
      <c r="AF343">
        <v>14.9358359989396</v>
      </c>
      <c r="AG343">
        <v>10098000</v>
      </c>
      <c r="AH343">
        <v>37.005397796630902</v>
      </c>
      <c r="AI343">
        <v>0.47883498668670699</v>
      </c>
    </row>
    <row r="344" spans="1:35">
      <c r="A344">
        <f t="shared" si="40"/>
        <v>0</v>
      </c>
      <c r="B344">
        <f t="shared" si="41"/>
        <v>1</v>
      </c>
      <c r="C344">
        <f t="shared" si="42"/>
        <v>0</v>
      </c>
      <c r="D344">
        <f t="shared" si="43"/>
        <v>0</v>
      </c>
      <c r="E344">
        <f t="shared" si="44"/>
        <v>0</v>
      </c>
      <c r="F344">
        <f t="shared" si="45"/>
        <v>0</v>
      </c>
      <c r="G344">
        <f t="shared" si="46"/>
        <v>0</v>
      </c>
      <c r="H344">
        <v>0</v>
      </c>
      <c r="I344">
        <f t="shared" si="47"/>
        <v>0</v>
      </c>
      <c r="J344">
        <v>0</v>
      </c>
      <c r="K344" t="s">
        <v>1694</v>
      </c>
      <c r="L344" t="s">
        <v>1695</v>
      </c>
      <c r="M344" t="s">
        <v>27</v>
      </c>
      <c r="N344" t="s">
        <v>27</v>
      </c>
      <c r="O344">
        <v>22.81</v>
      </c>
      <c r="P344" t="s">
        <v>27</v>
      </c>
      <c r="Q344" t="s">
        <v>27</v>
      </c>
      <c r="R344">
        <v>22.149999618530298</v>
      </c>
      <c r="S344">
        <v>16.25</v>
      </c>
      <c r="T344">
        <v>34.195163726806598</v>
      </c>
      <c r="U344">
        <v>16.776725769043001</v>
      </c>
      <c r="V344">
        <v>-3581000.25</v>
      </c>
      <c r="W344">
        <v>-10.253924369811999</v>
      </c>
      <c r="X344">
        <v>5.9999998658895499E-2</v>
      </c>
      <c r="Y344">
        <v>-4.83819580078125</v>
      </c>
      <c r="Z344">
        <v>-7.2471909523010298</v>
      </c>
      <c r="AA344">
        <v>24830000</v>
      </c>
      <c r="AB344" t="s">
        <v>38</v>
      </c>
      <c r="AC344" t="s">
        <v>39</v>
      </c>
      <c r="AD344">
        <v>-1.29999995231628</v>
      </c>
      <c r="AE344">
        <v>6.5104460716247603</v>
      </c>
      <c r="AF344">
        <v>6.1667163830615204</v>
      </c>
      <c r="AG344">
        <v>25171000</v>
      </c>
      <c r="AH344">
        <v>34.776615142822301</v>
      </c>
      <c r="AI344">
        <v>-8.8010301589965803</v>
      </c>
    </row>
    <row r="345" spans="1:35">
      <c r="A345">
        <f t="shared" si="40"/>
        <v>1</v>
      </c>
      <c r="B345">
        <f t="shared" si="41"/>
        <v>0</v>
      </c>
      <c r="C345">
        <f t="shared" si="42"/>
        <v>0</v>
      </c>
      <c r="D345">
        <f t="shared" si="43"/>
        <v>1</v>
      </c>
      <c r="E345">
        <f t="shared" si="44"/>
        <v>0</v>
      </c>
      <c r="F345">
        <f t="shared" si="45"/>
        <v>0</v>
      </c>
      <c r="G345">
        <f t="shared" si="46"/>
        <v>1</v>
      </c>
      <c r="H345">
        <v>0</v>
      </c>
      <c r="I345">
        <f t="shared" si="47"/>
        <v>0</v>
      </c>
      <c r="J345">
        <v>0</v>
      </c>
      <c r="K345" t="s">
        <v>1698</v>
      </c>
      <c r="L345" t="s">
        <v>1699</v>
      </c>
      <c r="M345" t="s">
        <v>27</v>
      </c>
      <c r="N345" t="s">
        <v>27</v>
      </c>
      <c r="O345">
        <v>2.92</v>
      </c>
      <c r="P345" t="s">
        <v>27</v>
      </c>
      <c r="Q345" t="s">
        <v>27</v>
      </c>
      <c r="R345">
        <v>7.4000000953674299</v>
      </c>
      <c r="S345">
        <v>6</v>
      </c>
      <c r="T345">
        <v>26.547523498535199</v>
      </c>
      <c r="U345">
        <v>23.676479339599599</v>
      </c>
      <c r="V345">
        <v>-934000</v>
      </c>
      <c r="W345">
        <v>0.78908598423004195</v>
      </c>
      <c r="X345">
        <v>-0.62999999523162797</v>
      </c>
      <c r="Y345">
        <v>-5.3012051582336399</v>
      </c>
      <c r="Z345">
        <v>-10</v>
      </c>
      <c r="AA345">
        <v>33975000</v>
      </c>
      <c r="AB345" t="s">
        <v>27</v>
      </c>
      <c r="AC345" t="s">
        <v>27</v>
      </c>
      <c r="AD345">
        <v>-5.9999998658895499E-2</v>
      </c>
      <c r="AE345">
        <v>40.1072387695313</v>
      </c>
      <c r="AF345">
        <v>8.7574846855272401</v>
      </c>
      <c r="AG345">
        <v>39755000</v>
      </c>
      <c r="AH345">
        <v>21.082584381103501</v>
      </c>
      <c r="AI345">
        <v>-9.2801647186279297</v>
      </c>
    </row>
    <row r="346" spans="1:35">
      <c r="A346">
        <f t="shared" si="40"/>
        <v>1</v>
      </c>
      <c r="B346">
        <f t="shared" si="41"/>
        <v>0</v>
      </c>
      <c r="C346">
        <f t="shared" si="42"/>
        <v>1</v>
      </c>
      <c r="D346">
        <f t="shared" si="43"/>
        <v>1</v>
      </c>
      <c r="E346">
        <f t="shared" si="44"/>
        <v>0</v>
      </c>
      <c r="F346">
        <f t="shared" si="45"/>
        <v>0</v>
      </c>
      <c r="G346">
        <f t="shared" si="46"/>
        <v>1</v>
      </c>
      <c r="H346">
        <v>0</v>
      </c>
      <c r="I346">
        <f t="shared" si="47"/>
        <v>1</v>
      </c>
      <c r="J346">
        <v>0</v>
      </c>
      <c r="K346" t="s">
        <v>1700</v>
      </c>
      <c r="L346" t="s">
        <v>1701</v>
      </c>
      <c r="M346" t="s">
        <v>27</v>
      </c>
      <c r="N346" t="s">
        <v>27</v>
      </c>
      <c r="O346">
        <v>27.728000000000002</v>
      </c>
      <c r="P346">
        <v>3.8132519721984899</v>
      </c>
      <c r="Q346" t="s">
        <v>27</v>
      </c>
      <c r="R346">
        <v>23.149999618530298</v>
      </c>
      <c r="S346">
        <v>21.5</v>
      </c>
      <c r="T346">
        <v>17.6417636871338</v>
      </c>
      <c r="U346">
        <v>65.679595947265597</v>
      </c>
      <c r="V346">
        <v>24021000</v>
      </c>
      <c r="W346">
        <v>5.2265858650207502</v>
      </c>
      <c r="X346">
        <v>-0.119999997317791</v>
      </c>
      <c r="Y346">
        <v>2.2801930904388401</v>
      </c>
      <c r="Z346">
        <v>0.67365300655365001</v>
      </c>
      <c r="AA346">
        <v>32818000</v>
      </c>
      <c r="AB346" t="s">
        <v>27</v>
      </c>
      <c r="AC346" t="s">
        <v>27</v>
      </c>
      <c r="AD346">
        <v>5.9999998658895499E-2</v>
      </c>
      <c r="AE346">
        <v>66.482582092285199</v>
      </c>
      <c r="AF346">
        <v>10.698339847041799</v>
      </c>
      <c r="AG346">
        <v>32394002</v>
      </c>
      <c r="AH346">
        <v>16.3577976226807</v>
      </c>
      <c r="AI346">
        <v>-5.3561019897460902</v>
      </c>
    </row>
    <row r="347" spans="1:35">
      <c r="A347">
        <f t="shared" si="40"/>
        <v>0</v>
      </c>
      <c r="B347">
        <f t="shared" si="41"/>
        <v>0</v>
      </c>
      <c r="C347">
        <f t="shared" si="42"/>
        <v>1</v>
      </c>
      <c r="D347">
        <f t="shared" si="43"/>
        <v>0</v>
      </c>
      <c r="E347">
        <f t="shared" si="44"/>
        <v>1</v>
      </c>
      <c r="F347">
        <f t="shared" si="45"/>
        <v>0</v>
      </c>
      <c r="G347">
        <f t="shared" si="46"/>
        <v>0</v>
      </c>
      <c r="H347">
        <v>0</v>
      </c>
      <c r="I347">
        <f t="shared" si="47"/>
        <v>0</v>
      </c>
      <c r="J347">
        <v>0</v>
      </c>
      <c r="K347" t="s">
        <v>1702</v>
      </c>
      <c r="L347" t="s">
        <v>1703</v>
      </c>
      <c r="M347" t="s">
        <v>27</v>
      </c>
      <c r="N347" t="s">
        <v>27</v>
      </c>
      <c r="O347">
        <v>1.18</v>
      </c>
      <c r="P347" t="s">
        <v>27</v>
      </c>
      <c r="Q347" t="s">
        <v>27</v>
      </c>
      <c r="R347">
        <v>8.3800001144409197</v>
      </c>
      <c r="S347">
        <v>17.875</v>
      </c>
      <c r="T347" t="s">
        <v>27</v>
      </c>
      <c r="U347" t="s">
        <v>27</v>
      </c>
      <c r="V347" t="s">
        <v>27</v>
      </c>
      <c r="W347" t="s">
        <v>27</v>
      </c>
      <c r="X347" t="s">
        <v>27</v>
      </c>
      <c r="Y347" t="s">
        <v>27</v>
      </c>
      <c r="Z347" t="s">
        <v>27</v>
      </c>
      <c r="AA347" t="s">
        <v>27</v>
      </c>
      <c r="AB347" t="s">
        <v>27</v>
      </c>
      <c r="AC347" t="s">
        <v>27</v>
      </c>
      <c r="AD347" t="s">
        <v>27</v>
      </c>
      <c r="AE347" t="s">
        <v>27</v>
      </c>
      <c r="AF347" t="s">
        <v>27</v>
      </c>
      <c r="AG347" t="s">
        <v>27</v>
      </c>
      <c r="AH347" t="s">
        <v>27</v>
      </c>
      <c r="AI347">
        <v>-26.706769943237301</v>
      </c>
    </row>
    <row r="348" spans="1:35">
      <c r="A348">
        <f t="shared" si="40"/>
        <v>1</v>
      </c>
      <c r="B348">
        <f t="shared" si="41"/>
        <v>0</v>
      </c>
      <c r="C348">
        <f t="shared" si="42"/>
        <v>0</v>
      </c>
      <c r="D348">
        <f t="shared" si="43"/>
        <v>0</v>
      </c>
      <c r="E348">
        <f t="shared" si="44"/>
        <v>0</v>
      </c>
      <c r="F348">
        <f t="shared" si="45"/>
        <v>1</v>
      </c>
      <c r="G348">
        <f t="shared" si="46"/>
        <v>0</v>
      </c>
      <c r="H348">
        <v>0</v>
      </c>
      <c r="I348">
        <f t="shared" si="47"/>
        <v>0</v>
      </c>
      <c r="J348">
        <v>0</v>
      </c>
      <c r="K348" t="s">
        <v>1710</v>
      </c>
      <c r="L348" t="s">
        <v>1711</v>
      </c>
      <c r="M348" t="s">
        <v>27</v>
      </c>
      <c r="N348" t="s">
        <v>27</v>
      </c>
      <c r="O348">
        <v>3.75</v>
      </c>
      <c r="P348" t="s">
        <v>27</v>
      </c>
      <c r="Q348" t="s">
        <v>27</v>
      </c>
      <c r="R348">
        <v>14.6000003814697</v>
      </c>
      <c r="S348">
        <v>29.3125</v>
      </c>
      <c r="T348">
        <v>0.71664202213287398</v>
      </c>
      <c r="U348">
        <v>39.401641845703097</v>
      </c>
      <c r="V348">
        <v>-13836000</v>
      </c>
      <c r="W348" t="s">
        <v>27</v>
      </c>
      <c r="X348">
        <v>0.43000000715255698</v>
      </c>
      <c r="Y348" t="s">
        <v>27</v>
      </c>
      <c r="Z348" t="s">
        <v>27</v>
      </c>
      <c r="AA348">
        <v>14193730</v>
      </c>
      <c r="AB348" t="s">
        <v>38</v>
      </c>
      <c r="AC348" t="s">
        <v>146</v>
      </c>
      <c r="AD348">
        <v>-0.40999999642372098</v>
      </c>
      <c r="AE348">
        <v>31.982233047485401</v>
      </c>
      <c r="AF348" t="s">
        <v>27</v>
      </c>
      <c r="AG348">
        <v>15237000</v>
      </c>
      <c r="AH348">
        <v>0</v>
      </c>
      <c r="AI348" t="s">
        <v>27</v>
      </c>
    </row>
    <row r="349" spans="1:35">
      <c r="A349">
        <f t="shared" si="40"/>
        <v>1</v>
      </c>
      <c r="B349">
        <f t="shared" si="41"/>
        <v>0</v>
      </c>
      <c r="C349">
        <f t="shared" si="42"/>
        <v>0</v>
      </c>
      <c r="D349">
        <f t="shared" si="43"/>
        <v>0</v>
      </c>
      <c r="E349">
        <f t="shared" si="44"/>
        <v>0</v>
      </c>
      <c r="F349">
        <f t="shared" si="45"/>
        <v>0</v>
      </c>
      <c r="G349">
        <f t="shared" si="46"/>
        <v>0</v>
      </c>
      <c r="H349">
        <v>0</v>
      </c>
      <c r="I349">
        <f t="shared" si="47"/>
        <v>0</v>
      </c>
      <c r="J349">
        <v>0</v>
      </c>
      <c r="K349" t="s">
        <v>1712</v>
      </c>
      <c r="L349" t="s">
        <v>1713</v>
      </c>
      <c r="M349" t="s">
        <v>27</v>
      </c>
      <c r="N349" t="s">
        <v>27</v>
      </c>
      <c r="O349">
        <v>4.09</v>
      </c>
      <c r="P349" t="s">
        <v>27</v>
      </c>
      <c r="Q349" t="s">
        <v>27</v>
      </c>
      <c r="R349">
        <v>10.329999923706101</v>
      </c>
      <c r="S349">
        <v>11.300000190734901</v>
      </c>
      <c r="T349">
        <v>2.0812249183654798</v>
      </c>
      <c r="U349">
        <v>21.507835388183601</v>
      </c>
      <c r="V349">
        <v>-8791000</v>
      </c>
      <c r="W349">
        <v>-17.276271820068398</v>
      </c>
      <c r="X349">
        <v>-0.21999999880790699</v>
      </c>
      <c r="Y349">
        <v>-3.5016291141510001</v>
      </c>
      <c r="Z349">
        <v>-8.23095798492432</v>
      </c>
      <c r="AA349">
        <v>33338002</v>
      </c>
      <c r="AB349" t="s">
        <v>27</v>
      </c>
      <c r="AC349" t="s">
        <v>27</v>
      </c>
      <c r="AD349">
        <v>-0.230000004172325</v>
      </c>
      <c r="AE349">
        <v>16.3803405761719</v>
      </c>
      <c r="AF349" t="s">
        <v>27</v>
      </c>
      <c r="AG349">
        <v>36717000</v>
      </c>
      <c r="AH349">
        <v>0</v>
      </c>
      <c r="AI349">
        <v>-35.445858001708999</v>
      </c>
    </row>
    <row r="350" spans="1:35">
      <c r="A350">
        <f t="shared" si="40"/>
        <v>1</v>
      </c>
      <c r="B350">
        <f t="shared" si="41"/>
        <v>0</v>
      </c>
      <c r="C350">
        <f t="shared" si="42"/>
        <v>1</v>
      </c>
      <c r="D350">
        <f t="shared" si="43"/>
        <v>0</v>
      </c>
      <c r="E350">
        <f t="shared" si="44"/>
        <v>0</v>
      </c>
      <c r="F350">
        <f t="shared" si="45"/>
        <v>0</v>
      </c>
      <c r="G350">
        <f t="shared" si="46"/>
        <v>0</v>
      </c>
      <c r="H350">
        <v>0</v>
      </c>
      <c r="I350">
        <f t="shared" si="47"/>
        <v>0</v>
      </c>
      <c r="J350">
        <v>0</v>
      </c>
      <c r="K350" t="s">
        <v>1720</v>
      </c>
      <c r="L350" t="s">
        <v>1721</v>
      </c>
      <c r="M350" t="s">
        <v>27</v>
      </c>
      <c r="N350" t="s">
        <v>27</v>
      </c>
      <c r="O350">
        <v>2.92</v>
      </c>
      <c r="P350">
        <v>-0.62667798995971702</v>
      </c>
      <c r="Q350" t="s">
        <v>27</v>
      </c>
      <c r="R350">
        <v>4.0300002098083496</v>
      </c>
      <c r="S350">
        <v>4.0625</v>
      </c>
      <c r="T350">
        <v>17.268367767333999</v>
      </c>
      <c r="U350">
        <v>36.400634765625</v>
      </c>
      <c r="V350">
        <v>27389000</v>
      </c>
      <c r="W350">
        <v>14.6116380691528</v>
      </c>
      <c r="X350">
        <v>-0.10000000149011599</v>
      </c>
      <c r="Y350">
        <v>-3.53488397598267</v>
      </c>
      <c r="Z350">
        <v>1.1904759407043499</v>
      </c>
      <c r="AA350">
        <v>50352000</v>
      </c>
      <c r="AB350" t="s">
        <v>38</v>
      </c>
      <c r="AC350" t="s">
        <v>628</v>
      </c>
      <c r="AD350">
        <v>-0.89999997615814198</v>
      </c>
      <c r="AE350">
        <v>34.1600151062012</v>
      </c>
      <c r="AF350">
        <v>5.0597049429657801</v>
      </c>
      <c r="AG350">
        <v>51443956</v>
      </c>
      <c r="AH350">
        <v>9.1314458847045898</v>
      </c>
      <c r="AI350">
        <v>-3.0538389682769802</v>
      </c>
    </row>
    <row r="351" spans="1:35">
      <c r="A351">
        <f t="shared" si="40"/>
        <v>1</v>
      </c>
      <c r="B351">
        <f t="shared" si="41"/>
        <v>0</v>
      </c>
      <c r="C351">
        <f t="shared" si="42"/>
        <v>0</v>
      </c>
      <c r="D351">
        <f t="shared" si="43"/>
        <v>0</v>
      </c>
      <c r="E351">
        <f t="shared" si="44"/>
        <v>0</v>
      </c>
      <c r="F351">
        <f t="shared" si="45"/>
        <v>0</v>
      </c>
      <c r="G351">
        <f t="shared" si="46"/>
        <v>1</v>
      </c>
      <c r="H351">
        <v>0</v>
      </c>
      <c r="I351">
        <f t="shared" si="47"/>
        <v>0</v>
      </c>
      <c r="J351">
        <v>0</v>
      </c>
      <c r="K351" t="s">
        <v>1722</v>
      </c>
      <c r="L351" t="s">
        <v>1723</v>
      </c>
      <c r="M351" t="s">
        <v>27</v>
      </c>
      <c r="N351" t="s">
        <v>27</v>
      </c>
      <c r="O351">
        <v>39.46</v>
      </c>
      <c r="P351" t="s">
        <v>27</v>
      </c>
      <c r="Q351" t="s">
        <v>27</v>
      </c>
      <c r="R351">
        <v>37.700000762939503</v>
      </c>
      <c r="S351">
        <v>17</v>
      </c>
      <c r="T351">
        <v>122.27597808837901</v>
      </c>
      <c r="U351">
        <v>85.144599914550795</v>
      </c>
      <c r="V351">
        <v>-10994000</v>
      </c>
      <c r="W351">
        <v>-62.545234680175803</v>
      </c>
      <c r="X351">
        <v>-0.58999997377395597</v>
      </c>
      <c r="Y351">
        <v>-7.6521739959716797</v>
      </c>
      <c r="Z351">
        <v>-6.28633689880371</v>
      </c>
      <c r="AA351">
        <v>15813000</v>
      </c>
      <c r="AB351" t="s">
        <v>27</v>
      </c>
      <c r="AC351" t="s">
        <v>27</v>
      </c>
      <c r="AD351">
        <v>-0.63999998569488503</v>
      </c>
      <c r="AE351">
        <v>85.398040771484403</v>
      </c>
      <c r="AF351" t="s">
        <v>27</v>
      </c>
      <c r="AG351">
        <v>19595000</v>
      </c>
      <c r="AH351">
        <v>106.672775268555</v>
      </c>
      <c r="AI351">
        <v>-89.244926452636705</v>
      </c>
    </row>
    <row r="352" spans="1:35">
      <c r="A352">
        <f t="shared" si="40"/>
        <v>1</v>
      </c>
      <c r="B352">
        <f t="shared" si="41"/>
        <v>1</v>
      </c>
      <c r="C352">
        <f t="shared" si="42"/>
        <v>0</v>
      </c>
      <c r="D352">
        <f t="shared" si="43"/>
        <v>0</v>
      </c>
      <c r="E352">
        <f t="shared" si="44"/>
        <v>0</v>
      </c>
      <c r="F352">
        <f t="shared" si="45"/>
        <v>1</v>
      </c>
      <c r="G352">
        <f t="shared" si="46"/>
        <v>0</v>
      </c>
      <c r="H352">
        <v>0</v>
      </c>
      <c r="I352">
        <f t="shared" si="47"/>
        <v>0</v>
      </c>
      <c r="J352">
        <v>0</v>
      </c>
      <c r="K352" t="s">
        <v>1726</v>
      </c>
      <c r="L352" t="s">
        <v>1727</v>
      </c>
      <c r="M352" t="s">
        <v>27</v>
      </c>
      <c r="N352" t="s">
        <v>27</v>
      </c>
      <c r="O352">
        <v>2</v>
      </c>
      <c r="P352" t="s">
        <v>27</v>
      </c>
      <c r="Q352" t="s">
        <v>27</v>
      </c>
      <c r="R352">
        <v>13.6000003814697</v>
      </c>
      <c r="S352">
        <v>18.5</v>
      </c>
      <c r="T352">
        <v>1.3170239925384499</v>
      </c>
      <c r="U352">
        <v>48.126731872558601</v>
      </c>
      <c r="V352">
        <v>-4392999</v>
      </c>
      <c r="W352">
        <v>7.0731010437011701</v>
      </c>
      <c r="X352">
        <v>0.15999999642372101</v>
      </c>
      <c r="Y352" t="s">
        <v>27</v>
      </c>
      <c r="Z352" t="s">
        <v>27</v>
      </c>
      <c r="AA352">
        <v>28854000</v>
      </c>
      <c r="AB352" t="s">
        <v>38</v>
      </c>
      <c r="AC352" t="s">
        <v>118</v>
      </c>
      <c r="AD352">
        <v>-9.9999997764825804E-3</v>
      </c>
      <c r="AE352">
        <v>35.792766571044901</v>
      </c>
      <c r="AF352" t="s">
        <v>27</v>
      </c>
      <c r="AG352">
        <v>30028000</v>
      </c>
      <c r="AH352">
        <v>0.92205601930618297</v>
      </c>
      <c r="AI352">
        <v>15.0162153244019</v>
      </c>
    </row>
    <row r="353" spans="1:35">
      <c r="A353">
        <f t="shared" si="40"/>
        <v>0</v>
      </c>
      <c r="B353">
        <f t="shared" si="41"/>
        <v>1</v>
      </c>
      <c r="C353">
        <f t="shared" si="42"/>
        <v>0</v>
      </c>
      <c r="D353">
        <f t="shared" si="43"/>
        <v>1</v>
      </c>
      <c r="E353">
        <f t="shared" si="44"/>
        <v>0</v>
      </c>
      <c r="F353">
        <f t="shared" si="45"/>
        <v>0</v>
      </c>
      <c r="G353">
        <f t="shared" si="46"/>
        <v>0</v>
      </c>
      <c r="H353">
        <v>0</v>
      </c>
      <c r="I353">
        <f t="shared" si="47"/>
        <v>0</v>
      </c>
      <c r="J353">
        <v>0</v>
      </c>
      <c r="K353" t="s">
        <v>1728</v>
      </c>
      <c r="L353" t="s">
        <v>1729</v>
      </c>
      <c r="M353" t="s">
        <v>27</v>
      </c>
      <c r="N353" t="s">
        <v>27</v>
      </c>
      <c r="O353">
        <v>7.36</v>
      </c>
      <c r="P353" t="s">
        <v>27</v>
      </c>
      <c r="Q353" t="s">
        <v>27</v>
      </c>
      <c r="R353">
        <v>23</v>
      </c>
      <c r="S353">
        <v>30.8125</v>
      </c>
      <c r="T353">
        <v>0</v>
      </c>
      <c r="U353" t="s">
        <v>27</v>
      </c>
      <c r="V353">
        <v>-4703000</v>
      </c>
      <c r="W353">
        <v>-64.391876220703097</v>
      </c>
      <c r="X353">
        <v>-0.34000000357627902</v>
      </c>
      <c r="Y353">
        <v>-2.7219920158386199</v>
      </c>
      <c r="Z353">
        <v>-5.2170600891113299</v>
      </c>
      <c r="AA353">
        <v>24926284</v>
      </c>
      <c r="AB353" t="s">
        <v>27</v>
      </c>
      <c r="AC353" t="s">
        <v>27</v>
      </c>
      <c r="AD353">
        <v>-0.28000000119209301</v>
      </c>
      <c r="AE353" t="s">
        <v>27</v>
      </c>
      <c r="AF353" t="s">
        <v>27</v>
      </c>
      <c r="AG353">
        <v>26505000</v>
      </c>
      <c r="AH353">
        <v>0</v>
      </c>
      <c r="AI353">
        <v>-24.589511871337901</v>
      </c>
    </row>
    <row r="354" spans="1:35">
      <c r="A354">
        <f t="shared" si="40"/>
        <v>1</v>
      </c>
      <c r="B354">
        <f t="shared" si="41"/>
        <v>0</v>
      </c>
      <c r="C354">
        <f t="shared" si="42"/>
        <v>0</v>
      </c>
      <c r="D354">
        <f t="shared" si="43"/>
        <v>0</v>
      </c>
      <c r="E354">
        <f t="shared" si="44"/>
        <v>0</v>
      </c>
      <c r="F354">
        <f t="shared" si="45"/>
        <v>0</v>
      </c>
      <c r="G354">
        <f t="shared" si="46"/>
        <v>0</v>
      </c>
      <c r="H354">
        <v>0</v>
      </c>
      <c r="I354">
        <f t="shared" si="47"/>
        <v>0</v>
      </c>
      <c r="J354">
        <v>0</v>
      </c>
      <c r="K354" t="s">
        <v>1730</v>
      </c>
      <c r="L354" t="s">
        <v>1731</v>
      </c>
      <c r="M354" t="s">
        <v>27</v>
      </c>
      <c r="N354" t="s">
        <v>27</v>
      </c>
      <c r="O354">
        <v>3</v>
      </c>
      <c r="P354" t="s">
        <v>27</v>
      </c>
      <c r="Q354" t="s">
        <v>27</v>
      </c>
      <c r="R354">
        <v>8.4499998092651403</v>
      </c>
      <c r="S354">
        <v>21</v>
      </c>
      <c r="T354">
        <v>0.89478397369384799</v>
      </c>
      <c r="U354" t="s">
        <v>27</v>
      </c>
      <c r="V354">
        <v>-10318000</v>
      </c>
      <c r="W354" t="s">
        <v>27</v>
      </c>
      <c r="X354">
        <v>-0.18999999761581399</v>
      </c>
      <c r="Y354" t="s">
        <v>27</v>
      </c>
      <c r="Z354">
        <v>-11.0769233703613</v>
      </c>
      <c r="AA354">
        <v>31939000</v>
      </c>
      <c r="AB354" t="s">
        <v>73</v>
      </c>
      <c r="AC354" t="s">
        <v>177</v>
      </c>
      <c r="AD354">
        <v>-0.18999999761581399</v>
      </c>
      <c r="AE354">
        <v>70.809242248535199</v>
      </c>
      <c r="AF354" t="s">
        <v>27</v>
      </c>
      <c r="AG354">
        <v>32220002</v>
      </c>
      <c r="AH354">
        <v>0.74875497817993197</v>
      </c>
      <c r="AI354">
        <v>-22.324344635009801</v>
      </c>
    </row>
    <row r="355" spans="1:35">
      <c r="A355">
        <f t="shared" si="40"/>
        <v>1</v>
      </c>
      <c r="B355">
        <f t="shared" si="41"/>
        <v>1</v>
      </c>
      <c r="C355">
        <f t="shared" si="42"/>
        <v>1</v>
      </c>
      <c r="D355">
        <f t="shared" si="43"/>
        <v>0</v>
      </c>
      <c r="E355">
        <f t="shared" si="44"/>
        <v>0</v>
      </c>
      <c r="F355">
        <f t="shared" si="45"/>
        <v>0</v>
      </c>
      <c r="G355">
        <f t="shared" si="46"/>
        <v>0</v>
      </c>
      <c r="H355">
        <v>0</v>
      </c>
      <c r="I355">
        <f t="shared" si="47"/>
        <v>0</v>
      </c>
      <c r="J355">
        <v>0</v>
      </c>
      <c r="K355" t="s">
        <v>1734</v>
      </c>
      <c r="L355" t="s">
        <v>1735</v>
      </c>
      <c r="M355" t="s">
        <v>27</v>
      </c>
      <c r="N355" t="s">
        <v>27</v>
      </c>
      <c r="O355">
        <v>9.26</v>
      </c>
      <c r="P355" t="s">
        <v>27</v>
      </c>
      <c r="Q355" t="s">
        <v>27</v>
      </c>
      <c r="R355">
        <v>19.159999847412099</v>
      </c>
      <c r="S355">
        <v>37</v>
      </c>
      <c r="T355">
        <v>64.337532043457003</v>
      </c>
      <c r="U355" t="s">
        <v>27</v>
      </c>
      <c r="V355">
        <v>149700992</v>
      </c>
      <c r="W355">
        <v>-33.288448333740199</v>
      </c>
      <c r="X355">
        <v>-0.20999999344348899</v>
      </c>
      <c r="Y355">
        <v>-1.4095029830932599</v>
      </c>
      <c r="Z355">
        <v>-2.3519010543823202</v>
      </c>
      <c r="AA355">
        <v>64892000</v>
      </c>
      <c r="AB355" t="s">
        <v>27</v>
      </c>
      <c r="AC355" t="s">
        <v>27</v>
      </c>
      <c r="AD355">
        <v>-0.56999999284744296</v>
      </c>
      <c r="AE355" t="s">
        <v>27</v>
      </c>
      <c r="AF355" t="s">
        <v>27</v>
      </c>
      <c r="AG355">
        <v>72348000</v>
      </c>
      <c r="AH355">
        <v>48.555942535400398</v>
      </c>
      <c r="AI355">
        <v>-27.205350875854499</v>
      </c>
    </row>
    <row r="356" spans="1:35">
      <c r="A356">
        <f t="shared" si="40"/>
        <v>0</v>
      </c>
      <c r="B356">
        <f t="shared" si="41"/>
        <v>0</v>
      </c>
      <c r="C356">
        <f t="shared" si="42"/>
        <v>1</v>
      </c>
      <c r="D356">
        <f t="shared" si="43"/>
        <v>1</v>
      </c>
      <c r="E356">
        <f t="shared" si="44"/>
        <v>1</v>
      </c>
      <c r="F356">
        <f t="shared" si="45"/>
        <v>0</v>
      </c>
      <c r="G356">
        <f t="shared" si="46"/>
        <v>1</v>
      </c>
      <c r="H356">
        <v>0</v>
      </c>
      <c r="I356">
        <f t="shared" si="47"/>
        <v>1</v>
      </c>
      <c r="J356">
        <v>0</v>
      </c>
      <c r="K356" t="s">
        <v>1736</v>
      </c>
      <c r="L356" t="s">
        <v>1737</v>
      </c>
      <c r="M356" t="s">
        <v>27</v>
      </c>
      <c r="N356" t="s">
        <v>27</v>
      </c>
      <c r="O356">
        <v>18.71</v>
      </c>
      <c r="P356">
        <v>-1.66943395137787</v>
      </c>
      <c r="Q356" t="s">
        <v>27</v>
      </c>
      <c r="R356">
        <v>7.2600002288818404</v>
      </c>
      <c r="S356">
        <v>2.6666666666666701</v>
      </c>
      <c r="T356">
        <v>44.315509796142599</v>
      </c>
      <c r="U356">
        <v>47.427585601806598</v>
      </c>
      <c r="V356">
        <v>2393000</v>
      </c>
      <c r="W356">
        <v>2.77617311477661</v>
      </c>
      <c r="X356">
        <v>-5.3333332141240399E-2</v>
      </c>
      <c r="Y356">
        <v>-2.0281689167022701</v>
      </c>
      <c r="Z356">
        <v>2.0050299167633101</v>
      </c>
      <c r="AA356">
        <v>10917000</v>
      </c>
      <c r="AB356" t="s">
        <v>27</v>
      </c>
      <c r="AC356" t="s">
        <v>27</v>
      </c>
      <c r="AD356">
        <v>0.20437065760294601</v>
      </c>
      <c r="AE356">
        <v>56.530258178710902</v>
      </c>
      <c r="AF356">
        <v>9.8027350054375102</v>
      </c>
      <c r="AG356">
        <v>10917000</v>
      </c>
      <c r="AH356">
        <v>44.564582824707003</v>
      </c>
      <c r="AI356">
        <v>-8.1061477661132795</v>
      </c>
    </row>
    <row r="357" spans="1:35">
      <c r="A357">
        <f t="shared" si="40"/>
        <v>1</v>
      </c>
      <c r="B357">
        <f t="shared" si="41"/>
        <v>0</v>
      </c>
      <c r="C357">
        <f t="shared" si="42"/>
        <v>0</v>
      </c>
      <c r="D357">
        <f t="shared" si="43"/>
        <v>1</v>
      </c>
      <c r="E357">
        <f t="shared" si="44"/>
        <v>0</v>
      </c>
      <c r="F357">
        <f t="shared" si="45"/>
        <v>0</v>
      </c>
      <c r="G357">
        <f t="shared" si="46"/>
        <v>0</v>
      </c>
      <c r="H357">
        <v>0</v>
      </c>
      <c r="I357">
        <f t="shared" si="47"/>
        <v>0</v>
      </c>
      <c r="J357">
        <v>0</v>
      </c>
      <c r="K357" t="s">
        <v>1738</v>
      </c>
      <c r="L357" t="s">
        <v>1739</v>
      </c>
      <c r="M357" t="s">
        <v>27</v>
      </c>
      <c r="N357" t="s">
        <v>27</v>
      </c>
      <c r="O357">
        <v>2.99</v>
      </c>
      <c r="P357" t="s">
        <v>27</v>
      </c>
      <c r="Q357" t="s">
        <v>27</v>
      </c>
      <c r="R357">
        <v>11.9099998474121</v>
      </c>
      <c r="S357">
        <v>22.0625</v>
      </c>
      <c r="T357">
        <v>0.139929994940758</v>
      </c>
      <c r="U357" t="s">
        <v>27</v>
      </c>
      <c r="V357">
        <v>-4542000</v>
      </c>
      <c r="W357">
        <v>-1.79521000385284</v>
      </c>
      <c r="X357">
        <v>-0.230000004172325</v>
      </c>
      <c r="Y357">
        <v>-0.380255997180939</v>
      </c>
      <c r="Z357">
        <v>-2.7624309062957799</v>
      </c>
      <c r="AA357">
        <v>34358000</v>
      </c>
      <c r="AB357" t="s">
        <v>73</v>
      </c>
      <c r="AC357" t="s">
        <v>141</v>
      </c>
      <c r="AD357">
        <v>-3.9999999105930301E-2</v>
      </c>
      <c r="AE357" t="s">
        <v>27</v>
      </c>
      <c r="AF357" t="s">
        <v>27</v>
      </c>
      <c r="AG357">
        <v>39685000</v>
      </c>
      <c r="AH357">
        <v>3.6730000283569102E-3</v>
      </c>
      <c r="AI357">
        <v>-17.1322937011719</v>
      </c>
    </row>
    <row r="358" spans="1:35">
      <c r="A358">
        <f t="shared" si="40"/>
        <v>0</v>
      </c>
      <c r="B358">
        <f t="shared" si="41"/>
        <v>1</v>
      </c>
      <c r="C358">
        <f t="shared" si="42"/>
        <v>0</v>
      </c>
      <c r="D358">
        <f t="shared" si="43"/>
        <v>1</v>
      </c>
      <c r="E358">
        <f t="shared" si="44"/>
        <v>0</v>
      </c>
      <c r="F358">
        <f t="shared" si="45"/>
        <v>0</v>
      </c>
      <c r="G358">
        <f t="shared" si="46"/>
        <v>1</v>
      </c>
      <c r="H358">
        <v>0</v>
      </c>
      <c r="I358">
        <f t="shared" si="47"/>
        <v>0</v>
      </c>
      <c r="J358">
        <v>0</v>
      </c>
      <c r="K358" t="s">
        <v>1740</v>
      </c>
      <c r="L358" t="s">
        <v>1741</v>
      </c>
      <c r="M358" t="s">
        <v>27</v>
      </c>
      <c r="N358" t="s">
        <v>27</v>
      </c>
      <c r="O358">
        <v>4.9000000000000004</v>
      </c>
      <c r="P358" t="s">
        <v>27</v>
      </c>
      <c r="Q358" t="s">
        <v>27</v>
      </c>
      <c r="R358">
        <v>15.210000038146999</v>
      </c>
      <c r="S358">
        <v>16.5</v>
      </c>
      <c r="T358">
        <v>0.145753994584084</v>
      </c>
      <c r="U358">
        <v>81.538459777832003</v>
      </c>
      <c r="V358">
        <v>-2306000</v>
      </c>
      <c r="W358">
        <v>-38.606117248535199</v>
      </c>
      <c r="X358">
        <v>-5.0000000745058101E-2</v>
      </c>
      <c r="Y358" t="s">
        <v>27</v>
      </c>
      <c r="Z358" t="s">
        <v>27</v>
      </c>
      <c r="AA358">
        <v>49329000</v>
      </c>
      <c r="AB358" t="s">
        <v>73</v>
      </c>
      <c r="AC358" t="s">
        <v>141</v>
      </c>
      <c r="AD358">
        <v>-9.9999997764825804E-3</v>
      </c>
      <c r="AE358">
        <v>86.661003112792997</v>
      </c>
      <c r="AF358" t="s">
        <v>27</v>
      </c>
      <c r="AG358">
        <v>49534000</v>
      </c>
      <c r="AH358">
        <v>8.9177961349487305</v>
      </c>
      <c r="AI358">
        <v>-37.977256774902301</v>
      </c>
    </row>
    <row r="359" spans="1:35">
      <c r="A359">
        <f t="shared" si="40"/>
        <v>0</v>
      </c>
      <c r="B359">
        <f t="shared" si="41"/>
        <v>0</v>
      </c>
      <c r="C359">
        <f t="shared" si="42"/>
        <v>1</v>
      </c>
      <c r="D359">
        <f t="shared" si="43"/>
        <v>0</v>
      </c>
      <c r="E359">
        <f t="shared" si="44"/>
        <v>1</v>
      </c>
      <c r="F359">
        <f t="shared" si="45"/>
        <v>0</v>
      </c>
      <c r="G359">
        <f t="shared" si="46"/>
        <v>0</v>
      </c>
      <c r="H359">
        <v>0</v>
      </c>
      <c r="I359">
        <f t="shared" si="47"/>
        <v>1</v>
      </c>
      <c r="J359">
        <v>0</v>
      </c>
      <c r="K359" t="s">
        <v>1742</v>
      </c>
      <c r="L359" t="s">
        <v>1743</v>
      </c>
      <c r="M359" t="s">
        <v>27</v>
      </c>
      <c r="N359" t="s">
        <v>27</v>
      </c>
      <c r="O359">
        <v>11.94</v>
      </c>
      <c r="P359" t="s">
        <v>27</v>
      </c>
      <c r="Q359" t="s">
        <v>27</v>
      </c>
      <c r="R359">
        <v>8.8500003814697301</v>
      </c>
      <c r="S359">
        <v>3.8599998950958301</v>
      </c>
      <c r="T359" t="s">
        <v>27</v>
      </c>
      <c r="U359" t="s">
        <v>27</v>
      </c>
      <c r="V359" t="s">
        <v>27</v>
      </c>
      <c r="W359">
        <v>1.3359739780426001</v>
      </c>
      <c r="X359" t="s">
        <v>27</v>
      </c>
      <c r="Y359" t="s">
        <v>27</v>
      </c>
      <c r="Z359" t="s">
        <v>27</v>
      </c>
      <c r="AA359" t="s">
        <v>27</v>
      </c>
      <c r="AB359" t="s">
        <v>34</v>
      </c>
      <c r="AC359" t="s">
        <v>458</v>
      </c>
      <c r="AD359" t="s">
        <v>27</v>
      </c>
      <c r="AE359" t="s">
        <v>27</v>
      </c>
      <c r="AF359" t="s">
        <v>27</v>
      </c>
      <c r="AG359" t="s">
        <v>27</v>
      </c>
      <c r="AH359" t="s">
        <v>27</v>
      </c>
      <c r="AI359">
        <v>-3.03463506698608</v>
      </c>
    </row>
    <row r="360" spans="1:35">
      <c r="A360">
        <f t="shared" si="40"/>
        <v>0</v>
      </c>
      <c r="B360">
        <f t="shared" si="41"/>
        <v>0</v>
      </c>
      <c r="C360">
        <f t="shared" si="42"/>
        <v>0</v>
      </c>
      <c r="D360">
        <f t="shared" si="43"/>
        <v>1</v>
      </c>
      <c r="E360">
        <f t="shared" si="44"/>
        <v>0</v>
      </c>
      <c r="F360">
        <f t="shared" si="45"/>
        <v>0</v>
      </c>
      <c r="G360">
        <f t="shared" si="46"/>
        <v>0</v>
      </c>
      <c r="H360">
        <v>0</v>
      </c>
      <c r="I360">
        <f t="shared" si="47"/>
        <v>0</v>
      </c>
      <c r="J360">
        <v>0</v>
      </c>
      <c r="K360" t="s">
        <v>1746</v>
      </c>
      <c r="L360" t="s">
        <v>1747</v>
      </c>
      <c r="M360" t="s">
        <v>27</v>
      </c>
      <c r="N360" t="s">
        <v>27</v>
      </c>
      <c r="O360">
        <v>4.63</v>
      </c>
      <c r="P360" t="s">
        <v>27</v>
      </c>
      <c r="Q360" t="s">
        <v>27</v>
      </c>
      <c r="R360">
        <v>13.319999694824199</v>
      </c>
      <c r="S360">
        <v>10.25</v>
      </c>
      <c r="T360">
        <v>3.0983920097351101</v>
      </c>
      <c r="U360">
        <v>-5.1854519844055202</v>
      </c>
      <c r="V360">
        <v>-7347000</v>
      </c>
      <c r="W360">
        <v>-27.487598419189499</v>
      </c>
      <c r="X360">
        <v>-0.37999999523162797</v>
      </c>
      <c r="Y360">
        <v>-9.0746269226074201</v>
      </c>
      <c r="Z360">
        <v>-3.66692090034485</v>
      </c>
      <c r="AA360">
        <v>25196000</v>
      </c>
      <c r="AB360" t="s">
        <v>73</v>
      </c>
      <c r="AC360" t="s">
        <v>413</v>
      </c>
      <c r="AD360">
        <v>-0.15000000596046401</v>
      </c>
      <c r="AE360">
        <v>-35.524726867675803</v>
      </c>
      <c r="AF360" t="s">
        <v>27</v>
      </c>
      <c r="AG360">
        <v>46298000</v>
      </c>
      <c r="AH360">
        <v>4.0094270706176802</v>
      </c>
      <c r="AI360">
        <v>-38.695026397705099</v>
      </c>
    </row>
    <row r="361" spans="1:35">
      <c r="A361">
        <f t="shared" si="40"/>
        <v>1</v>
      </c>
      <c r="B361">
        <f t="shared" si="41"/>
        <v>1</v>
      </c>
      <c r="C361">
        <f t="shared" si="42"/>
        <v>0</v>
      </c>
      <c r="D361">
        <f t="shared" si="43"/>
        <v>0</v>
      </c>
      <c r="E361">
        <f t="shared" si="44"/>
        <v>0</v>
      </c>
      <c r="F361">
        <f t="shared" si="45"/>
        <v>0</v>
      </c>
      <c r="G361">
        <f t="shared" si="46"/>
        <v>1</v>
      </c>
      <c r="H361">
        <v>0</v>
      </c>
      <c r="I361">
        <f t="shared" si="47"/>
        <v>0</v>
      </c>
      <c r="J361">
        <v>0</v>
      </c>
      <c r="K361" t="s">
        <v>1752</v>
      </c>
      <c r="L361" t="s">
        <v>1753</v>
      </c>
      <c r="M361" t="s">
        <v>27</v>
      </c>
      <c r="N361" t="s">
        <v>27</v>
      </c>
      <c r="O361">
        <v>4.3600000000000003</v>
      </c>
      <c r="P361" t="s">
        <v>27</v>
      </c>
      <c r="Q361" t="s">
        <v>27</v>
      </c>
      <c r="R361">
        <v>14.75</v>
      </c>
      <c r="S361">
        <v>27.875</v>
      </c>
      <c r="T361">
        <v>23.462451934814499</v>
      </c>
      <c r="U361">
        <v>0.196217000484467</v>
      </c>
      <c r="V361">
        <v>-27412000</v>
      </c>
      <c r="W361">
        <v>-11.838380813598601</v>
      </c>
      <c r="X361">
        <v>-0.119999997317791</v>
      </c>
      <c r="Y361">
        <v>-1.1428569555282599</v>
      </c>
      <c r="Z361">
        <v>-4.9926791191101101</v>
      </c>
      <c r="AA361">
        <v>64172996</v>
      </c>
      <c r="AB361" t="s">
        <v>73</v>
      </c>
      <c r="AC361" t="s">
        <v>141</v>
      </c>
      <c r="AD361">
        <v>-0.270000010728836</v>
      </c>
      <c r="AE361">
        <v>11.6139526367188</v>
      </c>
      <c r="AF361" t="s">
        <v>27</v>
      </c>
      <c r="AG361">
        <v>66402216</v>
      </c>
      <c r="AH361">
        <v>21.7235107421875</v>
      </c>
      <c r="AI361">
        <v>-5.3636789321899396</v>
      </c>
    </row>
    <row r="362" spans="1:35">
      <c r="A362">
        <f t="shared" si="40"/>
        <v>0</v>
      </c>
      <c r="B362">
        <f t="shared" si="41"/>
        <v>1</v>
      </c>
      <c r="C362">
        <f t="shared" si="42"/>
        <v>1</v>
      </c>
      <c r="D362">
        <f t="shared" si="43"/>
        <v>0</v>
      </c>
      <c r="E362">
        <f t="shared" si="44"/>
        <v>0</v>
      </c>
      <c r="F362">
        <f t="shared" si="45"/>
        <v>0</v>
      </c>
      <c r="G362">
        <f t="shared" si="46"/>
        <v>0</v>
      </c>
      <c r="H362">
        <v>0</v>
      </c>
      <c r="I362">
        <f t="shared" si="47"/>
        <v>0</v>
      </c>
      <c r="J362">
        <v>0</v>
      </c>
      <c r="K362" t="s">
        <v>1762</v>
      </c>
      <c r="L362" t="s">
        <v>1763</v>
      </c>
      <c r="M362" t="s">
        <v>27</v>
      </c>
      <c r="N362" t="s">
        <v>27</v>
      </c>
      <c r="O362">
        <v>2.4620000000000002</v>
      </c>
      <c r="P362" t="s">
        <v>27</v>
      </c>
      <c r="Q362" t="s">
        <v>27</v>
      </c>
      <c r="R362">
        <v>7.0500001907348597</v>
      </c>
      <c r="S362">
        <v>10.75</v>
      </c>
      <c r="T362">
        <v>0.42774999141693099</v>
      </c>
      <c r="U362">
        <v>50.443881988525398</v>
      </c>
      <c r="V362">
        <v>2859000</v>
      </c>
      <c r="W362">
        <v>-17.621374130248999</v>
      </c>
      <c r="X362">
        <v>-2.9999999329447701E-2</v>
      </c>
      <c r="Y362" t="s">
        <v>27</v>
      </c>
      <c r="Z362">
        <v>-6.5671639442443803</v>
      </c>
      <c r="AA362">
        <v>23844000</v>
      </c>
      <c r="AB362" t="s">
        <v>73</v>
      </c>
      <c r="AC362" t="s">
        <v>141</v>
      </c>
      <c r="AD362">
        <v>-0.270000010728836</v>
      </c>
      <c r="AE362">
        <v>48.4232368469238</v>
      </c>
      <c r="AF362" t="s">
        <v>27</v>
      </c>
      <c r="AG362">
        <v>24255000</v>
      </c>
      <c r="AH362">
        <v>1.6253960132598899</v>
      </c>
      <c r="AI362">
        <v>-11.6129093170166</v>
      </c>
    </row>
    <row r="363" spans="1:35">
      <c r="A363">
        <f t="shared" si="40"/>
        <v>0</v>
      </c>
      <c r="B363">
        <f t="shared" si="41"/>
        <v>0</v>
      </c>
      <c r="C363">
        <f t="shared" si="42"/>
        <v>0</v>
      </c>
      <c r="D363">
        <f t="shared" si="43"/>
        <v>0</v>
      </c>
      <c r="E363">
        <f t="shared" si="44"/>
        <v>0</v>
      </c>
      <c r="F363">
        <f t="shared" si="45"/>
        <v>1</v>
      </c>
      <c r="G363">
        <f t="shared" si="46"/>
        <v>0</v>
      </c>
      <c r="H363">
        <v>0</v>
      </c>
      <c r="I363">
        <f t="shared" si="47"/>
        <v>0</v>
      </c>
      <c r="J363">
        <v>0</v>
      </c>
      <c r="K363" t="s">
        <v>1764</v>
      </c>
      <c r="L363" t="s">
        <v>1765</v>
      </c>
      <c r="M363" t="s">
        <v>27</v>
      </c>
      <c r="N363" t="s">
        <v>27</v>
      </c>
      <c r="O363">
        <v>6.07</v>
      </c>
      <c r="P363" t="s">
        <v>27</v>
      </c>
      <c r="Q363" t="s">
        <v>27</v>
      </c>
      <c r="R363">
        <v>18.059999465942401</v>
      </c>
      <c r="S363">
        <v>22.6875</v>
      </c>
      <c r="T363">
        <v>0.17577999830245999</v>
      </c>
      <c r="U363">
        <v>29.4563179016113</v>
      </c>
      <c r="V363">
        <v>-4268000</v>
      </c>
      <c r="W363" t="s">
        <v>27</v>
      </c>
      <c r="X363">
        <v>0.479999989271164</v>
      </c>
      <c r="Y363" t="s">
        <v>27</v>
      </c>
      <c r="Z363" t="s">
        <v>27</v>
      </c>
      <c r="AA363">
        <v>37944120</v>
      </c>
      <c r="AB363" t="s">
        <v>27</v>
      </c>
      <c r="AC363" t="s">
        <v>27</v>
      </c>
      <c r="AD363">
        <v>0.270000010728836</v>
      </c>
      <c r="AE363">
        <v>25.071386337280298</v>
      </c>
      <c r="AF363" t="s">
        <v>27</v>
      </c>
      <c r="AG363">
        <v>38761228</v>
      </c>
      <c r="AH363">
        <v>0.20955200493335699</v>
      </c>
      <c r="AI363" t="s">
        <v>27</v>
      </c>
    </row>
    <row r="364" spans="1:35">
      <c r="A364">
        <f t="shared" si="40"/>
        <v>0</v>
      </c>
      <c r="B364">
        <f t="shared" si="41"/>
        <v>0</v>
      </c>
      <c r="C364">
        <f t="shared" si="42"/>
        <v>1</v>
      </c>
      <c r="D364">
        <f t="shared" si="43"/>
        <v>1</v>
      </c>
      <c r="E364">
        <f t="shared" si="44"/>
        <v>0</v>
      </c>
      <c r="F364">
        <f t="shared" si="45"/>
        <v>0</v>
      </c>
      <c r="G364">
        <f t="shared" si="46"/>
        <v>1</v>
      </c>
      <c r="H364">
        <v>0</v>
      </c>
      <c r="I364">
        <f t="shared" si="47"/>
        <v>0</v>
      </c>
      <c r="J364">
        <v>0</v>
      </c>
      <c r="K364" t="s">
        <v>1766</v>
      </c>
      <c r="L364" t="s">
        <v>1767</v>
      </c>
      <c r="M364" t="s">
        <v>27</v>
      </c>
      <c r="N364" t="s">
        <v>27</v>
      </c>
      <c r="O364">
        <v>4.62</v>
      </c>
      <c r="P364">
        <v>1.2099679708480799</v>
      </c>
      <c r="Q364" t="s">
        <v>27</v>
      </c>
      <c r="R364">
        <v>7.7600002288818404</v>
      </c>
      <c r="S364">
        <v>3.875</v>
      </c>
      <c r="T364">
        <v>53.771484375</v>
      </c>
      <c r="U364">
        <v>65.788154602050795</v>
      </c>
      <c r="V364">
        <v>7912000</v>
      </c>
      <c r="W364">
        <v>6.2318158149719203</v>
      </c>
      <c r="X364">
        <v>-0.140000000596046</v>
      </c>
      <c r="Y364">
        <v>1.6000000238418599</v>
      </c>
      <c r="Z364">
        <v>1.9704430103302</v>
      </c>
      <c r="AA364">
        <v>50384872</v>
      </c>
      <c r="AB364" t="s">
        <v>27</v>
      </c>
      <c r="AC364" t="s">
        <v>27</v>
      </c>
      <c r="AD364">
        <v>0</v>
      </c>
      <c r="AE364">
        <v>72.215248107910199</v>
      </c>
      <c r="AF364">
        <v>4.8750226995803096</v>
      </c>
      <c r="AG364">
        <v>50571000</v>
      </c>
      <c r="AH364">
        <v>55.4678344726563</v>
      </c>
      <c r="AI364">
        <v>-6.7527737617492702</v>
      </c>
    </row>
    <row r="365" spans="1:35">
      <c r="A365">
        <f t="shared" si="40"/>
        <v>1</v>
      </c>
      <c r="B365">
        <f t="shared" si="41"/>
        <v>1</v>
      </c>
      <c r="C365">
        <f t="shared" si="42"/>
        <v>0</v>
      </c>
      <c r="D365">
        <f t="shared" si="43"/>
        <v>0</v>
      </c>
      <c r="E365">
        <f t="shared" si="44"/>
        <v>0</v>
      </c>
      <c r="F365">
        <f t="shared" si="45"/>
        <v>1</v>
      </c>
      <c r="G365">
        <f t="shared" si="46"/>
        <v>0</v>
      </c>
      <c r="H365">
        <v>0</v>
      </c>
      <c r="I365">
        <f t="shared" si="47"/>
        <v>0</v>
      </c>
      <c r="J365">
        <v>0</v>
      </c>
      <c r="K365" t="s">
        <v>1770</v>
      </c>
      <c r="L365" t="s">
        <v>1771</v>
      </c>
      <c r="M365" t="s">
        <v>27</v>
      </c>
      <c r="N365" t="s">
        <v>27</v>
      </c>
      <c r="O365">
        <v>5.91</v>
      </c>
      <c r="P365" t="s">
        <v>27</v>
      </c>
      <c r="Q365" t="s">
        <v>27</v>
      </c>
      <c r="R365">
        <v>15.960000038146999</v>
      </c>
      <c r="S365" t="s">
        <v>27</v>
      </c>
      <c r="T365" t="s">
        <v>27</v>
      </c>
      <c r="U365">
        <v>59.593105316162102</v>
      </c>
      <c r="V365">
        <v>-11562000</v>
      </c>
      <c r="W365">
        <v>-2.0597190856933598</v>
      </c>
      <c r="X365" t="s">
        <v>27</v>
      </c>
      <c r="Y365" t="s">
        <v>27</v>
      </c>
      <c r="Z365" t="s">
        <v>27</v>
      </c>
      <c r="AA365" t="s">
        <v>27</v>
      </c>
      <c r="AB365" t="s">
        <v>27</v>
      </c>
      <c r="AC365" t="s">
        <v>27</v>
      </c>
      <c r="AD365">
        <v>0</v>
      </c>
      <c r="AE365">
        <v>56.542465209960902</v>
      </c>
      <c r="AF365">
        <v>12.451084081527901</v>
      </c>
      <c r="AG365">
        <v>93250000</v>
      </c>
      <c r="AH365">
        <v>4.1761541366577104</v>
      </c>
      <c r="AI365">
        <v>7.0088248252868697</v>
      </c>
    </row>
    <row r="366" spans="1:35">
      <c r="A366">
        <f t="shared" si="40"/>
        <v>1</v>
      </c>
      <c r="B366">
        <f t="shared" si="41"/>
        <v>0</v>
      </c>
      <c r="C366">
        <f t="shared" si="42"/>
        <v>0</v>
      </c>
      <c r="D366">
        <f t="shared" si="43"/>
        <v>0</v>
      </c>
      <c r="E366">
        <f t="shared" si="44"/>
        <v>0</v>
      </c>
      <c r="F366">
        <f t="shared" si="45"/>
        <v>0</v>
      </c>
      <c r="G366">
        <f t="shared" si="46"/>
        <v>0</v>
      </c>
      <c r="H366">
        <v>0</v>
      </c>
      <c r="I366">
        <f t="shared" si="47"/>
        <v>0</v>
      </c>
      <c r="J366">
        <v>0</v>
      </c>
      <c r="K366" t="s">
        <v>1772</v>
      </c>
      <c r="L366" t="s">
        <v>1773</v>
      </c>
      <c r="M366" t="s">
        <v>27</v>
      </c>
      <c r="N366" t="s">
        <v>27</v>
      </c>
      <c r="O366">
        <v>6.98</v>
      </c>
      <c r="P366" t="s">
        <v>27</v>
      </c>
      <c r="Q366" t="s">
        <v>27</v>
      </c>
      <c r="R366">
        <v>12.6499996185303</v>
      </c>
      <c r="S366">
        <v>30.875</v>
      </c>
      <c r="T366">
        <v>0.14783699810504899</v>
      </c>
      <c r="U366">
        <v>80.232666015625</v>
      </c>
      <c r="V366">
        <v>-8415000</v>
      </c>
      <c r="W366">
        <v>-3.7056310176849401</v>
      </c>
      <c r="X366">
        <v>-0.104999996721745</v>
      </c>
      <c r="Y366">
        <v>0.19839100539684301</v>
      </c>
      <c r="Z366">
        <v>0.25316399335861201</v>
      </c>
      <c r="AA366">
        <v>75322000</v>
      </c>
      <c r="AB366" t="s">
        <v>38</v>
      </c>
      <c r="AC366" t="s">
        <v>89</v>
      </c>
      <c r="AD366">
        <v>-0.34999999403953602</v>
      </c>
      <c r="AE366">
        <v>74.253074645996094</v>
      </c>
      <c r="AF366">
        <v>108.27369520003001</v>
      </c>
      <c r="AG366">
        <v>78347000</v>
      </c>
      <c r="AH366">
        <v>0</v>
      </c>
      <c r="AI366">
        <v>-6.4437689781189</v>
      </c>
    </row>
    <row r="367" spans="1:35">
      <c r="A367">
        <f t="shared" si="40"/>
        <v>1</v>
      </c>
      <c r="B367">
        <f t="shared" si="41"/>
        <v>1</v>
      </c>
      <c r="C367">
        <f t="shared" si="42"/>
        <v>1</v>
      </c>
      <c r="D367">
        <f t="shared" si="43"/>
        <v>0</v>
      </c>
      <c r="E367">
        <f t="shared" si="44"/>
        <v>0</v>
      </c>
      <c r="F367">
        <f t="shared" si="45"/>
        <v>0</v>
      </c>
      <c r="G367">
        <f t="shared" si="46"/>
        <v>0</v>
      </c>
      <c r="H367">
        <v>0</v>
      </c>
      <c r="I367">
        <f t="shared" si="47"/>
        <v>0</v>
      </c>
      <c r="J367">
        <v>0</v>
      </c>
      <c r="K367" t="s">
        <v>1776</v>
      </c>
      <c r="L367" t="s">
        <v>1777</v>
      </c>
      <c r="M367" t="s">
        <v>27</v>
      </c>
      <c r="N367" t="s">
        <v>27</v>
      </c>
      <c r="O367">
        <v>1.35</v>
      </c>
      <c r="P367" t="s">
        <v>27</v>
      </c>
      <c r="Q367" t="s">
        <v>27</v>
      </c>
      <c r="R367">
        <v>8.4899997711181605</v>
      </c>
      <c r="S367">
        <v>4.75</v>
      </c>
      <c r="T367">
        <v>8.4785604476928693</v>
      </c>
      <c r="U367">
        <v>12.979977607727101</v>
      </c>
      <c r="V367">
        <v>41606000</v>
      </c>
      <c r="W367">
        <v>-4.9847311973571804</v>
      </c>
      <c r="X367">
        <v>-1.9999999552965199E-2</v>
      </c>
      <c r="Y367" t="s">
        <v>27</v>
      </c>
      <c r="Z367">
        <v>2.0472440719604501</v>
      </c>
      <c r="AA367">
        <v>28975000</v>
      </c>
      <c r="AB367" t="s">
        <v>27</v>
      </c>
      <c r="AC367" t="s">
        <v>27</v>
      </c>
      <c r="AD367">
        <v>-1.9999999552965199E-2</v>
      </c>
      <c r="AE367">
        <v>10.9230947494507</v>
      </c>
      <c r="AF367">
        <v>0.25787795045468398</v>
      </c>
      <c r="AG367">
        <v>29328000</v>
      </c>
      <c r="AH367">
        <v>2.6186089515686</v>
      </c>
      <c r="AI367">
        <v>-2.0549590587615998</v>
      </c>
    </row>
    <row r="368" spans="1:35">
      <c r="A368">
        <f t="shared" si="40"/>
        <v>1</v>
      </c>
      <c r="B368">
        <f t="shared" si="41"/>
        <v>0</v>
      </c>
      <c r="C368">
        <f t="shared" si="42"/>
        <v>1</v>
      </c>
      <c r="D368">
        <f t="shared" si="43"/>
        <v>0</v>
      </c>
      <c r="E368">
        <f t="shared" si="44"/>
        <v>0</v>
      </c>
      <c r="F368">
        <f t="shared" si="45"/>
        <v>1</v>
      </c>
      <c r="G368">
        <f t="shared" si="46"/>
        <v>0</v>
      </c>
      <c r="H368">
        <v>0</v>
      </c>
      <c r="I368">
        <f t="shared" si="47"/>
        <v>0</v>
      </c>
      <c r="J368">
        <v>0</v>
      </c>
      <c r="K368" t="s">
        <v>1778</v>
      </c>
      <c r="L368" t="s">
        <v>1779</v>
      </c>
      <c r="M368" t="s">
        <v>27</v>
      </c>
      <c r="N368" t="s">
        <v>27</v>
      </c>
      <c r="O368">
        <v>6.99</v>
      </c>
      <c r="P368" t="s">
        <v>27</v>
      </c>
      <c r="Q368" t="s">
        <v>27</v>
      </c>
      <c r="R368">
        <v>10</v>
      </c>
      <c r="S368">
        <v>15</v>
      </c>
      <c r="T368" t="s">
        <v>27</v>
      </c>
      <c r="U368" t="s">
        <v>27</v>
      </c>
      <c r="V368">
        <v>2106000.25</v>
      </c>
      <c r="W368" t="s">
        <v>27</v>
      </c>
      <c r="X368" t="s">
        <v>27</v>
      </c>
      <c r="Y368" t="s">
        <v>27</v>
      </c>
      <c r="Z368" t="s">
        <v>27</v>
      </c>
      <c r="AA368" t="s">
        <v>27</v>
      </c>
      <c r="AB368" t="s">
        <v>27</v>
      </c>
      <c r="AC368" t="s">
        <v>27</v>
      </c>
      <c r="AD368">
        <v>0.15000000596046401</v>
      </c>
      <c r="AE368" t="s">
        <v>27</v>
      </c>
      <c r="AF368" t="s">
        <v>27</v>
      </c>
      <c r="AG368">
        <v>12702926</v>
      </c>
      <c r="AH368">
        <v>0</v>
      </c>
      <c r="AI368" t="s">
        <v>27</v>
      </c>
    </row>
    <row r="369" spans="1:35">
      <c r="A369">
        <f t="shared" si="40"/>
        <v>0</v>
      </c>
      <c r="B369">
        <f t="shared" si="41"/>
        <v>0</v>
      </c>
      <c r="C369">
        <f t="shared" si="42"/>
        <v>0</v>
      </c>
      <c r="D369">
        <f t="shared" si="43"/>
        <v>0</v>
      </c>
      <c r="E369">
        <f t="shared" si="44"/>
        <v>0</v>
      </c>
      <c r="F369">
        <f t="shared" si="45"/>
        <v>0</v>
      </c>
      <c r="G369">
        <f t="shared" si="46"/>
        <v>1</v>
      </c>
      <c r="H369">
        <v>0</v>
      </c>
      <c r="I369">
        <f t="shared" si="47"/>
        <v>0</v>
      </c>
      <c r="J369">
        <v>0</v>
      </c>
      <c r="K369" t="s">
        <v>1784</v>
      </c>
      <c r="L369" t="s">
        <v>1785</v>
      </c>
      <c r="M369" t="s">
        <v>27</v>
      </c>
      <c r="N369" t="s">
        <v>27</v>
      </c>
      <c r="O369">
        <v>1.63</v>
      </c>
      <c r="P369" t="s">
        <v>27</v>
      </c>
      <c r="Q369" t="s">
        <v>27</v>
      </c>
      <c r="R369">
        <v>5.9699997901916504</v>
      </c>
      <c r="S369">
        <v>16.6875</v>
      </c>
      <c r="T369">
        <v>1.38894903659821</v>
      </c>
      <c r="U369">
        <v>73.473602294921903</v>
      </c>
      <c r="V369">
        <v>-37341000</v>
      </c>
      <c r="W369">
        <v>-4.2003188133239702</v>
      </c>
      <c r="X369">
        <v>-0.129999995231628</v>
      </c>
      <c r="Y369">
        <v>6.1404000967740999E-2</v>
      </c>
      <c r="Z369">
        <v>-18.6131381988525</v>
      </c>
      <c r="AA369">
        <v>115246000</v>
      </c>
      <c r="AB369" t="s">
        <v>27</v>
      </c>
      <c r="AC369" t="s">
        <v>27</v>
      </c>
      <c r="AD369">
        <v>-0.34999999403953602</v>
      </c>
      <c r="AE369">
        <v>73.975341796875</v>
      </c>
      <c r="AF369" t="s">
        <v>27</v>
      </c>
      <c r="AG369">
        <v>129110000</v>
      </c>
      <c r="AH369">
        <v>1.6495660543441799</v>
      </c>
      <c r="AI369">
        <v>-39.468338012695298</v>
      </c>
    </row>
    <row r="370" spans="1:35">
      <c r="A370">
        <f t="shared" si="40"/>
        <v>1</v>
      </c>
      <c r="B370">
        <f t="shared" si="41"/>
        <v>0</v>
      </c>
      <c r="C370">
        <f t="shared" si="42"/>
        <v>1</v>
      </c>
      <c r="D370">
        <f t="shared" si="43"/>
        <v>0</v>
      </c>
      <c r="E370">
        <f t="shared" si="44"/>
        <v>0</v>
      </c>
      <c r="F370">
        <f t="shared" si="45"/>
        <v>1</v>
      </c>
      <c r="G370">
        <f t="shared" si="46"/>
        <v>0</v>
      </c>
      <c r="H370">
        <v>0</v>
      </c>
      <c r="I370">
        <f t="shared" si="47"/>
        <v>0</v>
      </c>
      <c r="J370">
        <v>0</v>
      </c>
      <c r="K370" t="s">
        <v>1788</v>
      </c>
      <c r="L370" t="s">
        <v>1789</v>
      </c>
      <c r="M370" t="s">
        <v>27</v>
      </c>
      <c r="N370" t="s">
        <v>27</v>
      </c>
      <c r="O370">
        <v>14.2</v>
      </c>
      <c r="P370" t="s">
        <v>27</v>
      </c>
      <c r="Q370" t="s">
        <v>27</v>
      </c>
      <c r="R370">
        <v>16.25</v>
      </c>
      <c r="S370">
        <v>13.060000419616699</v>
      </c>
      <c r="T370" t="s">
        <v>27</v>
      </c>
      <c r="U370" t="s">
        <v>27</v>
      </c>
      <c r="V370">
        <v>24900000</v>
      </c>
      <c r="W370" t="s">
        <v>27</v>
      </c>
      <c r="X370" t="s">
        <v>27</v>
      </c>
      <c r="Y370" t="s">
        <v>27</v>
      </c>
      <c r="Z370">
        <v>8.7671232223510707</v>
      </c>
      <c r="AA370" t="s">
        <v>27</v>
      </c>
      <c r="AB370" t="s">
        <v>52</v>
      </c>
      <c r="AC370" t="s">
        <v>53</v>
      </c>
      <c r="AD370">
        <v>0.28999999165535001</v>
      </c>
      <c r="AE370">
        <v>44.137275695800803</v>
      </c>
      <c r="AF370" t="s">
        <v>27</v>
      </c>
      <c r="AG370">
        <v>11733000</v>
      </c>
      <c r="AH370">
        <v>30.103706359863299</v>
      </c>
      <c r="AI370" t="s">
        <v>27</v>
      </c>
    </row>
    <row r="371" spans="1:35">
      <c r="A371">
        <f t="shared" ref="A371:A430" si="48">IF(AH371&lt;T371,1,0)</f>
        <v>1</v>
      </c>
      <c r="B371">
        <f t="shared" ref="B371:B430" si="49">IF(AI371&gt;W371,1,0)</f>
        <v>0</v>
      </c>
      <c r="C371">
        <f t="shared" ref="C371:C430" si="50">IF(V371&gt;0,1,0)</f>
        <v>1</v>
      </c>
      <c r="D371">
        <f t="shared" ref="D371:D430" si="51">IF(AD371&gt;X371,1,0)</f>
        <v>0</v>
      </c>
      <c r="E371">
        <f t="shared" ref="E371:E430" si="52">IF(AA371=AG371,1,0)</f>
        <v>1</v>
      </c>
      <c r="F371">
        <f t="shared" ref="F371:F430" si="53">IF(AI371&gt;0,1,0)</f>
        <v>1</v>
      </c>
      <c r="G371">
        <f t="shared" ref="G371:G430" si="54">IF(AE371&gt;U371,1,0)</f>
        <v>0</v>
      </c>
      <c r="H371">
        <v>0</v>
      </c>
      <c r="I371">
        <f t="shared" ref="I371:I430" si="55">IF(((O371-R371)/R371)&gt;0.075,1,0)</f>
        <v>0</v>
      </c>
      <c r="J371">
        <v>0</v>
      </c>
      <c r="K371" t="s">
        <v>1790</v>
      </c>
      <c r="L371" t="s">
        <v>1791</v>
      </c>
      <c r="M371" t="s">
        <v>27</v>
      </c>
      <c r="N371" t="s">
        <v>27</v>
      </c>
      <c r="O371">
        <v>2.08</v>
      </c>
      <c r="P371" t="s">
        <v>27</v>
      </c>
      <c r="Q371" t="s">
        <v>27</v>
      </c>
      <c r="R371">
        <v>13.210000038146999</v>
      </c>
      <c r="S371">
        <v>21.625</v>
      </c>
      <c r="T371">
        <v>2.9891979694366499</v>
      </c>
      <c r="U371">
        <v>50.428268432617202</v>
      </c>
      <c r="V371">
        <v>9692000</v>
      </c>
      <c r="W371">
        <v>17.232851028442401</v>
      </c>
      <c r="X371">
        <v>-9.9999997764825804E-3</v>
      </c>
      <c r="Y371" t="s">
        <v>27</v>
      </c>
      <c r="Z371" t="s">
        <v>27</v>
      </c>
      <c r="AA371">
        <v>84488000</v>
      </c>
      <c r="AB371" t="s">
        <v>27</v>
      </c>
      <c r="AC371" t="s">
        <v>27</v>
      </c>
      <c r="AD371">
        <v>-5.0000000745058101E-2</v>
      </c>
      <c r="AE371">
        <v>36.545303344726598</v>
      </c>
      <c r="AF371">
        <v>6.5677561844509604</v>
      </c>
      <c r="AG371">
        <v>84488000</v>
      </c>
      <c r="AH371">
        <v>0.40375700592994701</v>
      </c>
      <c r="AI371">
        <v>6.5804038047790501</v>
      </c>
    </row>
    <row r="372" spans="1:35">
      <c r="A372">
        <f t="shared" si="48"/>
        <v>0</v>
      </c>
      <c r="B372">
        <f t="shared" si="49"/>
        <v>1</v>
      </c>
      <c r="C372">
        <f t="shared" si="50"/>
        <v>0</v>
      </c>
      <c r="D372">
        <f t="shared" si="51"/>
        <v>0</v>
      </c>
      <c r="E372">
        <f t="shared" si="52"/>
        <v>0</v>
      </c>
      <c r="F372">
        <f t="shared" si="53"/>
        <v>0</v>
      </c>
      <c r="G372">
        <f t="shared" si="54"/>
        <v>0</v>
      </c>
      <c r="H372">
        <v>0</v>
      </c>
      <c r="I372">
        <f t="shared" si="55"/>
        <v>0</v>
      </c>
      <c r="J372">
        <v>0</v>
      </c>
      <c r="K372" t="s">
        <v>1792</v>
      </c>
      <c r="L372" t="s">
        <v>1793</v>
      </c>
      <c r="M372" t="s">
        <v>27</v>
      </c>
      <c r="N372" t="s">
        <v>27</v>
      </c>
      <c r="O372">
        <v>11.099</v>
      </c>
      <c r="P372" t="s">
        <v>27</v>
      </c>
      <c r="Q372" t="s">
        <v>27</v>
      </c>
      <c r="R372">
        <v>21.780000686645501</v>
      </c>
      <c r="S372">
        <v>24.375</v>
      </c>
      <c r="T372">
        <v>59.855354309082003</v>
      </c>
      <c r="U372">
        <v>66.054916381835895</v>
      </c>
      <c r="V372">
        <v>-30549000</v>
      </c>
      <c r="W372">
        <v>-6.3569831848144496</v>
      </c>
      <c r="X372">
        <v>-0.28000000119209301</v>
      </c>
      <c r="Y372" t="s">
        <v>27</v>
      </c>
      <c r="Z372">
        <v>-9.1304349899291992</v>
      </c>
      <c r="AA372">
        <v>60183000</v>
      </c>
      <c r="AB372" t="s">
        <v>27</v>
      </c>
      <c r="AC372" t="s">
        <v>27</v>
      </c>
      <c r="AD372">
        <v>-0.41999998688697798</v>
      </c>
      <c r="AE372">
        <v>64.065818786621094</v>
      </c>
      <c r="AF372">
        <v>10.869842328944401</v>
      </c>
      <c r="AG372" t="s">
        <v>27</v>
      </c>
      <c r="AH372" t="s">
        <v>27</v>
      </c>
      <c r="AI372">
        <v>-2.03053498268127</v>
      </c>
    </row>
    <row r="373" spans="1:35">
      <c r="A373">
        <f t="shared" si="48"/>
        <v>0</v>
      </c>
      <c r="B373">
        <f t="shared" si="49"/>
        <v>0</v>
      </c>
      <c r="C373">
        <f t="shared" si="50"/>
        <v>1</v>
      </c>
      <c r="D373">
        <f t="shared" si="51"/>
        <v>0</v>
      </c>
      <c r="E373">
        <f t="shared" si="52"/>
        <v>0</v>
      </c>
      <c r="F373">
        <f t="shared" si="53"/>
        <v>0</v>
      </c>
      <c r="G373">
        <f t="shared" si="54"/>
        <v>0</v>
      </c>
      <c r="H373">
        <v>0</v>
      </c>
      <c r="I373">
        <f t="shared" si="55"/>
        <v>0</v>
      </c>
      <c r="J373">
        <v>0</v>
      </c>
      <c r="K373" t="s">
        <v>1796</v>
      </c>
      <c r="L373" t="s">
        <v>1797</v>
      </c>
      <c r="M373" t="s">
        <v>27</v>
      </c>
      <c r="N373" t="s">
        <v>27</v>
      </c>
      <c r="O373">
        <v>8.24</v>
      </c>
      <c r="P373">
        <v>3.2126920223236102</v>
      </c>
      <c r="Q373" t="s">
        <v>27</v>
      </c>
      <c r="R373">
        <v>10.949999809265099</v>
      </c>
      <c r="S373">
        <v>11.6000003814697</v>
      </c>
      <c r="T373">
        <v>20.548343658447301</v>
      </c>
      <c r="U373" t="s">
        <v>27</v>
      </c>
      <c r="V373">
        <v>8516000</v>
      </c>
      <c r="W373">
        <v>1.4808720350265501</v>
      </c>
      <c r="X373">
        <v>1.1000000238418599</v>
      </c>
      <c r="Y373">
        <v>10.341464042663601</v>
      </c>
      <c r="Z373">
        <v>-6.0952382087707502</v>
      </c>
      <c r="AA373">
        <v>21408000</v>
      </c>
      <c r="AB373" t="s">
        <v>27</v>
      </c>
      <c r="AC373" t="s">
        <v>27</v>
      </c>
      <c r="AD373">
        <v>-0.20999999344348899</v>
      </c>
      <c r="AE373" t="s">
        <v>27</v>
      </c>
      <c r="AF373">
        <v>6.1710630196596501</v>
      </c>
      <c r="AG373">
        <v>22383000</v>
      </c>
      <c r="AH373">
        <v>25.3196716308594</v>
      </c>
      <c r="AI373">
        <v>-15.0209741592407</v>
      </c>
    </row>
    <row r="374" spans="1:35">
      <c r="A374">
        <f t="shared" si="48"/>
        <v>1</v>
      </c>
      <c r="B374">
        <f t="shared" si="49"/>
        <v>0</v>
      </c>
      <c r="C374">
        <f t="shared" si="50"/>
        <v>0</v>
      </c>
      <c r="D374">
        <f t="shared" si="51"/>
        <v>0</v>
      </c>
      <c r="E374">
        <f t="shared" si="52"/>
        <v>0</v>
      </c>
      <c r="F374">
        <f t="shared" si="53"/>
        <v>0</v>
      </c>
      <c r="G374">
        <f t="shared" si="54"/>
        <v>1</v>
      </c>
      <c r="H374">
        <v>0</v>
      </c>
      <c r="I374">
        <f t="shared" si="55"/>
        <v>0</v>
      </c>
      <c r="J374">
        <v>0</v>
      </c>
      <c r="K374" t="s">
        <v>1800</v>
      </c>
      <c r="L374" t="s">
        <v>1801</v>
      </c>
      <c r="M374" t="s">
        <v>27</v>
      </c>
      <c r="N374" t="s">
        <v>27</v>
      </c>
      <c r="O374">
        <v>15.44</v>
      </c>
      <c r="P374">
        <v>6.55877590179443</v>
      </c>
      <c r="Q374" t="s">
        <v>27</v>
      </c>
      <c r="R374">
        <v>15.939999580383301</v>
      </c>
      <c r="S374">
        <v>11.0625</v>
      </c>
      <c r="T374">
        <v>7.5940790176391602</v>
      </c>
      <c r="U374">
        <v>25.056226730346701</v>
      </c>
      <c r="V374">
        <v>-4577000</v>
      </c>
      <c r="W374">
        <v>4.08260202407837</v>
      </c>
      <c r="X374">
        <v>-0.109999999403954</v>
      </c>
      <c r="Y374">
        <v>9.3333330154418892</v>
      </c>
      <c r="Z374">
        <v>2.5697209835052499</v>
      </c>
      <c r="AA374">
        <v>11716000</v>
      </c>
      <c r="AB374" t="s">
        <v>27</v>
      </c>
      <c r="AC374" t="s">
        <v>27</v>
      </c>
      <c r="AD374">
        <v>-0.38999998569488498</v>
      </c>
      <c r="AE374">
        <v>31.0153503417969</v>
      </c>
      <c r="AF374">
        <v>7.2086773056627598</v>
      </c>
      <c r="AG374">
        <v>12162290</v>
      </c>
      <c r="AH374">
        <v>7.2403697967529297</v>
      </c>
      <c r="AI374">
        <v>-1.6032030582428001</v>
      </c>
    </row>
    <row r="375" spans="1:35">
      <c r="A375">
        <f t="shared" si="48"/>
        <v>0</v>
      </c>
      <c r="B375">
        <f t="shared" si="49"/>
        <v>0</v>
      </c>
      <c r="C375">
        <f t="shared" si="50"/>
        <v>1</v>
      </c>
      <c r="D375">
        <f t="shared" si="51"/>
        <v>0</v>
      </c>
      <c r="E375">
        <f t="shared" si="52"/>
        <v>1</v>
      </c>
      <c r="F375">
        <f t="shared" si="53"/>
        <v>1</v>
      </c>
      <c r="G375">
        <f t="shared" si="54"/>
        <v>0</v>
      </c>
      <c r="H375">
        <v>0</v>
      </c>
      <c r="I375">
        <f t="shared" si="55"/>
        <v>0</v>
      </c>
      <c r="J375">
        <v>0</v>
      </c>
      <c r="K375" t="s">
        <v>1802</v>
      </c>
      <c r="L375" t="s">
        <v>1803</v>
      </c>
      <c r="M375" t="s">
        <v>27</v>
      </c>
      <c r="N375" t="s">
        <v>27</v>
      </c>
      <c r="O375">
        <v>10.8</v>
      </c>
      <c r="P375" t="s">
        <v>27</v>
      </c>
      <c r="Q375" t="s">
        <v>27</v>
      </c>
      <c r="R375">
        <v>15.539999961853001</v>
      </c>
      <c r="S375">
        <v>27.159090909090899</v>
      </c>
      <c r="T375" t="s">
        <v>27</v>
      </c>
      <c r="U375" t="s">
        <v>27</v>
      </c>
      <c r="V375" t="s">
        <v>27</v>
      </c>
      <c r="W375" t="s">
        <v>27</v>
      </c>
      <c r="X375" t="s">
        <v>27</v>
      </c>
      <c r="Y375" t="s">
        <v>27</v>
      </c>
      <c r="Z375" t="s">
        <v>27</v>
      </c>
      <c r="AA375" t="s">
        <v>27</v>
      </c>
      <c r="AB375" t="s">
        <v>73</v>
      </c>
      <c r="AC375" t="s">
        <v>141</v>
      </c>
      <c r="AD375" t="s">
        <v>27</v>
      </c>
      <c r="AE375" t="s">
        <v>27</v>
      </c>
      <c r="AF375" t="s">
        <v>27</v>
      </c>
      <c r="AG375" t="s">
        <v>27</v>
      </c>
      <c r="AH375" t="s">
        <v>27</v>
      </c>
      <c r="AI375" t="s">
        <v>27</v>
      </c>
    </row>
    <row r="376" spans="1:35">
      <c r="A376">
        <f t="shared" si="48"/>
        <v>1</v>
      </c>
      <c r="B376">
        <f t="shared" si="49"/>
        <v>0</v>
      </c>
      <c r="C376">
        <f t="shared" si="50"/>
        <v>1</v>
      </c>
      <c r="D376">
        <f t="shared" si="51"/>
        <v>1</v>
      </c>
      <c r="E376">
        <f t="shared" si="52"/>
        <v>0</v>
      </c>
      <c r="F376">
        <f t="shared" si="53"/>
        <v>0</v>
      </c>
      <c r="G376">
        <f t="shared" si="54"/>
        <v>0</v>
      </c>
      <c r="H376">
        <v>0</v>
      </c>
      <c r="I376">
        <f t="shared" si="55"/>
        <v>0</v>
      </c>
      <c r="J376">
        <v>0</v>
      </c>
      <c r="K376" t="s">
        <v>1808</v>
      </c>
      <c r="L376" t="s">
        <v>1809</v>
      </c>
      <c r="M376" t="s">
        <v>27</v>
      </c>
      <c r="N376" t="s">
        <v>27</v>
      </c>
      <c r="O376">
        <v>16.48</v>
      </c>
      <c r="P376" t="s">
        <v>27</v>
      </c>
      <c r="Q376" t="s">
        <v>27</v>
      </c>
      <c r="R376">
        <v>31.0100002288818</v>
      </c>
      <c r="S376">
        <v>17.75</v>
      </c>
      <c r="T376">
        <v>15.8873596191406</v>
      </c>
      <c r="U376">
        <v>62.064605712890597</v>
      </c>
      <c r="V376">
        <v>5254000</v>
      </c>
      <c r="W376">
        <v>-11.8185415267944</v>
      </c>
      <c r="X376">
        <v>7.9999998211860698E-2</v>
      </c>
      <c r="Y376" t="s">
        <v>27</v>
      </c>
      <c r="Z376">
        <v>1.3396090269088701</v>
      </c>
      <c r="AA376">
        <v>16869000</v>
      </c>
      <c r="AB376" t="s">
        <v>73</v>
      </c>
      <c r="AC376" t="s">
        <v>74</v>
      </c>
      <c r="AD376">
        <v>0.140000000596046</v>
      </c>
      <c r="AE376">
        <v>61.461051940917997</v>
      </c>
      <c r="AF376">
        <v>13.917096803095101</v>
      </c>
      <c r="AG376">
        <v>25644000</v>
      </c>
      <c r="AH376">
        <v>0</v>
      </c>
      <c r="AI376">
        <v>-14.9574193954468</v>
      </c>
    </row>
    <row r="377" spans="1:35">
      <c r="A377">
        <f t="shared" si="48"/>
        <v>1</v>
      </c>
      <c r="B377">
        <f t="shared" si="49"/>
        <v>0</v>
      </c>
      <c r="C377">
        <f t="shared" si="50"/>
        <v>0</v>
      </c>
      <c r="D377">
        <f t="shared" si="51"/>
        <v>0</v>
      </c>
      <c r="E377">
        <f t="shared" si="52"/>
        <v>0</v>
      </c>
      <c r="F377">
        <f t="shared" si="53"/>
        <v>1</v>
      </c>
      <c r="G377">
        <f t="shared" si="54"/>
        <v>0</v>
      </c>
      <c r="H377">
        <v>0</v>
      </c>
      <c r="I377">
        <f t="shared" si="55"/>
        <v>0</v>
      </c>
      <c r="J377">
        <v>0</v>
      </c>
      <c r="K377" t="s">
        <v>1814</v>
      </c>
      <c r="L377" t="s">
        <v>1815</v>
      </c>
      <c r="M377" t="s">
        <v>27</v>
      </c>
      <c r="N377" t="s">
        <v>27</v>
      </c>
      <c r="O377">
        <v>3.02</v>
      </c>
      <c r="P377">
        <v>6.4873719215393102</v>
      </c>
      <c r="Q377" t="s">
        <v>27</v>
      </c>
      <c r="R377">
        <v>12.6000003814697</v>
      </c>
      <c r="S377">
        <v>21.25</v>
      </c>
      <c r="T377">
        <v>0.17413100600242601</v>
      </c>
      <c r="U377">
        <v>33.404483795166001</v>
      </c>
      <c r="V377">
        <v>-371000</v>
      </c>
      <c r="W377">
        <v>13.083607673645</v>
      </c>
      <c r="X377">
        <v>0.44999998807907099</v>
      </c>
      <c r="Y377">
        <v>6.2731280326843297</v>
      </c>
      <c r="Z377">
        <v>2.21187400817871</v>
      </c>
      <c r="AA377">
        <v>25788000</v>
      </c>
      <c r="AB377" t="s">
        <v>38</v>
      </c>
      <c r="AC377" t="s">
        <v>118</v>
      </c>
      <c r="AD377">
        <v>-0.93000000715255704</v>
      </c>
      <c r="AE377">
        <v>-101.16350555419901</v>
      </c>
      <c r="AF377" t="s">
        <v>27</v>
      </c>
      <c r="AG377">
        <v>26539000</v>
      </c>
      <c r="AH377">
        <v>0.132015004754066</v>
      </c>
      <c r="AI377">
        <v>0.447273999452591</v>
      </c>
    </row>
    <row r="378" spans="1:35">
      <c r="A378">
        <f t="shared" si="48"/>
        <v>1</v>
      </c>
      <c r="B378">
        <f t="shared" si="49"/>
        <v>0</v>
      </c>
      <c r="C378">
        <f t="shared" si="50"/>
        <v>0</v>
      </c>
      <c r="D378">
        <f t="shared" si="51"/>
        <v>1</v>
      </c>
      <c r="E378">
        <f t="shared" si="52"/>
        <v>0</v>
      </c>
      <c r="F378">
        <f t="shared" si="53"/>
        <v>1</v>
      </c>
      <c r="G378">
        <f t="shared" si="54"/>
        <v>0</v>
      </c>
      <c r="H378">
        <v>0</v>
      </c>
      <c r="I378">
        <f t="shared" si="55"/>
        <v>0</v>
      </c>
      <c r="J378">
        <v>0</v>
      </c>
      <c r="K378" t="s">
        <v>1816</v>
      </c>
      <c r="L378" t="s">
        <v>1817</v>
      </c>
      <c r="M378" t="s">
        <v>27</v>
      </c>
      <c r="N378" t="s">
        <v>27</v>
      </c>
      <c r="O378">
        <v>38.07</v>
      </c>
      <c r="P378">
        <v>6.5849528312683097</v>
      </c>
      <c r="Q378" t="s">
        <v>27</v>
      </c>
      <c r="R378">
        <v>36.799999237060497</v>
      </c>
      <c r="S378">
        <v>34.200000762939503</v>
      </c>
      <c r="T378">
        <v>33.0348510742188</v>
      </c>
      <c r="U378">
        <v>82.178230285644503</v>
      </c>
      <c r="V378">
        <v>-1515998.875</v>
      </c>
      <c r="W378">
        <v>3.9782559871673602</v>
      </c>
      <c r="X378">
        <v>0.490000009536743</v>
      </c>
      <c r="Y378">
        <v>7.6335878372192401</v>
      </c>
      <c r="Z378">
        <v>7.4709300994873002</v>
      </c>
      <c r="AA378">
        <v>26851000</v>
      </c>
      <c r="AB378" t="s">
        <v>254</v>
      </c>
      <c r="AC378" t="s">
        <v>426</v>
      </c>
      <c r="AD378">
        <v>0.75999999046325695</v>
      </c>
      <c r="AE378">
        <v>29.220649719238299</v>
      </c>
      <c r="AF378">
        <v>7.76266417940474</v>
      </c>
      <c r="AG378">
        <v>28726438</v>
      </c>
      <c r="AH378">
        <v>32.6270561218262</v>
      </c>
      <c r="AI378">
        <v>3.1774199008941699</v>
      </c>
    </row>
    <row r="379" spans="1:35">
      <c r="A379">
        <f t="shared" si="48"/>
        <v>1</v>
      </c>
      <c r="B379">
        <f t="shared" si="49"/>
        <v>0</v>
      </c>
      <c r="C379">
        <f t="shared" si="50"/>
        <v>1</v>
      </c>
      <c r="D379">
        <f t="shared" si="51"/>
        <v>1</v>
      </c>
      <c r="E379">
        <f t="shared" si="52"/>
        <v>0</v>
      </c>
      <c r="F379">
        <f t="shared" si="53"/>
        <v>0</v>
      </c>
      <c r="G379">
        <f t="shared" si="54"/>
        <v>0</v>
      </c>
      <c r="H379">
        <v>0</v>
      </c>
      <c r="I379">
        <f t="shared" si="55"/>
        <v>0</v>
      </c>
      <c r="J379">
        <v>0</v>
      </c>
      <c r="K379" t="s">
        <v>1822</v>
      </c>
      <c r="L379" t="s">
        <v>1823</v>
      </c>
      <c r="M379" t="s">
        <v>27</v>
      </c>
      <c r="N379" t="s">
        <v>27</v>
      </c>
      <c r="O379">
        <v>5.95</v>
      </c>
      <c r="P379">
        <v>-9.36456394195557</v>
      </c>
      <c r="Q379" t="s">
        <v>27</v>
      </c>
      <c r="R379">
        <v>43.209999084472699</v>
      </c>
      <c r="S379">
        <v>25.125</v>
      </c>
      <c r="T379">
        <v>1.06597805023193</v>
      </c>
      <c r="U379">
        <v>61.291225433349602</v>
      </c>
      <c r="V379">
        <v>421999.9375</v>
      </c>
      <c r="W379">
        <v>16.424617767333999</v>
      </c>
      <c r="X379">
        <v>-0.25</v>
      </c>
      <c r="Y379">
        <v>2.7024130821228001</v>
      </c>
      <c r="Z379">
        <v>2.4813148975372301</v>
      </c>
      <c r="AA379">
        <v>13190000</v>
      </c>
      <c r="AB379" t="s">
        <v>27</v>
      </c>
      <c r="AC379" t="s">
        <v>27</v>
      </c>
      <c r="AD379">
        <v>9.9999997764825804E-3</v>
      </c>
      <c r="AE379">
        <v>53.158145904541001</v>
      </c>
      <c r="AF379">
        <v>3.4157009562963601</v>
      </c>
      <c r="AG379">
        <v>17728000</v>
      </c>
      <c r="AH379">
        <v>2.1969999652355901E-3</v>
      </c>
      <c r="AI379">
        <v>-4.2728819847106898</v>
      </c>
    </row>
    <row r="380" spans="1:35">
      <c r="A380">
        <f t="shared" si="48"/>
        <v>1</v>
      </c>
      <c r="B380">
        <f t="shared" si="49"/>
        <v>0</v>
      </c>
      <c r="C380">
        <f t="shared" si="50"/>
        <v>1</v>
      </c>
      <c r="D380">
        <f t="shared" si="51"/>
        <v>0</v>
      </c>
      <c r="E380">
        <f t="shared" si="52"/>
        <v>0</v>
      </c>
      <c r="F380">
        <f t="shared" si="53"/>
        <v>0</v>
      </c>
      <c r="G380">
        <f t="shared" si="54"/>
        <v>0</v>
      </c>
      <c r="H380">
        <v>0</v>
      </c>
      <c r="I380">
        <f t="shared" si="55"/>
        <v>0</v>
      </c>
      <c r="J380">
        <v>0</v>
      </c>
      <c r="K380" t="s">
        <v>1826</v>
      </c>
      <c r="L380" t="s">
        <v>1827</v>
      </c>
      <c r="M380" t="s">
        <v>27</v>
      </c>
      <c r="N380" t="s">
        <v>27</v>
      </c>
      <c r="O380">
        <v>12.12</v>
      </c>
      <c r="P380">
        <v>2.59651899337769</v>
      </c>
      <c r="Q380" t="s">
        <v>27</v>
      </c>
      <c r="R380">
        <v>11.5900001525879</v>
      </c>
      <c r="S380">
        <v>13</v>
      </c>
      <c r="T380">
        <v>1.94772505760193</v>
      </c>
      <c r="U380" t="s">
        <v>27</v>
      </c>
      <c r="V380">
        <v>3422000</v>
      </c>
      <c r="W380">
        <v>23.623802185058601</v>
      </c>
      <c r="X380">
        <v>1.9999999552965199E-2</v>
      </c>
      <c r="Y380">
        <v>0.714286029338837</v>
      </c>
      <c r="Z380">
        <v>-2.0463850498199498</v>
      </c>
      <c r="AA380">
        <v>52711000</v>
      </c>
      <c r="AB380" t="s">
        <v>38</v>
      </c>
      <c r="AC380" t="s">
        <v>113</v>
      </c>
      <c r="AD380">
        <v>-9.00000035762787E-2</v>
      </c>
      <c r="AE380" t="s">
        <v>27</v>
      </c>
      <c r="AF380" t="s">
        <v>27</v>
      </c>
      <c r="AG380">
        <v>52602000</v>
      </c>
      <c r="AH380">
        <v>1.4605449438095099</v>
      </c>
      <c r="AI380">
        <v>-35.931182861328097</v>
      </c>
    </row>
    <row r="381" spans="1:35">
      <c r="A381">
        <f t="shared" si="48"/>
        <v>0</v>
      </c>
      <c r="B381">
        <f t="shared" si="49"/>
        <v>0</v>
      </c>
      <c r="C381">
        <f t="shared" si="50"/>
        <v>1</v>
      </c>
      <c r="D381">
        <f t="shared" si="51"/>
        <v>0</v>
      </c>
      <c r="E381">
        <f t="shared" si="52"/>
        <v>0</v>
      </c>
      <c r="F381">
        <f t="shared" si="53"/>
        <v>1</v>
      </c>
      <c r="G381">
        <f t="shared" si="54"/>
        <v>0</v>
      </c>
      <c r="H381">
        <v>0</v>
      </c>
      <c r="I381">
        <f t="shared" si="55"/>
        <v>0</v>
      </c>
      <c r="J381">
        <v>0</v>
      </c>
      <c r="K381" t="s">
        <v>1828</v>
      </c>
      <c r="L381" t="s">
        <v>1829</v>
      </c>
      <c r="M381" t="s">
        <v>27</v>
      </c>
      <c r="N381" t="s">
        <v>27</v>
      </c>
      <c r="O381">
        <v>2.75</v>
      </c>
      <c r="P381">
        <v>5.69561719894409</v>
      </c>
      <c r="Q381" t="s">
        <v>27</v>
      </c>
      <c r="R381">
        <v>5.4000000953674299</v>
      </c>
      <c r="S381">
        <v>9.875</v>
      </c>
      <c r="T381">
        <v>40.445255279541001</v>
      </c>
      <c r="U381">
        <v>30.208248138427699</v>
      </c>
      <c r="V381">
        <v>14084000</v>
      </c>
      <c r="W381">
        <v>2.2799909114837602</v>
      </c>
      <c r="X381">
        <v>0.18999999761581399</v>
      </c>
      <c r="Y381">
        <v>7.0274510383606001</v>
      </c>
      <c r="Z381">
        <v>7.4418601989746103</v>
      </c>
      <c r="AA381">
        <v>51035000</v>
      </c>
      <c r="AB381" t="s">
        <v>61</v>
      </c>
      <c r="AC381" t="s">
        <v>77</v>
      </c>
      <c r="AD381">
        <v>-0.82999998331069902</v>
      </c>
      <c r="AE381">
        <v>28.324874877929702</v>
      </c>
      <c r="AF381" t="s">
        <v>27</v>
      </c>
      <c r="AG381">
        <v>50821000</v>
      </c>
      <c r="AH381">
        <v>46.193473815917997</v>
      </c>
      <c r="AI381">
        <v>1.6789250373840301</v>
      </c>
    </row>
    <row r="382" spans="1:35">
      <c r="A382">
        <f t="shared" si="48"/>
        <v>0</v>
      </c>
      <c r="B382">
        <f t="shared" si="49"/>
        <v>0</v>
      </c>
      <c r="C382">
        <f t="shared" si="50"/>
        <v>0</v>
      </c>
      <c r="D382">
        <f t="shared" si="51"/>
        <v>0</v>
      </c>
      <c r="E382">
        <f t="shared" si="52"/>
        <v>0</v>
      </c>
      <c r="F382">
        <f t="shared" si="53"/>
        <v>0</v>
      </c>
      <c r="G382">
        <f t="shared" si="54"/>
        <v>1</v>
      </c>
      <c r="H382">
        <v>0</v>
      </c>
      <c r="I382">
        <f t="shared" si="55"/>
        <v>0</v>
      </c>
      <c r="J382">
        <v>0</v>
      </c>
      <c r="K382" t="s">
        <v>1834</v>
      </c>
      <c r="L382" t="s">
        <v>1835</v>
      </c>
      <c r="M382" t="s">
        <v>27</v>
      </c>
      <c r="N382" t="s">
        <v>27</v>
      </c>
      <c r="O382">
        <v>5.51</v>
      </c>
      <c r="P382" t="s">
        <v>27</v>
      </c>
      <c r="Q382" t="s">
        <v>27</v>
      </c>
      <c r="R382">
        <v>5.75</v>
      </c>
      <c r="S382">
        <v>4.2600002288818404</v>
      </c>
      <c r="T382">
        <v>25.528104782104499</v>
      </c>
      <c r="U382">
        <v>24.4472770690918</v>
      </c>
      <c r="V382">
        <v>-8459000</v>
      </c>
      <c r="W382">
        <v>1.5240720510482799</v>
      </c>
      <c r="X382">
        <v>-0.129999995231628</v>
      </c>
      <c r="Y382">
        <v>-3.8095240592956499</v>
      </c>
      <c r="Z382">
        <v>-20.000001907348601</v>
      </c>
      <c r="AA382">
        <v>56240000</v>
      </c>
      <c r="AB382" t="s">
        <v>27</v>
      </c>
      <c r="AC382" t="s">
        <v>27</v>
      </c>
      <c r="AD382">
        <v>-4.3899998664856001</v>
      </c>
      <c r="AE382">
        <v>27.195320129394499</v>
      </c>
      <c r="AF382">
        <v>6.0376496016389796</v>
      </c>
      <c r="AG382">
        <v>57767000</v>
      </c>
      <c r="AH382">
        <v>25.589513778686499</v>
      </c>
      <c r="AI382">
        <v>-2.1964468955993701</v>
      </c>
    </row>
    <row r="383" spans="1:35">
      <c r="A383">
        <f t="shared" si="48"/>
        <v>0</v>
      </c>
      <c r="B383">
        <f t="shared" si="49"/>
        <v>0</v>
      </c>
      <c r="C383">
        <f t="shared" si="50"/>
        <v>1</v>
      </c>
      <c r="D383">
        <f t="shared" si="51"/>
        <v>1</v>
      </c>
      <c r="E383">
        <f t="shared" si="52"/>
        <v>0</v>
      </c>
      <c r="F383">
        <f t="shared" si="53"/>
        <v>0</v>
      </c>
      <c r="G383">
        <f t="shared" si="54"/>
        <v>1</v>
      </c>
      <c r="H383">
        <v>0</v>
      </c>
      <c r="I383">
        <f t="shared" si="55"/>
        <v>0</v>
      </c>
      <c r="J383">
        <v>0</v>
      </c>
      <c r="K383" t="s">
        <v>1838</v>
      </c>
      <c r="L383" t="s">
        <v>1839</v>
      </c>
      <c r="M383" t="s">
        <v>27</v>
      </c>
      <c r="N383" t="s">
        <v>27</v>
      </c>
      <c r="O383">
        <v>5.93</v>
      </c>
      <c r="P383" t="s">
        <v>27</v>
      </c>
      <c r="Q383" t="s">
        <v>27</v>
      </c>
      <c r="R383">
        <v>6.8000001907348597</v>
      </c>
      <c r="S383">
        <v>2.375</v>
      </c>
      <c r="T383">
        <v>13.858695983886699</v>
      </c>
      <c r="U383">
        <v>84.412414550781307</v>
      </c>
      <c r="V383">
        <v>156000</v>
      </c>
      <c r="W383" t="s">
        <v>27</v>
      </c>
      <c r="X383">
        <v>-0.95999997854232799</v>
      </c>
      <c r="Y383" t="s">
        <v>27</v>
      </c>
      <c r="Z383">
        <v>-0.909090995788574</v>
      </c>
      <c r="AA383">
        <v>18032000</v>
      </c>
      <c r="AB383" t="s">
        <v>27</v>
      </c>
      <c r="AC383" t="s">
        <v>27</v>
      </c>
      <c r="AD383">
        <v>3.9999999105930301E-2</v>
      </c>
      <c r="AE383">
        <v>86.767120361328097</v>
      </c>
      <c r="AF383">
        <v>19.4234062417611</v>
      </c>
      <c r="AG383">
        <v>19676000</v>
      </c>
      <c r="AH383">
        <v>59.508342742919901</v>
      </c>
      <c r="AI383">
        <v>-165.28656005859401</v>
      </c>
    </row>
    <row r="384" spans="1:35">
      <c r="A384">
        <f t="shared" si="48"/>
        <v>0</v>
      </c>
      <c r="B384">
        <f t="shared" si="49"/>
        <v>1</v>
      </c>
      <c r="C384">
        <f t="shared" si="50"/>
        <v>0</v>
      </c>
      <c r="D384">
        <f t="shared" si="51"/>
        <v>0</v>
      </c>
      <c r="E384">
        <f t="shared" si="52"/>
        <v>0</v>
      </c>
      <c r="F384">
        <f t="shared" si="53"/>
        <v>0</v>
      </c>
      <c r="G384">
        <f t="shared" si="54"/>
        <v>1</v>
      </c>
      <c r="H384">
        <v>0</v>
      </c>
      <c r="I384">
        <f t="shared" si="55"/>
        <v>0</v>
      </c>
      <c r="J384">
        <v>0</v>
      </c>
      <c r="K384" t="s">
        <v>1840</v>
      </c>
      <c r="L384" t="s">
        <v>1841</v>
      </c>
      <c r="M384" t="s">
        <v>27</v>
      </c>
      <c r="N384" t="s">
        <v>27</v>
      </c>
      <c r="O384">
        <v>17.649999999999999</v>
      </c>
      <c r="P384" t="s">
        <v>27</v>
      </c>
      <c r="Q384" t="s">
        <v>27</v>
      </c>
      <c r="R384">
        <v>42.5</v>
      </c>
      <c r="S384">
        <v>41</v>
      </c>
      <c r="T384">
        <v>0</v>
      </c>
      <c r="U384">
        <v>61.968154907226598</v>
      </c>
      <c r="V384">
        <v>-16049000</v>
      </c>
      <c r="W384">
        <v>-120.075653076172</v>
      </c>
      <c r="X384">
        <v>-0.25</v>
      </c>
      <c r="Y384" t="s">
        <v>27</v>
      </c>
      <c r="Z384">
        <v>-5.4379091262817401</v>
      </c>
      <c r="AA384">
        <v>23892958</v>
      </c>
      <c r="AB384" t="s">
        <v>73</v>
      </c>
      <c r="AC384" t="s">
        <v>141</v>
      </c>
      <c r="AD384">
        <v>-0.56000000238418601</v>
      </c>
      <c r="AE384">
        <v>65.402969360351605</v>
      </c>
      <c r="AF384" t="s">
        <v>27</v>
      </c>
      <c r="AG384">
        <v>28286000</v>
      </c>
      <c r="AH384">
        <v>33.167312622070298</v>
      </c>
      <c r="AI384">
        <v>-23.369188308715799</v>
      </c>
    </row>
    <row r="385" spans="1:35">
      <c r="A385">
        <f t="shared" si="48"/>
        <v>0</v>
      </c>
      <c r="B385">
        <f t="shared" si="49"/>
        <v>1</v>
      </c>
      <c r="C385">
        <f t="shared" si="50"/>
        <v>0</v>
      </c>
      <c r="D385">
        <f t="shared" si="51"/>
        <v>0</v>
      </c>
      <c r="E385">
        <f t="shared" si="52"/>
        <v>0</v>
      </c>
      <c r="F385">
        <f t="shared" si="53"/>
        <v>0</v>
      </c>
      <c r="G385">
        <f t="shared" si="54"/>
        <v>0</v>
      </c>
      <c r="H385">
        <v>0</v>
      </c>
      <c r="I385">
        <f t="shared" si="55"/>
        <v>0</v>
      </c>
      <c r="J385">
        <v>0</v>
      </c>
      <c r="K385" t="s">
        <v>1858</v>
      </c>
      <c r="L385" t="s">
        <v>1859</v>
      </c>
      <c r="M385" t="s">
        <v>27</v>
      </c>
      <c r="N385" t="s">
        <v>27</v>
      </c>
      <c r="O385">
        <v>2.58</v>
      </c>
      <c r="P385" t="s">
        <v>27</v>
      </c>
      <c r="Q385" t="s">
        <v>27</v>
      </c>
      <c r="R385">
        <v>7.1599998474121103</v>
      </c>
      <c r="S385">
        <v>33.5625</v>
      </c>
      <c r="T385">
        <v>0</v>
      </c>
      <c r="U385">
        <v>69.740715026855497</v>
      </c>
      <c r="V385">
        <v>-51000.1171875</v>
      </c>
      <c r="W385">
        <v>-32.282676696777301</v>
      </c>
      <c r="X385">
        <v>-7.9999998211860698E-2</v>
      </c>
      <c r="Y385" t="s">
        <v>27</v>
      </c>
      <c r="Z385">
        <v>0.25906699895858798</v>
      </c>
      <c r="AA385">
        <v>99000000</v>
      </c>
      <c r="AB385" t="s">
        <v>27</v>
      </c>
      <c r="AC385" t="s">
        <v>27</v>
      </c>
      <c r="AD385">
        <v>-0.38999998569488498</v>
      </c>
      <c r="AE385">
        <v>65.428970336914105</v>
      </c>
      <c r="AF385" t="s">
        <v>27</v>
      </c>
      <c r="AG385">
        <v>102874000</v>
      </c>
      <c r="AH385">
        <v>0</v>
      </c>
      <c r="AI385">
        <v>-10.5567712783813</v>
      </c>
    </row>
    <row r="386" spans="1:35">
      <c r="A386">
        <f t="shared" si="48"/>
        <v>1</v>
      </c>
      <c r="B386">
        <f t="shared" si="49"/>
        <v>1</v>
      </c>
      <c r="C386">
        <f t="shared" si="50"/>
        <v>0</v>
      </c>
      <c r="D386">
        <f t="shared" si="51"/>
        <v>0</v>
      </c>
      <c r="E386">
        <f t="shared" si="52"/>
        <v>0</v>
      </c>
      <c r="F386">
        <f t="shared" si="53"/>
        <v>0</v>
      </c>
      <c r="G386">
        <f t="shared" si="54"/>
        <v>1</v>
      </c>
      <c r="H386">
        <v>0</v>
      </c>
      <c r="I386">
        <f t="shared" si="55"/>
        <v>0</v>
      </c>
      <c r="J386">
        <v>0</v>
      </c>
      <c r="K386" t="s">
        <v>1860</v>
      </c>
      <c r="L386" t="s">
        <v>1861</v>
      </c>
      <c r="M386" t="s">
        <v>27</v>
      </c>
      <c r="N386" t="s">
        <v>27</v>
      </c>
      <c r="O386">
        <v>6.41</v>
      </c>
      <c r="P386" t="s">
        <v>27</v>
      </c>
      <c r="Q386" t="s">
        <v>27</v>
      </c>
      <c r="R386">
        <v>9.25</v>
      </c>
      <c r="S386">
        <v>8.375</v>
      </c>
      <c r="T386">
        <v>2.8649370670318599</v>
      </c>
      <c r="U386">
        <v>40.094158172607401</v>
      </c>
      <c r="V386">
        <v>-11388000</v>
      </c>
      <c r="W386">
        <v>-58.813198089599602</v>
      </c>
      <c r="X386">
        <v>-0.119999997317791</v>
      </c>
      <c r="Y386" t="s">
        <v>27</v>
      </c>
      <c r="Z386">
        <v>-7.4038457870483398</v>
      </c>
      <c r="AA386">
        <v>35679784</v>
      </c>
      <c r="AB386" t="s">
        <v>73</v>
      </c>
      <c r="AC386" t="s">
        <v>74</v>
      </c>
      <c r="AD386">
        <v>-0.129999995231628</v>
      </c>
      <c r="AE386">
        <v>47.058280944824197</v>
      </c>
      <c r="AF386" t="s">
        <v>27</v>
      </c>
      <c r="AG386">
        <v>36199000</v>
      </c>
      <c r="AH386">
        <v>2.8542399406433101</v>
      </c>
      <c r="AI386">
        <v>-25.2226371765137</v>
      </c>
    </row>
    <row r="387" spans="1:35">
      <c r="A387">
        <f t="shared" si="48"/>
        <v>1</v>
      </c>
      <c r="B387">
        <f t="shared" si="49"/>
        <v>1</v>
      </c>
      <c r="C387">
        <f t="shared" si="50"/>
        <v>0</v>
      </c>
      <c r="D387">
        <f t="shared" si="51"/>
        <v>0</v>
      </c>
      <c r="E387">
        <f t="shared" si="52"/>
        <v>0</v>
      </c>
      <c r="F387">
        <f t="shared" si="53"/>
        <v>1</v>
      </c>
      <c r="G387">
        <f t="shared" si="54"/>
        <v>0</v>
      </c>
      <c r="H387">
        <v>0</v>
      </c>
      <c r="I387">
        <f t="shared" si="55"/>
        <v>0</v>
      </c>
      <c r="J387">
        <v>0</v>
      </c>
      <c r="K387" t="s">
        <v>1866</v>
      </c>
      <c r="L387" t="s">
        <v>1867</v>
      </c>
      <c r="M387" t="s">
        <v>27</v>
      </c>
      <c r="N387" t="s">
        <v>27</v>
      </c>
      <c r="O387">
        <v>9.4499999999999993</v>
      </c>
      <c r="P387">
        <v>35.041919708252003</v>
      </c>
      <c r="Q387" t="s">
        <v>27</v>
      </c>
      <c r="R387">
        <v>9.3299999237060494</v>
      </c>
      <c r="S387">
        <v>20.650000572204601</v>
      </c>
      <c r="T387">
        <v>5.9711380004882804</v>
      </c>
      <c r="U387">
        <v>40.806114196777301</v>
      </c>
      <c r="V387">
        <v>-13149000</v>
      </c>
      <c r="W387">
        <v>-13.412989616394</v>
      </c>
      <c r="X387">
        <v>1.0199999809265099</v>
      </c>
      <c r="Y387">
        <v>7.9036149978637704</v>
      </c>
      <c r="Z387">
        <v>2.6229510307311998</v>
      </c>
      <c r="AA387">
        <v>54122803.200000003</v>
      </c>
      <c r="AB387" t="s">
        <v>27</v>
      </c>
      <c r="AC387" t="s">
        <v>27</v>
      </c>
      <c r="AD387">
        <v>-1.31999999284744</v>
      </c>
      <c r="AE387">
        <v>17.6440544128418</v>
      </c>
      <c r="AF387">
        <v>1.1812184129429899</v>
      </c>
      <c r="AG387">
        <v>52833801.600000001</v>
      </c>
      <c r="AH387">
        <v>0.24286299943924</v>
      </c>
      <c r="AI387">
        <v>22.272144317626999</v>
      </c>
    </row>
    <row r="388" spans="1:35">
      <c r="A388">
        <f t="shared" si="48"/>
        <v>1</v>
      </c>
      <c r="B388">
        <f t="shared" si="49"/>
        <v>0</v>
      </c>
      <c r="C388">
        <f t="shared" si="50"/>
        <v>1</v>
      </c>
      <c r="D388">
        <f t="shared" si="51"/>
        <v>1</v>
      </c>
      <c r="E388">
        <f t="shared" si="52"/>
        <v>0</v>
      </c>
      <c r="F388">
        <f t="shared" si="53"/>
        <v>0</v>
      </c>
      <c r="G388">
        <f t="shared" si="54"/>
        <v>1</v>
      </c>
      <c r="H388">
        <v>0</v>
      </c>
      <c r="I388">
        <f t="shared" si="55"/>
        <v>0</v>
      </c>
      <c r="J388">
        <v>0</v>
      </c>
      <c r="K388" t="s">
        <v>1868</v>
      </c>
      <c r="L388" t="s">
        <v>1869</v>
      </c>
      <c r="M388" t="s">
        <v>27</v>
      </c>
      <c r="N388" t="s">
        <v>27</v>
      </c>
      <c r="O388">
        <v>3.97</v>
      </c>
      <c r="P388" t="s">
        <v>27</v>
      </c>
      <c r="Q388" t="s">
        <v>27</v>
      </c>
      <c r="R388">
        <v>8.6499996185302699</v>
      </c>
      <c r="S388">
        <v>12</v>
      </c>
      <c r="T388">
        <v>2.1581981182098402</v>
      </c>
      <c r="U388">
        <v>-1.16383397579193</v>
      </c>
      <c r="V388">
        <v>4549000</v>
      </c>
      <c r="W388" t="s">
        <v>27</v>
      </c>
      <c r="X388">
        <v>-0.18999999761581399</v>
      </c>
      <c r="Y388">
        <v>-13.030927658081101</v>
      </c>
      <c r="Z388">
        <v>-2.20048904418945</v>
      </c>
      <c r="AA388">
        <v>50780000</v>
      </c>
      <c r="AB388" t="s">
        <v>328</v>
      </c>
      <c r="AC388" t="s">
        <v>403</v>
      </c>
      <c r="AD388">
        <v>5.0000000745058101E-2</v>
      </c>
      <c r="AE388">
        <v>31.6060485839844</v>
      </c>
      <c r="AF388" t="s">
        <v>27</v>
      </c>
      <c r="AG388">
        <v>51322000</v>
      </c>
      <c r="AH388">
        <v>0.59952402114868197</v>
      </c>
      <c r="AI388">
        <v>-17.747207641601602</v>
      </c>
    </row>
    <row r="389" spans="1:35">
      <c r="A389">
        <f t="shared" si="48"/>
        <v>0</v>
      </c>
      <c r="B389">
        <f t="shared" si="49"/>
        <v>0</v>
      </c>
      <c r="C389">
        <f t="shared" si="50"/>
        <v>0</v>
      </c>
      <c r="D389">
        <f t="shared" si="51"/>
        <v>0</v>
      </c>
      <c r="E389">
        <f t="shared" si="52"/>
        <v>0</v>
      </c>
      <c r="F389">
        <f t="shared" si="53"/>
        <v>0</v>
      </c>
      <c r="G389">
        <f t="shared" si="54"/>
        <v>0</v>
      </c>
      <c r="H389">
        <v>0</v>
      </c>
      <c r="I389">
        <f t="shared" si="55"/>
        <v>0</v>
      </c>
      <c r="J389">
        <v>0</v>
      </c>
      <c r="K389" t="s">
        <v>1870</v>
      </c>
      <c r="L389" t="s">
        <v>1871</v>
      </c>
      <c r="M389" t="s">
        <v>27</v>
      </c>
      <c r="N389" t="s">
        <v>27</v>
      </c>
      <c r="O389">
        <v>2.29</v>
      </c>
      <c r="P389" t="s">
        <v>27</v>
      </c>
      <c r="Q389" t="s">
        <v>27</v>
      </c>
      <c r="R389">
        <v>9.8000001907348597</v>
      </c>
      <c r="S389">
        <v>12.3800001144409</v>
      </c>
      <c r="T389">
        <v>25.293651580810501</v>
      </c>
      <c r="U389">
        <v>86.318641662597699</v>
      </c>
      <c r="V389">
        <v>-16024000</v>
      </c>
      <c r="W389">
        <v>-9.9213304519653303</v>
      </c>
      <c r="X389">
        <v>-1.2599999904632599</v>
      </c>
      <c r="Y389">
        <v>-40</v>
      </c>
      <c r="Z389">
        <v>-79.444442749023395</v>
      </c>
      <c r="AA389">
        <v>63927000</v>
      </c>
      <c r="AB389" t="s">
        <v>27</v>
      </c>
      <c r="AC389" t="s">
        <v>27</v>
      </c>
      <c r="AD389">
        <v>-2.3099999427795401</v>
      </c>
      <c r="AE389">
        <v>83.839881896972699</v>
      </c>
      <c r="AF389" t="s">
        <v>27</v>
      </c>
      <c r="AG389">
        <v>64610000</v>
      </c>
      <c r="AH389">
        <v>35.920394897460902</v>
      </c>
      <c r="AI389">
        <v>-11.101838111877401</v>
      </c>
    </row>
    <row r="390" spans="1:35">
      <c r="A390">
        <f t="shared" si="48"/>
        <v>1</v>
      </c>
      <c r="B390">
        <f t="shared" si="49"/>
        <v>1</v>
      </c>
      <c r="C390">
        <f t="shared" si="50"/>
        <v>1</v>
      </c>
      <c r="D390">
        <f t="shared" si="51"/>
        <v>0</v>
      </c>
      <c r="E390">
        <f t="shared" si="52"/>
        <v>0</v>
      </c>
      <c r="F390">
        <f t="shared" si="53"/>
        <v>0</v>
      </c>
      <c r="G390">
        <f t="shared" si="54"/>
        <v>0</v>
      </c>
      <c r="H390">
        <v>0</v>
      </c>
      <c r="I390">
        <f t="shared" si="55"/>
        <v>0</v>
      </c>
      <c r="J390">
        <v>0</v>
      </c>
      <c r="K390" t="s">
        <v>1872</v>
      </c>
      <c r="L390" t="s">
        <v>1873</v>
      </c>
      <c r="M390" t="s">
        <v>27</v>
      </c>
      <c r="N390" t="s">
        <v>27</v>
      </c>
      <c r="O390">
        <v>5.99</v>
      </c>
      <c r="P390" t="s">
        <v>27</v>
      </c>
      <c r="Q390" t="s">
        <v>27</v>
      </c>
      <c r="R390">
        <v>17.399999618530298</v>
      </c>
      <c r="S390">
        <v>12.375</v>
      </c>
      <c r="T390">
        <v>56.558406829833999</v>
      </c>
      <c r="U390" t="s">
        <v>27</v>
      </c>
      <c r="V390">
        <v>26851000</v>
      </c>
      <c r="W390">
        <v>-59.468521118164098</v>
      </c>
      <c r="X390">
        <v>-0.15000000596046401</v>
      </c>
      <c r="Y390">
        <v>-14.6956520080566</v>
      </c>
      <c r="Z390">
        <v>-10.439883232116699</v>
      </c>
      <c r="AA390">
        <v>38474000</v>
      </c>
      <c r="AB390" t="s">
        <v>73</v>
      </c>
      <c r="AC390" t="s">
        <v>141</v>
      </c>
      <c r="AD390">
        <v>-0.28999999165535001</v>
      </c>
      <c r="AE390" t="s">
        <v>27</v>
      </c>
      <c r="AF390" t="s">
        <v>27</v>
      </c>
      <c r="AG390">
        <v>47088000</v>
      </c>
      <c r="AH390">
        <v>44.525360107421903</v>
      </c>
      <c r="AI390">
        <v>-37.354686737060497</v>
      </c>
    </row>
    <row r="391" spans="1:35">
      <c r="A391">
        <f t="shared" si="48"/>
        <v>0</v>
      </c>
      <c r="B391">
        <f t="shared" si="49"/>
        <v>1</v>
      </c>
      <c r="C391">
        <f t="shared" si="50"/>
        <v>0</v>
      </c>
      <c r="D391">
        <f t="shared" si="51"/>
        <v>0</v>
      </c>
      <c r="E391">
        <f t="shared" si="52"/>
        <v>0</v>
      </c>
      <c r="F391">
        <f t="shared" si="53"/>
        <v>0</v>
      </c>
      <c r="G391">
        <f t="shared" si="54"/>
        <v>1</v>
      </c>
      <c r="H391">
        <v>0</v>
      </c>
      <c r="I391">
        <f t="shared" si="55"/>
        <v>0</v>
      </c>
      <c r="J391">
        <v>0</v>
      </c>
      <c r="K391" t="s">
        <v>1884</v>
      </c>
      <c r="L391" t="s">
        <v>1885</v>
      </c>
      <c r="M391" t="s">
        <v>27</v>
      </c>
      <c r="N391" t="s">
        <v>27</v>
      </c>
      <c r="O391">
        <v>2.4</v>
      </c>
      <c r="P391" t="s">
        <v>27</v>
      </c>
      <c r="Q391" t="s">
        <v>27</v>
      </c>
      <c r="R391">
        <v>6.3099999427795401</v>
      </c>
      <c r="S391">
        <v>13</v>
      </c>
      <c r="T391">
        <v>2.7546970844268799</v>
      </c>
      <c r="U391">
        <v>11.984682083129901</v>
      </c>
      <c r="V391">
        <v>-14945000</v>
      </c>
      <c r="W391">
        <v>-36.519802093505902</v>
      </c>
      <c r="X391">
        <v>-0.15999999642372101</v>
      </c>
      <c r="Y391">
        <v>-4.6495728492736799</v>
      </c>
      <c r="Z391">
        <v>-41.568626403808601</v>
      </c>
      <c r="AA391">
        <v>43928000</v>
      </c>
      <c r="AB391" t="s">
        <v>27</v>
      </c>
      <c r="AC391" t="s">
        <v>27</v>
      </c>
      <c r="AD391">
        <v>-0.44999998807907099</v>
      </c>
      <c r="AE391">
        <v>13.484835624694799</v>
      </c>
      <c r="AF391" t="s">
        <v>27</v>
      </c>
      <c r="AG391">
        <v>45505000</v>
      </c>
      <c r="AH391">
        <v>3.3901801109314</v>
      </c>
      <c r="AI391">
        <v>-29.231077194213899</v>
      </c>
    </row>
    <row r="392" spans="1:35">
      <c r="A392">
        <f t="shared" si="48"/>
        <v>1</v>
      </c>
      <c r="B392">
        <f t="shared" si="49"/>
        <v>1</v>
      </c>
      <c r="C392">
        <f t="shared" si="50"/>
        <v>0</v>
      </c>
      <c r="D392">
        <f t="shared" si="51"/>
        <v>0</v>
      </c>
      <c r="E392">
        <f t="shared" si="52"/>
        <v>0</v>
      </c>
      <c r="F392">
        <f t="shared" si="53"/>
        <v>1</v>
      </c>
      <c r="G392">
        <f t="shared" si="54"/>
        <v>0</v>
      </c>
      <c r="H392">
        <v>0</v>
      </c>
      <c r="I392">
        <f t="shared" si="55"/>
        <v>0</v>
      </c>
      <c r="J392">
        <v>0</v>
      </c>
      <c r="K392" t="s">
        <v>1890</v>
      </c>
      <c r="L392" t="s">
        <v>1891</v>
      </c>
      <c r="M392" t="s">
        <v>27</v>
      </c>
      <c r="N392" t="s">
        <v>27</v>
      </c>
      <c r="O392">
        <v>12.1</v>
      </c>
      <c r="P392" t="s">
        <v>27</v>
      </c>
      <c r="Q392" t="s">
        <v>27</v>
      </c>
      <c r="R392">
        <v>14.3333333333333</v>
      </c>
      <c r="S392">
        <v>17</v>
      </c>
      <c r="T392">
        <v>20.1049919128418</v>
      </c>
      <c r="U392">
        <v>36.531150817871101</v>
      </c>
      <c r="V392">
        <v>-8974000</v>
      </c>
      <c r="W392">
        <v>-0.63084799051284801</v>
      </c>
      <c r="X392">
        <v>0.23333332935969001</v>
      </c>
      <c r="Y392">
        <v>4.9000000953674299</v>
      </c>
      <c r="Z392">
        <v>9.0399999618530291</v>
      </c>
      <c r="AA392">
        <v>15067500</v>
      </c>
      <c r="AB392" t="s">
        <v>27</v>
      </c>
      <c r="AC392" t="s">
        <v>27</v>
      </c>
      <c r="AD392">
        <v>0.15333333611488301</v>
      </c>
      <c r="AE392">
        <v>32.836429595947301</v>
      </c>
      <c r="AF392">
        <v>4.8946101868385501</v>
      </c>
      <c r="AG392">
        <v>17998500</v>
      </c>
      <c r="AH392">
        <v>11.031299591064499</v>
      </c>
      <c r="AI392">
        <v>11.023084640502899</v>
      </c>
    </row>
    <row r="393" spans="1:35">
      <c r="A393">
        <f t="shared" si="48"/>
        <v>1</v>
      </c>
      <c r="B393">
        <f t="shared" si="49"/>
        <v>1</v>
      </c>
      <c r="C393">
        <f t="shared" si="50"/>
        <v>1</v>
      </c>
      <c r="D393">
        <f t="shared" si="51"/>
        <v>1</v>
      </c>
      <c r="E393">
        <f t="shared" si="52"/>
        <v>0</v>
      </c>
      <c r="F393">
        <f t="shared" si="53"/>
        <v>0</v>
      </c>
      <c r="G393">
        <f t="shared" si="54"/>
        <v>1</v>
      </c>
      <c r="H393">
        <v>0</v>
      </c>
      <c r="I393">
        <f t="shared" si="55"/>
        <v>1</v>
      </c>
      <c r="J393">
        <v>0</v>
      </c>
      <c r="K393" t="s">
        <v>1894</v>
      </c>
      <c r="L393" t="s">
        <v>1895</v>
      </c>
      <c r="M393" t="s">
        <v>27</v>
      </c>
      <c r="N393" t="s">
        <v>27</v>
      </c>
      <c r="O393">
        <v>19.170000000000002</v>
      </c>
      <c r="P393" t="s">
        <v>27</v>
      </c>
      <c r="Q393" t="s">
        <v>27</v>
      </c>
      <c r="R393">
        <v>4.5999999046325701</v>
      </c>
      <c r="S393">
        <v>3.125</v>
      </c>
      <c r="T393">
        <v>4.6517930030822798</v>
      </c>
      <c r="U393">
        <v>47.672996520996101</v>
      </c>
      <c r="V393">
        <v>103000</v>
      </c>
      <c r="W393">
        <v>-50.452217102050803</v>
      </c>
      <c r="X393">
        <v>-0.66000002622604403</v>
      </c>
      <c r="Y393">
        <v>-39.771427154541001</v>
      </c>
      <c r="Z393">
        <v>-15.634218215942401</v>
      </c>
      <c r="AA393">
        <v>8972000</v>
      </c>
      <c r="AB393" t="s">
        <v>38</v>
      </c>
      <c r="AC393" t="s">
        <v>157</v>
      </c>
      <c r="AD393">
        <v>-0.129999995231628</v>
      </c>
      <c r="AE393">
        <v>60.602535247802699</v>
      </c>
      <c r="AF393" t="s">
        <v>27</v>
      </c>
      <c r="AG393">
        <v>11121000</v>
      </c>
      <c r="AH393">
        <v>2.12966704368591</v>
      </c>
      <c r="AI393">
        <v>-35.857048034667997</v>
      </c>
    </row>
    <row r="394" spans="1:35">
      <c r="A394">
        <f t="shared" si="48"/>
        <v>0</v>
      </c>
      <c r="B394">
        <f t="shared" si="49"/>
        <v>0</v>
      </c>
      <c r="C394">
        <f t="shared" si="50"/>
        <v>1</v>
      </c>
      <c r="D394">
        <f t="shared" si="51"/>
        <v>0</v>
      </c>
      <c r="E394">
        <f t="shared" si="52"/>
        <v>0</v>
      </c>
      <c r="F394">
        <f t="shared" si="53"/>
        <v>1</v>
      </c>
      <c r="G394">
        <f t="shared" si="54"/>
        <v>1</v>
      </c>
      <c r="H394">
        <v>0</v>
      </c>
      <c r="I394">
        <f t="shared" si="55"/>
        <v>0</v>
      </c>
      <c r="J394">
        <v>0</v>
      </c>
      <c r="K394" t="s">
        <v>1896</v>
      </c>
      <c r="L394" t="s">
        <v>1897</v>
      </c>
      <c r="M394" t="s">
        <v>27</v>
      </c>
      <c r="N394" t="s">
        <v>27</v>
      </c>
      <c r="O394">
        <v>16.100000000000001</v>
      </c>
      <c r="P394">
        <v>20.393327713012699</v>
      </c>
      <c r="Q394" t="s">
        <v>27</v>
      </c>
      <c r="R394">
        <v>28</v>
      </c>
      <c r="S394">
        <v>28</v>
      </c>
      <c r="T394">
        <v>31.384340286254901</v>
      </c>
      <c r="U394">
        <v>20.233362197876001</v>
      </c>
      <c r="V394" t="s">
        <v>27</v>
      </c>
      <c r="W394">
        <v>11.521471977233899</v>
      </c>
      <c r="X394">
        <v>1.12000000476837</v>
      </c>
      <c r="Y394">
        <v>9.1895036697387695</v>
      </c>
      <c r="Z394">
        <v>7.57142877578735</v>
      </c>
      <c r="AA394">
        <v>38348624</v>
      </c>
      <c r="AB394" t="s">
        <v>30</v>
      </c>
      <c r="AC394" t="s">
        <v>223</v>
      </c>
      <c r="AD394">
        <v>0.52999997138977095</v>
      </c>
      <c r="AE394">
        <v>66.650924682617202</v>
      </c>
      <c r="AF394" t="s">
        <v>27</v>
      </c>
      <c r="AG394" t="s">
        <v>27</v>
      </c>
      <c r="AH394" t="s">
        <v>27</v>
      </c>
      <c r="AI394">
        <v>8.4889888763427699</v>
      </c>
    </row>
    <row r="395" spans="1:35">
      <c r="A395">
        <f t="shared" si="48"/>
        <v>0</v>
      </c>
      <c r="B395">
        <f t="shared" si="49"/>
        <v>0</v>
      </c>
      <c r="C395">
        <f t="shared" si="50"/>
        <v>1</v>
      </c>
      <c r="D395">
        <f t="shared" si="51"/>
        <v>0</v>
      </c>
      <c r="E395">
        <f t="shared" si="52"/>
        <v>0</v>
      </c>
      <c r="F395">
        <f t="shared" si="53"/>
        <v>1</v>
      </c>
      <c r="G395">
        <f t="shared" si="54"/>
        <v>1</v>
      </c>
      <c r="H395">
        <v>0</v>
      </c>
      <c r="I395">
        <f t="shared" si="55"/>
        <v>1</v>
      </c>
      <c r="J395">
        <v>0</v>
      </c>
      <c r="K395" t="s">
        <v>1902</v>
      </c>
      <c r="L395" t="s">
        <v>1903</v>
      </c>
      <c r="M395" t="s">
        <v>27</v>
      </c>
      <c r="N395" t="s">
        <v>27</v>
      </c>
      <c r="O395">
        <v>26.45</v>
      </c>
      <c r="P395">
        <v>6.2073769569396999</v>
      </c>
      <c r="Q395" t="s">
        <v>27</v>
      </c>
      <c r="R395">
        <v>9.5</v>
      </c>
      <c r="S395">
        <v>6.6500000953674299</v>
      </c>
      <c r="T395">
        <v>41.7499389648438</v>
      </c>
      <c r="U395">
        <v>23.8145751953125</v>
      </c>
      <c r="V395">
        <v>25775000</v>
      </c>
      <c r="W395">
        <v>11.5707664489746</v>
      </c>
      <c r="X395">
        <v>0.129999995231628</v>
      </c>
      <c r="Y395">
        <v>7.4216871261596697</v>
      </c>
      <c r="Z395">
        <v>9.9130430221557599</v>
      </c>
      <c r="AA395">
        <v>12658000</v>
      </c>
      <c r="AB395" t="s">
        <v>30</v>
      </c>
      <c r="AC395" t="s">
        <v>410</v>
      </c>
      <c r="AD395">
        <v>-6.5199999809265101</v>
      </c>
      <c r="AE395">
        <v>24.512306213378899</v>
      </c>
      <c r="AF395">
        <v>9.8524411044187801</v>
      </c>
      <c r="AG395">
        <v>12762000</v>
      </c>
      <c r="AH395">
        <v>55.884578704833999</v>
      </c>
      <c r="AI395">
        <v>1.5203319787979099</v>
      </c>
    </row>
    <row r="396" spans="1:35">
      <c r="A396">
        <f t="shared" si="48"/>
        <v>0</v>
      </c>
      <c r="B396">
        <f t="shared" si="49"/>
        <v>0</v>
      </c>
      <c r="C396">
        <f t="shared" si="50"/>
        <v>1</v>
      </c>
      <c r="D396">
        <f t="shared" si="51"/>
        <v>0</v>
      </c>
      <c r="E396">
        <f t="shared" si="52"/>
        <v>1</v>
      </c>
      <c r="F396">
        <f t="shared" si="53"/>
        <v>1</v>
      </c>
      <c r="G396">
        <f t="shared" si="54"/>
        <v>0</v>
      </c>
      <c r="H396">
        <v>0</v>
      </c>
      <c r="I396">
        <f t="shared" si="55"/>
        <v>0</v>
      </c>
      <c r="J396">
        <v>0</v>
      </c>
      <c r="K396" t="s">
        <v>1908</v>
      </c>
      <c r="L396" t="s">
        <v>1909</v>
      </c>
      <c r="M396" t="s">
        <v>27</v>
      </c>
      <c r="N396" t="s">
        <v>27</v>
      </c>
      <c r="O396">
        <v>11.42</v>
      </c>
      <c r="P396" t="s">
        <v>27</v>
      </c>
      <c r="Q396" t="s">
        <v>27</v>
      </c>
      <c r="R396">
        <v>12.4799995422363</v>
      </c>
      <c r="S396">
        <v>12.1599998474121</v>
      </c>
      <c r="T396" t="s">
        <v>27</v>
      </c>
      <c r="U396" t="s">
        <v>27</v>
      </c>
      <c r="V396" t="s">
        <v>27</v>
      </c>
      <c r="W396" t="s">
        <v>27</v>
      </c>
      <c r="X396" t="s">
        <v>27</v>
      </c>
      <c r="Y396" t="s">
        <v>27</v>
      </c>
      <c r="Z396" t="s">
        <v>27</v>
      </c>
      <c r="AA396" t="s">
        <v>27</v>
      </c>
      <c r="AB396" t="s">
        <v>27</v>
      </c>
      <c r="AC396" t="s">
        <v>27</v>
      </c>
      <c r="AD396" t="s">
        <v>27</v>
      </c>
      <c r="AE396" t="s">
        <v>27</v>
      </c>
      <c r="AF396" t="s">
        <v>27</v>
      </c>
      <c r="AG396" t="s">
        <v>27</v>
      </c>
      <c r="AH396" t="s">
        <v>27</v>
      </c>
      <c r="AI396" t="s">
        <v>27</v>
      </c>
    </row>
    <row r="397" spans="1:35">
      <c r="A397">
        <f t="shared" si="48"/>
        <v>0</v>
      </c>
      <c r="B397">
        <f t="shared" si="49"/>
        <v>0</v>
      </c>
      <c r="C397">
        <f t="shared" si="50"/>
        <v>1</v>
      </c>
      <c r="D397">
        <f t="shared" si="51"/>
        <v>0</v>
      </c>
      <c r="E397">
        <f t="shared" si="52"/>
        <v>0</v>
      </c>
      <c r="F397">
        <f t="shared" si="53"/>
        <v>0</v>
      </c>
      <c r="G397">
        <f t="shared" si="54"/>
        <v>0</v>
      </c>
      <c r="H397">
        <v>0</v>
      </c>
      <c r="I397">
        <f t="shared" si="55"/>
        <v>1</v>
      </c>
      <c r="J397">
        <v>0</v>
      </c>
      <c r="K397" t="s">
        <v>1916</v>
      </c>
      <c r="L397" t="s">
        <v>1917</v>
      </c>
      <c r="M397" t="s">
        <v>27</v>
      </c>
      <c r="N397" t="s">
        <v>27</v>
      </c>
      <c r="O397">
        <v>26.18</v>
      </c>
      <c r="P397">
        <v>5.9272270202636701</v>
      </c>
      <c r="Q397" t="s">
        <v>27</v>
      </c>
      <c r="R397">
        <v>10.699999809265099</v>
      </c>
      <c r="S397">
        <v>5.5999999046325701</v>
      </c>
      <c r="T397">
        <v>33.885337829589801</v>
      </c>
      <c r="U397">
        <v>47.558620452880902</v>
      </c>
      <c r="V397">
        <v>24699998</v>
      </c>
      <c r="W397">
        <v>3.5351788997650102</v>
      </c>
      <c r="X397">
        <v>0.17000000178813901</v>
      </c>
      <c r="Y397">
        <v>16.761905670166001</v>
      </c>
      <c r="Z397">
        <v>-20.820188522338899</v>
      </c>
      <c r="AA397">
        <v>18175000</v>
      </c>
      <c r="AB397" t="s">
        <v>27</v>
      </c>
      <c r="AC397" t="s">
        <v>27</v>
      </c>
      <c r="AD397">
        <v>-0.61000001430511497</v>
      </c>
      <c r="AE397">
        <v>44.213077545166001</v>
      </c>
      <c r="AF397">
        <v>5.7183710117647104</v>
      </c>
      <c r="AG397">
        <v>18605000</v>
      </c>
      <c r="AH397">
        <v>44.344795227050803</v>
      </c>
      <c r="AI397">
        <v>-1.8266069889068599</v>
      </c>
    </row>
    <row r="398" spans="1:35">
      <c r="A398">
        <f t="shared" si="48"/>
        <v>0</v>
      </c>
      <c r="B398">
        <f t="shared" si="49"/>
        <v>1</v>
      </c>
      <c r="C398">
        <f t="shared" si="50"/>
        <v>1</v>
      </c>
      <c r="D398">
        <f t="shared" si="51"/>
        <v>0</v>
      </c>
      <c r="E398">
        <f t="shared" si="52"/>
        <v>1</v>
      </c>
      <c r="F398">
        <f t="shared" si="53"/>
        <v>0</v>
      </c>
      <c r="G398">
        <f t="shared" si="54"/>
        <v>0</v>
      </c>
      <c r="H398">
        <v>0</v>
      </c>
      <c r="I398">
        <f t="shared" si="55"/>
        <v>0</v>
      </c>
      <c r="J398">
        <v>0</v>
      </c>
      <c r="K398" t="s">
        <v>1922</v>
      </c>
      <c r="L398" t="s">
        <v>1923</v>
      </c>
      <c r="M398" t="s">
        <v>27</v>
      </c>
      <c r="N398" t="s">
        <v>27</v>
      </c>
      <c r="O398">
        <v>13.83</v>
      </c>
      <c r="P398" t="s">
        <v>27</v>
      </c>
      <c r="Q398" t="s">
        <v>27</v>
      </c>
      <c r="R398">
        <v>17.399999618530298</v>
      </c>
      <c r="S398">
        <v>15</v>
      </c>
      <c r="T398" t="s">
        <v>27</v>
      </c>
      <c r="U398" t="s">
        <v>27</v>
      </c>
      <c r="V398" t="s">
        <v>27</v>
      </c>
      <c r="W398">
        <v>-13.3984031677246</v>
      </c>
      <c r="X398" t="s">
        <v>27</v>
      </c>
      <c r="Y398" t="s">
        <v>27</v>
      </c>
      <c r="Z398" t="s">
        <v>27</v>
      </c>
      <c r="AA398" t="s">
        <v>27</v>
      </c>
      <c r="AB398" t="s">
        <v>83</v>
      </c>
      <c r="AC398" t="s">
        <v>1924</v>
      </c>
      <c r="AD398" t="s">
        <v>27</v>
      </c>
      <c r="AE398" t="s">
        <v>27</v>
      </c>
      <c r="AF398" t="s">
        <v>27</v>
      </c>
      <c r="AG398" t="s">
        <v>27</v>
      </c>
      <c r="AH398" t="s">
        <v>27</v>
      </c>
      <c r="AI398">
        <v>-6.2060699462890598</v>
      </c>
    </row>
    <row r="399" spans="1:35">
      <c r="A399">
        <f t="shared" si="48"/>
        <v>0</v>
      </c>
      <c r="B399">
        <f t="shared" si="49"/>
        <v>1</v>
      </c>
      <c r="C399">
        <f t="shared" si="50"/>
        <v>1</v>
      </c>
      <c r="D399">
        <f t="shared" si="51"/>
        <v>1</v>
      </c>
      <c r="E399">
        <f t="shared" si="52"/>
        <v>0</v>
      </c>
      <c r="F399">
        <f t="shared" si="53"/>
        <v>1</v>
      </c>
      <c r="G399">
        <f t="shared" si="54"/>
        <v>0</v>
      </c>
      <c r="H399">
        <v>0</v>
      </c>
      <c r="I399">
        <f t="shared" si="55"/>
        <v>0</v>
      </c>
      <c r="J399">
        <v>0</v>
      </c>
      <c r="K399" t="s">
        <v>1927</v>
      </c>
      <c r="L399" t="s">
        <v>1928</v>
      </c>
      <c r="M399" t="s">
        <v>27</v>
      </c>
      <c r="N399" t="s">
        <v>27</v>
      </c>
      <c r="O399">
        <v>11.09</v>
      </c>
      <c r="P399" t="s">
        <v>27</v>
      </c>
      <c r="Q399" t="s">
        <v>27</v>
      </c>
      <c r="R399">
        <v>17.549999237060501</v>
      </c>
      <c r="S399" t="s">
        <v>27</v>
      </c>
      <c r="T399">
        <v>8.6546201705932599</v>
      </c>
      <c r="U399">
        <v>24.246698379516602</v>
      </c>
      <c r="V399">
        <v>18015000</v>
      </c>
      <c r="W399">
        <v>17.613763809204102</v>
      </c>
      <c r="X399">
        <v>6.5599999427795401</v>
      </c>
      <c r="Y399" t="s">
        <v>27</v>
      </c>
      <c r="Z399" t="s">
        <v>27</v>
      </c>
      <c r="AA399">
        <v>46354000</v>
      </c>
      <c r="AB399" t="s">
        <v>61</v>
      </c>
      <c r="AC399" t="s">
        <v>101</v>
      </c>
      <c r="AD399" t="s">
        <v>27</v>
      </c>
      <c r="AE399">
        <v>3.1816420555114702</v>
      </c>
      <c r="AF399">
        <v>15.6863596202738</v>
      </c>
      <c r="AG399">
        <v>39744000</v>
      </c>
      <c r="AH399">
        <v>21.136768341064499</v>
      </c>
      <c r="AI399">
        <v>101.432014465332</v>
      </c>
    </row>
    <row r="400" spans="1:35">
      <c r="A400">
        <f t="shared" si="48"/>
        <v>0</v>
      </c>
      <c r="B400">
        <f t="shared" si="49"/>
        <v>0</v>
      </c>
      <c r="C400">
        <f t="shared" si="50"/>
        <v>0</v>
      </c>
      <c r="D400">
        <f t="shared" si="51"/>
        <v>0</v>
      </c>
      <c r="E400">
        <f t="shared" si="52"/>
        <v>0</v>
      </c>
      <c r="F400">
        <f t="shared" si="53"/>
        <v>0</v>
      </c>
      <c r="G400">
        <f t="shared" si="54"/>
        <v>0</v>
      </c>
      <c r="H400">
        <v>0</v>
      </c>
      <c r="I400">
        <f t="shared" si="55"/>
        <v>0</v>
      </c>
      <c r="J400">
        <v>0</v>
      </c>
      <c r="K400" t="s">
        <v>1929</v>
      </c>
      <c r="L400" t="s">
        <v>1930</v>
      </c>
      <c r="M400" t="s">
        <v>27</v>
      </c>
      <c r="N400" t="s">
        <v>27</v>
      </c>
      <c r="O400">
        <v>3.33</v>
      </c>
      <c r="P400" t="s">
        <v>27</v>
      </c>
      <c r="Q400" t="s">
        <v>27</v>
      </c>
      <c r="R400">
        <v>4.4000000953674299</v>
      </c>
      <c r="S400">
        <v>5.5999999046325701</v>
      </c>
      <c r="T400">
        <v>63.771442413330099</v>
      </c>
      <c r="U400">
        <v>71.826980590820298</v>
      </c>
      <c r="V400">
        <v>-4351000</v>
      </c>
      <c r="W400">
        <v>-17.773845672607401</v>
      </c>
      <c r="X400">
        <v>-9.9999997764825804E-3</v>
      </c>
      <c r="Y400">
        <v>-3.0967741012573202</v>
      </c>
      <c r="Z400">
        <v>-7.3496661186218297</v>
      </c>
      <c r="AA400">
        <v>30478000</v>
      </c>
      <c r="AB400" t="s">
        <v>73</v>
      </c>
      <c r="AC400" t="s">
        <v>413</v>
      </c>
      <c r="AD400">
        <v>-0.10000000149011599</v>
      </c>
      <c r="AE400">
        <v>-64.233573913574205</v>
      </c>
      <c r="AF400" t="s">
        <v>27</v>
      </c>
      <c r="AG400">
        <v>31535000</v>
      </c>
      <c r="AH400">
        <v>90.744094848632798</v>
      </c>
      <c r="AI400">
        <v>-18.261539459228501</v>
      </c>
    </row>
    <row r="401" spans="1:35">
      <c r="A401">
        <f t="shared" si="48"/>
        <v>0</v>
      </c>
      <c r="B401">
        <f t="shared" si="49"/>
        <v>1</v>
      </c>
      <c r="C401">
        <f t="shared" si="50"/>
        <v>1</v>
      </c>
      <c r="D401">
        <f t="shared" si="51"/>
        <v>0</v>
      </c>
      <c r="E401">
        <f t="shared" si="52"/>
        <v>0</v>
      </c>
      <c r="F401">
        <f t="shared" si="53"/>
        <v>1</v>
      </c>
      <c r="G401">
        <f t="shared" si="54"/>
        <v>0</v>
      </c>
      <c r="H401">
        <v>0</v>
      </c>
      <c r="I401">
        <f t="shared" si="55"/>
        <v>1</v>
      </c>
      <c r="J401">
        <v>0</v>
      </c>
      <c r="K401" t="s">
        <v>1933</v>
      </c>
      <c r="L401" t="s">
        <v>1934</v>
      </c>
      <c r="M401" t="s">
        <v>27</v>
      </c>
      <c r="N401" t="s">
        <v>27</v>
      </c>
      <c r="O401">
        <v>9.83</v>
      </c>
      <c r="P401">
        <v>4.2071251869201696</v>
      </c>
      <c r="Q401" t="s">
        <v>27</v>
      </c>
      <c r="R401">
        <v>7</v>
      </c>
      <c r="S401">
        <v>8.3000001907348597</v>
      </c>
      <c r="T401">
        <v>23.20973777771</v>
      </c>
      <c r="U401">
        <v>32.479221343994098</v>
      </c>
      <c r="V401">
        <v>2885000.25</v>
      </c>
      <c r="W401">
        <v>2.0923120975494398</v>
      </c>
      <c r="X401">
        <v>0.25</v>
      </c>
      <c r="Y401">
        <v>10.1818180084229</v>
      </c>
      <c r="Z401">
        <v>8.3612041473388707</v>
      </c>
      <c r="AA401">
        <v>17950000</v>
      </c>
      <c r="AB401" t="s">
        <v>27</v>
      </c>
      <c r="AC401" t="s">
        <v>27</v>
      </c>
      <c r="AD401">
        <v>-0.58999997377395597</v>
      </c>
      <c r="AE401">
        <v>20.597589492797901</v>
      </c>
      <c r="AF401">
        <v>6.6134665825814203</v>
      </c>
      <c r="AG401">
        <v>17929000</v>
      </c>
      <c r="AH401">
        <v>24.107378005981399</v>
      </c>
      <c r="AI401">
        <v>3.6357939243316699</v>
      </c>
    </row>
    <row r="402" spans="1:35">
      <c r="A402">
        <f t="shared" si="48"/>
        <v>1</v>
      </c>
      <c r="B402">
        <f t="shared" si="49"/>
        <v>1</v>
      </c>
      <c r="C402">
        <f t="shared" si="50"/>
        <v>1</v>
      </c>
      <c r="D402">
        <f t="shared" si="51"/>
        <v>0</v>
      </c>
      <c r="E402">
        <f t="shared" si="52"/>
        <v>0</v>
      </c>
      <c r="F402">
        <f t="shared" si="53"/>
        <v>1</v>
      </c>
      <c r="G402">
        <f t="shared" si="54"/>
        <v>0</v>
      </c>
      <c r="H402">
        <v>0</v>
      </c>
      <c r="I402">
        <f t="shared" si="55"/>
        <v>0</v>
      </c>
      <c r="J402">
        <v>0</v>
      </c>
      <c r="K402" t="s">
        <v>1941</v>
      </c>
      <c r="L402" t="s">
        <v>1942</v>
      </c>
      <c r="M402" t="s">
        <v>27</v>
      </c>
      <c r="N402" t="s">
        <v>27</v>
      </c>
      <c r="O402">
        <v>12.75</v>
      </c>
      <c r="P402">
        <v>7.5427880287170401</v>
      </c>
      <c r="Q402" t="s">
        <v>27</v>
      </c>
      <c r="R402">
        <v>13.819999694824199</v>
      </c>
      <c r="S402">
        <v>12.6300001144409</v>
      </c>
      <c r="T402">
        <v>35.568241119384801</v>
      </c>
      <c r="U402" t="s">
        <v>27</v>
      </c>
      <c r="V402">
        <v>200000</v>
      </c>
      <c r="W402">
        <v>11.326769828796399</v>
      </c>
      <c r="X402">
        <v>0.40000000596046398</v>
      </c>
      <c r="Y402">
        <v>24.172662734985401</v>
      </c>
      <c r="Z402">
        <v>3.25</v>
      </c>
      <c r="AA402">
        <v>58139000</v>
      </c>
      <c r="AB402" t="s">
        <v>61</v>
      </c>
      <c r="AC402" t="s">
        <v>234</v>
      </c>
      <c r="AD402">
        <v>0.15000000596046401</v>
      </c>
      <c r="AE402" t="s">
        <v>27</v>
      </c>
      <c r="AF402">
        <v>11.702910542907199</v>
      </c>
      <c r="AG402">
        <v>58939000</v>
      </c>
      <c r="AH402">
        <v>34.896045684814503</v>
      </c>
      <c r="AI402">
        <v>15.119005203247101</v>
      </c>
    </row>
    <row r="403" spans="1:35">
      <c r="A403">
        <f t="shared" si="48"/>
        <v>0</v>
      </c>
      <c r="B403">
        <f t="shared" si="49"/>
        <v>0</v>
      </c>
      <c r="C403">
        <f t="shared" si="50"/>
        <v>0</v>
      </c>
      <c r="D403">
        <f t="shared" si="51"/>
        <v>1</v>
      </c>
      <c r="E403">
        <f t="shared" si="52"/>
        <v>0</v>
      </c>
      <c r="F403">
        <f t="shared" si="53"/>
        <v>0</v>
      </c>
      <c r="G403">
        <f t="shared" si="54"/>
        <v>0</v>
      </c>
      <c r="H403">
        <v>0</v>
      </c>
      <c r="I403">
        <f t="shared" si="55"/>
        <v>0</v>
      </c>
      <c r="J403">
        <v>0</v>
      </c>
      <c r="K403" t="s">
        <v>1953</v>
      </c>
      <c r="L403" t="s">
        <v>1954</v>
      </c>
      <c r="M403" t="s">
        <v>27</v>
      </c>
      <c r="N403" t="s">
        <v>27</v>
      </c>
      <c r="O403">
        <v>8.14</v>
      </c>
      <c r="P403">
        <v>1.4432289600372299</v>
      </c>
      <c r="Q403" t="s">
        <v>27</v>
      </c>
      <c r="R403">
        <v>18</v>
      </c>
      <c r="S403">
        <v>12.375</v>
      </c>
      <c r="T403">
        <v>3.4020340442657502</v>
      </c>
      <c r="U403">
        <v>37.940559387207003</v>
      </c>
      <c r="V403">
        <v>-1764000</v>
      </c>
      <c r="W403">
        <v>4.5784931182861301</v>
      </c>
      <c r="X403">
        <v>-7.0000000298023196E-2</v>
      </c>
      <c r="Y403">
        <v>2.27715396881104</v>
      </c>
      <c r="Z403">
        <v>0.75987797975540206</v>
      </c>
      <c r="AA403">
        <v>11753000</v>
      </c>
      <c r="AB403" t="s">
        <v>27</v>
      </c>
      <c r="AC403" t="s">
        <v>27</v>
      </c>
      <c r="AD403">
        <v>9.00000035762787E-2</v>
      </c>
      <c r="AE403">
        <v>33.1257514953613</v>
      </c>
      <c r="AF403">
        <v>4.7401759233121599</v>
      </c>
      <c r="AG403">
        <v>12363000</v>
      </c>
      <c r="AH403">
        <v>8.9493694305419904</v>
      </c>
      <c r="AI403">
        <v>-1.1803790330886801</v>
      </c>
    </row>
    <row r="404" spans="1:35">
      <c r="A404">
        <f t="shared" si="48"/>
        <v>1</v>
      </c>
      <c r="B404">
        <f t="shared" si="49"/>
        <v>0</v>
      </c>
      <c r="C404">
        <f t="shared" si="50"/>
        <v>1</v>
      </c>
      <c r="D404">
        <f t="shared" si="51"/>
        <v>0</v>
      </c>
      <c r="E404">
        <f t="shared" si="52"/>
        <v>0</v>
      </c>
      <c r="F404">
        <f t="shared" si="53"/>
        <v>1</v>
      </c>
      <c r="G404">
        <f t="shared" si="54"/>
        <v>1</v>
      </c>
      <c r="H404">
        <v>0</v>
      </c>
      <c r="I404">
        <f t="shared" si="55"/>
        <v>0</v>
      </c>
      <c r="J404">
        <v>0</v>
      </c>
      <c r="K404" t="s">
        <v>1959</v>
      </c>
      <c r="L404" t="s">
        <v>1960</v>
      </c>
      <c r="M404" t="s">
        <v>27</v>
      </c>
      <c r="N404" t="s">
        <v>27</v>
      </c>
      <c r="O404">
        <v>18.55</v>
      </c>
      <c r="P404">
        <v>10.998664855956999</v>
      </c>
      <c r="Q404" t="s">
        <v>27</v>
      </c>
      <c r="R404">
        <v>19.469999313354499</v>
      </c>
      <c r="S404">
        <v>10.875</v>
      </c>
      <c r="T404">
        <v>6.8925251960754403</v>
      </c>
      <c r="U404">
        <v>62.5872611999512</v>
      </c>
      <c r="V404">
        <v>2134000</v>
      </c>
      <c r="W404">
        <v>11.9623680114746</v>
      </c>
      <c r="X404">
        <v>0.119999997317791</v>
      </c>
      <c r="Y404">
        <v>4.8461542129516602</v>
      </c>
      <c r="Z404">
        <v>3.39780497550964</v>
      </c>
      <c r="AA404">
        <v>10460000</v>
      </c>
      <c r="AB404" t="s">
        <v>27</v>
      </c>
      <c r="AC404" t="s">
        <v>27</v>
      </c>
      <c r="AD404">
        <v>0.10000000149011599</v>
      </c>
      <c r="AE404">
        <v>68.379158020019503</v>
      </c>
      <c r="AF404">
        <v>20.119049312649199</v>
      </c>
      <c r="AG404">
        <v>10621000</v>
      </c>
      <c r="AH404">
        <v>4.9467692375183097</v>
      </c>
      <c r="AI404">
        <v>6.5451850891113299</v>
      </c>
    </row>
    <row r="405" spans="1:35">
      <c r="A405">
        <f t="shared" si="48"/>
        <v>1</v>
      </c>
      <c r="B405">
        <f t="shared" si="49"/>
        <v>0</v>
      </c>
      <c r="C405">
        <f t="shared" si="50"/>
        <v>0</v>
      </c>
      <c r="D405">
        <f t="shared" si="51"/>
        <v>0</v>
      </c>
      <c r="E405">
        <f t="shared" si="52"/>
        <v>0</v>
      </c>
      <c r="F405">
        <f t="shared" si="53"/>
        <v>0</v>
      </c>
      <c r="G405">
        <f t="shared" si="54"/>
        <v>0</v>
      </c>
      <c r="H405">
        <v>0</v>
      </c>
      <c r="I405">
        <f t="shared" si="55"/>
        <v>0</v>
      </c>
      <c r="J405">
        <v>0</v>
      </c>
      <c r="K405" t="s">
        <v>1965</v>
      </c>
      <c r="L405" t="s">
        <v>1966</v>
      </c>
      <c r="M405" t="s">
        <v>27</v>
      </c>
      <c r="N405" t="s">
        <v>27</v>
      </c>
      <c r="O405">
        <v>7.99</v>
      </c>
      <c r="P405" t="s">
        <v>27</v>
      </c>
      <c r="Q405" t="s">
        <v>27</v>
      </c>
      <c r="R405">
        <v>10.0900001525879</v>
      </c>
      <c r="S405">
        <v>15.25</v>
      </c>
      <c r="T405">
        <v>0.52005499601364102</v>
      </c>
      <c r="U405">
        <v>70.243415832519503</v>
      </c>
      <c r="V405">
        <v>-3088999.5</v>
      </c>
      <c r="W405">
        <v>-1.1319999694824201</v>
      </c>
      <c r="X405">
        <v>-7.0000000298023196E-2</v>
      </c>
      <c r="Y405">
        <v>0.26168200373649603</v>
      </c>
      <c r="Z405">
        <v>1.4473680257797199</v>
      </c>
      <c r="AA405">
        <v>27808000</v>
      </c>
      <c r="AB405" t="s">
        <v>27</v>
      </c>
      <c r="AC405" t="s">
        <v>27</v>
      </c>
      <c r="AD405">
        <v>-0.5</v>
      </c>
      <c r="AE405">
        <v>52.632686614990199</v>
      </c>
      <c r="AF405" t="s">
        <v>27</v>
      </c>
      <c r="AG405">
        <v>27922000</v>
      </c>
      <c r="AH405">
        <v>0.22272099554538699</v>
      </c>
      <c r="AI405">
        <v>-14.438194274902299</v>
      </c>
    </row>
    <row r="406" spans="1:35">
      <c r="A406">
        <f t="shared" si="48"/>
        <v>1</v>
      </c>
      <c r="B406">
        <f t="shared" si="49"/>
        <v>0</v>
      </c>
      <c r="C406">
        <f t="shared" si="50"/>
        <v>1</v>
      </c>
      <c r="D406">
        <f t="shared" si="51"/>
        <v>0</v>
      </c>
      <c r="E406">
        <f t="shared" si="52"/>
        <v>0</v>
      </c>
      <c r="F406">
        <f t="shared" si="53"/>
        <v>0</v>
      </c>
      <c r="G406">
        <f t="shared" si="54"/>
        <v>1</v>
      </c>
      <c r="H406">
        <v>0</v>
      </c>
      <c r="I406">
        <f t="shared" si="55"/>
        <v>0</v>
      </c>
      <c r="J406">
        <v>0</v>
      </c>
      <c r="K406" t="s">
        <v>1967</v>
      </c>
      <c r="L406" t="s">
        <v>1968</v>
      </c>
      <c r="M406" t="s">
        <v>27</v>
      </c>
      <c r="N406" t="s">
        <v>27</v>
      </c>
      <c r="O406">
        <v>16.2</v>
      </c>
      <c r="P406">
        <v>2.8753829002380402</v>
      </c>
      <c r="Q406" t="s">
        <v>27</v>
      </c>
      <c r="R406">
        <v>19.379999160766602</v>
      </c>
      <c r="S406">
        <v>8</v>
      </c>
      <c r="T406">
        <v>9.2763595581054705</v>
      </c>
      <c r="U406">
        <v>41.676124572753899</v>
      </c>
      <c r="V406">
        <v>1608000.25</v>
      </c>
      <c r="W406">
        <v>5.1911687850952104</v>
      </c>
      <c r="X406">
        <v>1.9999999552965199E-2</v>
      </c>
      <c r="Y406">
        <v>7.27272701263428</v>
      </c>
      <c r="Z406">
        <v>4.3333330154418901</v>
      </c>
      <c r="AA406">
        <v>14399000</v>
      </c>
      <c r="AB406" t="s">
        <v>27</v>
      </c>
      <c r="AC406" t="s">
        <v>27</v>
      </c>
      <c r="AD406">
        <v>-0.15999999642372101</v>
      </c>
      <c r="AE406">
        <v>42.607120513916001</v>
      </c>
      <c r="AF406">
        <v>9.0736732431833307</v>
      </c>
      <c r="AG406">
        <v>14505000</v>
      </c>
      <c r="AH406">
        <v>7.4120030403137198</v>
      </c>
      <c r="AI406">
        <v>-0.25953999161720298</v>
      </c>
    </row>
    <row r="407" spans="1:35">
      <c r="A407">
        <f t="shared" si="48"/>
        <v>0</v>
      </c>
      <c r="B407">
        <f t="shared" si="49"/>
        <v>1</v>
      </c>
      <c r="C407">
        <f t="shared" si="50"/>
        <v>0</v>
      </c>
      <c r="D407">
        <f t="shared" si="51"/>
        <v>0</v>
      </c>
      <c r="E407">
        <f t="shared" si="52"/>
        <v>0</v>
      </c>
      <c r="F407">
        <f t="shared" si="53"/>
        <v>1</v>
      </c>
      <c r="G407">
        <f t="shared" si="54"/>
        <v>0</v>
      </c>
      <c r="H407">
        <v>0</v>
      </c>
      <c r="I407">
        <f t="shared" si="55"/>
        <v>0</v>
      </c>
      <c r="J407">
        <v>0</v>
      </c>
      <c r="K407" t="s">
        <v>1973</v>
      </c>
      <c r="L407" t="s">
        <v>1974</v>
      </c>
      <c r="M407" t="s">
        <v>27</v>
      </c>
      <c r="N407" t="s">
        <v>27</v>
      </c>
      <c r="O407">
        <v>31.93</v>
      </c>
      <c r="P407">
        <v>12.0754547119141</v>
      </c>
      <c r="Q407" t="s">
        <v>27</v>
      </c>
      <c r="R407">
        <v>29.899999618530298</v>
      </c>
      <c r="S407">
        <v>21.309999465942401</v>
      </c>
      <c r="T407">
        <v>0</v>
      </c>
      <c r="U407">
        <v>59.000072479247997</v>
      </c>
      <c r="V407">
        <v>-3691000</v>
      </c>
      <c r="W407">
        <v>9.9297428131103498</v>
      </c>
      <c r="X407">
        <v>1.0299999713897701</v>
      </c>
      <c r="Y407">
        <v>10.632910728454601</v>
      </c>
      <c r="Z407">
        <v>7.6315789222717303</v>
      </c>
      <c r="AA407">
        <v>19865000</v>
      </c>
      <c r="AB407" t="s">
        <v>30</v>
      </c>
      <c r="AC407" t="s">
        <v>410</v>
      </c>
      <c r="AD407">
        <v>0.81999999284744296</v>
      </c>
      <c r="AE407">
        <v>55.618076324462898</v>
      </c>
      <c r="AF407">
        <v>7.7313225127688003</v>
      </c>
      <c r="AG407">
        <v>20117000</v>
      </c>
      <c r="AH407">
        <v>0</v>
      </c>
      <c r="AI407">
        <v>13.2721700668335</v>
      </c>
    </row>
    <row r="408" spans="1:35">
      <c r="A408">
        <f t="shared" si="48"/>
        <v>1</v>
      </c>
      <c r="B408">
        <f t="shared" si="49"/>
        <v>1</v>
      </c>
      <c r="C408">
        <f t="shared" si="50"/>
        <v>1</v>
      </c>
      <c r="D408">
        <f t="shared" si="51"/>
        <v>1</v>
      </c>
      <c r="E408">
        <f t="shared" si="52"/>
        <v>0</v>
      </c>
      <c r="F408">
        <f t="shared" si="53"/>
        <v>0</v>
      </c>
      <c r="G408">
        <f t="shared" si="54"/>
        <v>1</v>
      </c>
      <c r="H408">
        <v>0</v>
      </c>
      <c r="I408">
        <f t="shared" si="55"/>
        <v>0</v>
      </c>
      <c r="J408">
        <v>0</v>
      </c>
      <c r="K408" t="s">
        <v>1979</v>
      </c>
      <c r="L408" t="s">
        <v>1980</v>
      </c>
      <c r="M408" t="s">
        <v>27</v>
      </c>
      <c r="N408" t="s">
        <v>27</v>
      </c>
      <c r="O408">
        <v>16.98</v>
      </c>
      <c r="P408" t="s">
        <v>27</v>
      </c>
      <c r="Q408" t="s">
        <v>27</v>
      </c>
      <c r="R408">
        <v>39.689998626708999</v>
      </c>
      <c r="S408" t="s">
        <v>27</v>
      </c>
      <c r="T408" t="s">
        <v>27</v>
      </c>
      <c r="U408">
        <v>30.6017551422119</v>
      </c>
      <c r="V408">
        <v>50957000</v>
      </c>
      <c r="W408">
        <v>-45.986209869384801</v>
      </c>
      <c r="X408">
        <v>-0.41999998688697798</v>
      </c>
      <c r="Y408" t="s">
        <v>27</v>
      </c>
      <c r="Z408">
        <v>2.4745759963989298</v>
      </c>
      <c r="AA408">
        <v>70262000</v>
      </c>
      <c r="AB408" t="s">
        <v>73</v>
      </c>
      <c r="AC408" t="s">
        <v>210</v>
      </c>
      <c r="AD408">
        <v>0.97000002861022905</v>
      </c>
      <c r="AE408">
        <v>30.6232795715332</v>
      </c>
      <c r="AF408">
        <v>1.3126185553134699</v>
      </c>
      <c r="AG408">
        <v>15606000</v>
      </c>
      <c r="AH408">
        <v>20.4127902984619</v>
      </c>
      <c r="AI408">
        <v>-5.0382280349731401</v>
      </c>
    </row>
    <row r="409" spans="1:35">
      <c r="A409">
        <f t="shared" si="48"/>
        <v>1</v>
      </c>
      <c r="B409">
        <f t="shared" si="49"/>
        <v>1</v>
      </c>
      <c r="C409">
        <f t="shared" si="50"/>
        <v>0</v>
      </c>
      <c r="D409">
        <f t="shared" si="51"/>
        <v>0</v>
      </c>
      <c r="E409">
        <f t="shared" si="52"/>
        <v>0</v>
      </c>
      <c r="F409">
        <f t="shared" si="53"/>
        <v>1</v>
      </c>
      <c r="G409">
        <f t="shared" si="54"/>
        <v>0</v>
      </c>
      <c r="H409">
        <v>0</v>
      </c>
      <c r="I409">
        <f t="shared" si="55"/>
        <v>0</v>
      </c>
      <c r="J409">
        <v>0</v>
      </c>
      <c r="K409" t="s">
        <v>1988</v>
      </c>
      <c r="L409" t="s">
        <v>1989</v>
      </c>
      <c r="M409" t="s">
        <v>27</v>
      </c>
      <c r="N409" t="s">
        <v>27</v>
      </c>
      <c r="O409">
        <v>4.181</v>
      </c>
      <c r="P409">
        <v>6.0369939804077104</v>
      </c>
      <c r="Q409" t="s">
        <v>27</v>
      </c>
      <c r="R409">
        <v>11.3900003433228</v>
      </c>
      <c r="S409">
        <v>15.375</v>
      </c>
      <c r="T409">
        <v>1.89476299285889</v>
      </c>
      <c r="U409">
        <v>25.966178894043001</v>
      </c>
      <c r="V409">
        <v>-6559000</v>
      </c>
      <c r="W409">
        <v>0.74983102083206199</v>
      </c>
      <c r="X409">
        <v>7.0000000298023196E-2</v>
      </c>
      <c r="Y409">
        <v>0.88888901472091697</v>
      </c>
      <c r="Z409">
        <v>-4.0268459320068404</v>
      </c>
      <c r="AA409">
        <v>63419000</v>
      </c>
      <c r="AB409" t="s">
        <v>38</v>
      </c>
      <c r="AC409" t="s">
        <v>118</v>
      </c>
      <c r="AD409">
        <v>-0.140000000596046</v>
      </c>
      <c r="AE409">
        <v>-28.736852645873999</v>
      </c>
      <c r="AF409" t="s">
        <v>27</v>
      </c>
      <c r="AG409">
        <v>65396004</v>
      </c>
      <c r="AH409">
        <v>0.90652000904083296</v>
      </c>
      <c r="AI409">
        <v>3.8189740180969198</v>
      </c>
    </row>
    <row r="410" spans="1:35">
      <c r="A410">
        <f t="shared" si="48"/>
        <v>0</v>
      </c>
      <c r="B410">
        <f t="shared" si="49"/>
        <v>0</v>
      </c>
      <c r="C410">
        <f t="shared" si="50"/>
        <v>0</v>
      </c>
      <c r="D410">
        <f t="shared" si="51"/>
        <v>0</v>
      </c>
      <c r="E410">
        <f t="shared" si="52"/>
        <v>0</v>
      </c>
      <c r="F410">
        <f t="shared" si="53"/>
        <v>1</v>
      </c>
      <c r="G410">
        <f t="shared" si="54"/>
        <v>1</v>
      </c>
      <c r="H410">
        <v>0</v>
      </c>
      <c r="I410">
        <f t="shared" si="55"/>
        <v>0</v>
      </c>
      <c r="J410">
        <v>0</v>
      </c>
      <c r="K410" t="s">
        <v>1990</v>
      </c>
      <c r="L410" t="s">
        <v>1991</v>
      </c>
      <c r="M410" t="s">
        <v>27</v>
      </c>
      <c r="N410" t="s">
        <v>27</v>
      </c>
      <c r="O410">
        <v>6</v>
      </c>
      <c r="P410">
        <v>13.9384708404541</v>
      </c>
      <c r="Q410" t="s">
        <v>27</v>
      </c>
      <c r="R410">
        <v>9</v>
      </c>
      <c r="S410">
        <v>19.440000534057599</v>
      </c>
      <c r="T410">
        <v>10.6309900283813</v>
      </c>
      <c r="U410">
        <v>40.802093505859403</v>
      </c>
      <c r="V410">
        <v>-5779000</v>
      </c>
      <c r="W410">
        <v>7.8990612030029297</v>
      </c>
      <c r="X410">
        <v>0.15999999642372101</v>
      </c>
      <c r="Y410">
        <v>2.5999999046325701</v>
      </c>
      <c r="Z410">
        <v>-0.55555599927902199</v>
      </c>
      <c r="AA410">
        <v>37430000</v>
      </c>
      <c r="AB410" t="s">
        <v>61</v>
      </c>
      <c r="AC410" t="s">
        <v>80</v>
      </c>
      <c r="AD410">
        <v>-0.81999999284744296</v>
      </c>
      <c r="AE410" t="s">
        <v>27</v>
      </c>
      <c r="AF410">
        <v>15.832500786987501</v>
      </c>
      <c r="AG410">
        <v>37767000</v>
      </c>
      <c r="AH410">
        <v>16.894926071166999</v>
      </c>
      <c r="AI410">
        <v>6.3806462287902797</v>
      </c>
    </row>
    <row r="411" spans="1:35">
      <c r="A411">
        <f t="shared" si="48"/>
        <v>0</v>
      </c>
      <c r="B411">
        <f t="shared" si="49"/>
        <v>1</v>
      </c>
      <c r="C411">
        <f t="shared" si="50"/>
        <v>0</v>
      </c>
      <c r="D411">
        <f t="shared" si="51"/>
        <v>0</v>
      </c>
      <c r="E411">
        <f t="shared" si="52"/>
        <v>0</v>
      </c>
      <c r="F411">
        <f t="shared" si="53"/>
        <v>0</v>
      </c>
      <c r="G411">
        <f t="shared" si="54"/>
        <v>1</v>
      </c>
      <c r="H411">
        <v>0</v>
      </c>
      <c r="I411">
        <f t="shared" si="55"/>
        <v>0</v>
      </c>
      <c r="J411">
        <v>0</v>
      </c>
      <c r="K411" t="s">
        <v>1992</v>
      </c>
      <c r="L411" t="s">
        <v>1993</v>
      </c>
      <c r="M411" t="s">
        <v>27</v>
      </c>
      <c r="N411" t="s">
        <v>27</v>
      </c>
      <c r="O411">
        <v>17</v>
      </c>
      <c r="P411" t="s">
        <v>27</v>
      </c>
      <c r="Q411" t="s">
        <v>27</v>
      </c>
      <c r="R411">
        <v>24</v>
      </c>
      <c r="S411">
        <v>18.6875</v>
      </c>
      <c r="T411">
        <v>0.310748010873795</v>
      </c>
      <c r="U411">
        <v>91.503112792968807</v>
      </c>
      <c r="V411">
        <v>-14084010</v>
      </c>
      <c r="W411">
        <v>-228.11837768554699</v>
      </c>
      <c r="X411">
        <v>-0.37999999523162797</v>
      </c>
      <c r="Y411">
        <v>-11.2911386489868</v>
      </c>
      <c r="Z411">
        <v>-5.852783203125</v>
      </c>
      <c r="AA411">
        <v>19903000</v>
      </c>
      <c r="AB411" t="s">
        <v>27</v>
      </c>
      <c r="AC411" t="s">
        <v>27</v>
      </c>
      <c r="AD411">
        <v>-0.44999998807907099</v>
      </c>
      <c r="AE411">
        <v>92.445030212402301</v>
      </c>
      <c r="AF411" t="s">
        <v>27</v>
      </c>
      <c r="AG411">
        <v>20481000</v>
      </c>
      <c r="AH411">
        <v>229.14094543457</v>
      </c>
      <c r="AI411">
        <v>-126.158195495605</v>
      </c>
    </row>
    <row r="412" spans="1:35">
      <c r="A412">
        <f t="shared" si="48"/>
        <v>1</v>
      </c>
      <c r="B412">
        <f t="shared" si="49"/>
        <v>0</v>
      </c>
      <c r="C412">
        <f t="shared" si="50"/>
        <v>1</v>
      </c>
      <c r="D412">
        <f t="shared" si="51"/>
        <v>0</v>
      </c>
      <c r="E412">
        <f t="shared" si="52"/>
        <v>0</v>
      </c>
      <c r="F412">
        <f t="shared" si="53"/>
        <v>1</v>
      </c>
      <c r="G412">
        <f t="shared" si="54"/>
        <v>0</v>
      </c>
      <c r="H412">
        <v>0</v>
      </c>
      <c r="I412">
        <f t="shared" si="55"/>
        <v>0</v>
      </c>
      <c r="J412">
        <v>0</v>
      </c>
      <c r="K412" t="s">
        <v>1994</v>
      </c>
      <c r="L412" t="s">
        <v>1995</v>
      </c>
      <c r="M412" t="s">
        <v>27</v>
      </c>
      <c r="N412" t="s">
        <v>27</v>
      </c>
      <c r="O412">
        <v>5.7</v>
      </c>
      <c r="P412" t="s">
        <v>27</v>
      </c>
      <c r="Q412" t="s">
        <v>27</v>
      </c>
      <c r="R412">
        <v>7.1900000572204599</v>
      </c>
      <c r="S412">
        <v>10.6875</v>
      </c>
      <c r="T412" t="s">
        <v>27</v>
      </c>
      <c r="U412" t="s">
        <v>27</v>
      </c>
      <c r="V412" t="s">
        <v>27</v>
      </c>
      <c r="W412" t="s">
        <v>27</v>
      </c>
      <c r="X412" t="s">
        <v>27</v>
      </c>
      <c r="Y412" t="s">
        <v>27</v>
      </c>
      <c r="Z412" t="s">
        <v>27</v>
      </c>
      <c r="AA412" t="s">
        <v>27</v>
      </c>
      <c r="AB412" t="s">
        <v>27</v>
      </c>
      <c r="AC412" t="s">
        <v>27</v>
      </c>
      <c r="AD412">
        <v>-0.18999999761581399</v>
      </c>
      <c r="AE412" t="s">
        <v>27</v>
      </c>
      <c r="AF412" t="s">
        <v>27</v>
      </c>
      <c r="AG412">
        <v>25147000</v>
      </c>
      <c r="AH412">
        <v>2.7981519699096702</v>
      </c>
      <c r="AI412" t="s">
        <v>27</v>
      </c>
    </row>
    <row r="413" spans="1:35">
      <c r="A413">
        <f t="shared" si="48"/>
        <v>0</v>
      </c>
      <c r="B413">
        <f t="shared" si="49"/>
        <v>0</v>
      </c>
      <c r="C413">
        <f t="shared" si="50"/>
        <v>1</v>
      </c>
      <c r="D413">
        <f t="shared" si="51"/>
        <v>0</v>
      </c>
      <c r="E413">
        <f t="shared" si="52"/>
        <v>0</v>
      </c>
      <c r="F413">
        <f t="shared" si="53"/>
        <v>1</v>
      </c>
      <c r="G413">
        <f t="shared" si="54"/>
        <v>0</v>
      </c>
      <c r="H413">
        <v>0</v>
      </c>
      <c r="I413">
        <f t="shared" si="55"/>
        <v>1</v>
      </c>
      <c r="J413">
        <v>0</v>
      </c>
      <c r="K413" t="s">
        <v>1996</v>
      </c>
      <c r="L413" t="s">
        <v>1997</v>
      </c>
      <c r="M413" t="s">
        <v>27</v>
      </c>
      <c r="N413" t="s">
        <v>27</v>
      </c>
      <c r="O413">
        <v>14.9</v>
      </c>
      <c r="P413" t="s">
        <v>27</v>
      </c>
      <c r="Q413" t="s">
        <v>27</v>
      </c>
      <c r="R413">
        <v>13.1000003814697</v>
      </c>
      <c r="S413">
        <v>10.8999996185303</v>
      </c>
      <c r="T413">
        <v>65.542533874511705</v>
      </c>
      <c r="U413" t="s">
        <v>27</v>
      </c>
      <c r="V413">
        <v>918000.25</v>
      </c>
      <c r="W413" t="s">
        <v>27</v>
      </c>
      <c r="X413">
        <v>0.21999999880790699</v>
      </c>
      <c r="Y413" t="s">
        <v>27</v>
      </c>
      <c r="Z413" t="s">
        <v>27</v>
      </c>
      <c r="AA413">
        <v>18752900</v>
      </c>
      <c r="AB413" t="s">
        <v>27</v>
      </c>
      <c r="AC413" t="s">
        <v>27</v>
      </c>
      <c r="AD413">
        <v>0.129999995231628</v>
      </c>
      <c r="AE413" t="s">
        <v>27</v>
      </c>
      <c r="AF413" t="s">
        <v>27</v>
      </c>
      <c r="AG413">
        <v>18857000</v>
      </c>
      <c r="AH413">
        <v>66.151039123535199</v>
      </c>
      <c r="AI413">
        <v>3.4521570205688499</v>
      </c>
    </row>
    <row r="414" spans="1:35">
      <c r="A414">
        <f t="shared" si="48"/>
        <v>1</v>
      </c>
      <c r="B414">
        <f t="shared" si="49"/>
        <v>1</v>
      </c>
      <c r="C414">
        <f t="shared" si="50"/>
        <v>1</v>
      </c>
      <c r="D414">
        <f t="shared" si="51"/>
        <v>0</v>
      </c>
      <c r="E414">
        <f t="shared" si="52"/>
        <v>0</v>
      </c>
      <c r="F414">
        <f t="shared" si="53"/>
        <v>1</v>
      </c>
      <c r="G414">
        <f t="shared" si="54"/>
        <v>0</v>
      </c>
      <c r="H414">
        <v>0</v>
      </c>
      <c r="I414">
        <f t="shared" si="55"/>
        <v>0</v>
      </c>
      <c r="J414">
        <v>0</v>
      </c>
      <c r="K414" t="s">
        <v>1998</v>
      </c>
      <c r="L414" t="s">
        <v>1999</v>
      </c>
      <c r="M414" t="s">
        <v>27</v>
      </c>
      <c r="N414" t="s">
        <v>27</v>
      </c>
      <c r="O414">
        <v>5.8</v>
      </c>
      <c r="P414" t="s">
        <v>27</v>
      </c>
      <c r="Q414" t="s">
        <v>27</v>
      </c>
      <c r="R414">
        <v>5.9099998474121103</v>
      </c>
      <c r="S414">
        <v>40.875</v>
      </c>
      <c r="T414">
        <v>14.2375268936157</v>
      </c>
      <c r="U414">
        <v>44.1654243469238</v>
      </c>
      <c r="V414">
        <v>6100000</v>
      </c>
      <c r="W414">
        <v>9.8409690856933594</v>
      </c>
      <c r="X414">
        <v>0.20999999344348899</v>
      </c>
      <c r="Y414">
        <v>1.0227520465850799</v>
      </c>
      <c r="Z414">
        <v>4.2505588531494096</v>
      </c>
      <c r="AA414">
        <v>42919000</v>
      </c>
      <c r="AB414" t="s">
        <v>61</v>
      </c>
      <c r="AC414" t="s">
        <v>65</v>
      </c>
      <c r="AD414">
        <v>-5.9999998658895499E-2</v>
      </c>
      <c r="AE414">
        <v>32.4817504882813</v>
      </c>
      <c r="AF414" t="s">
        <v>27</v>
      </c>
      <c r="AG414">
        <v>45300000</v>
      </c>
      <c r="AH414">
        <v>14.0976648330688</v>
      </c>
      <c r="AI414">
        <v>14.7190866470337</v>
      </c>
    </row>
    <row r="415" spans="1:35">
      <c r="A415">
        <f t="shared" si="48"/>
        <v>1</v>
      </c>
      <c r="B415">
        <f t="shared" si="49"/>
        <v>0</v>
      </c>
      <c r="C415">
        <f t="shared" si="50"/>
        <v>1</v>
      </c>
      <c r="D415">
        <f t="shared" si="51"/>
        <v>0</v>
      </c>
      <c r="E415">
        <f t="shared" si="52"/>
        <v>0</v>
      </c>
      <c r="F415">
        <f t="shared" si="53"/>
        <v>0</v>
      </c>
      <c r="G415">
        <f t="shared" si="54"/>
        <v>0</v>
      </c>
      <c r="H415">
        <v>0</v>
      </c>
      <c r="I415">
        <f t="shared" si="55"/>
        <v>0</v>
      </c>
      <c r="J415">
        <v>0</v>
      </c>
      <c r="K415" t="s">
        <v>2000</v>
      </c>
      <c r="L415" t="s">
        <v>2001</v>
      </c>
      <c r="M415" t="s">
        <v>27</v>
      </c>
      <c r="N415" t="s">
        <v>27</v>
      </c>
      <c r="O415">
        <v>19.03</v>
      </c>
      <c r="P415" t="s">
        <v>27</v>
      </c>
      <c r="Q415" t="s">
        <v>27</v>
      </c>
      <c r="R415">
        <v>18.899999618530298</v>
      </c>
      <c r="S415">
        <v>6</v>
      </c>
      <c r="T415">
        <v>25.169757843017599</v>
      </c>
      <c r="U415">
        <v>39.813152313232401</v>
      </c>
      <c r="V415">
        <v>52108900</v>
      </c>
      <c r="W415">
        <v>-0.71169602870941195</v>
      </c>
      <c r="X415">
        <v>-0.31999999284744302</v>
      </c>
      <c r="Y415">
        <v>-9.5</v>
      </c>
      <c r="Z415">
        <v>-4.8463568687439</v>
      </c>
      <c r="AA415">
        <v>22310000</v>
      </c>
      <c r="AB415" t="s">
        <v>27</v>
      </c>
      <c r="AC415" t="s">
        <v>27</v>
      </c>
      <c r="AD415">
        <v>-0.69999998807907104</v>
      </c>
      <c r="AE415">
        <v>35.010940551757798</v>
      </c>
      <c r="AF415">
        <v>22.137847915271902</v>
      </c>
      <c r="AG415">
        <v>22485000</v>
      </c>
      <c r="AH415">
        <v>14.858078956604</v>
      </c>
      <c r="AI415">
        <v>-13.078051567077599</v>
      </c>
    </row>
    <row r="416" spans="1:35">
      <c r="A416">
        <f t="shared" si="48"/>
        <v>0</v>
      </c>
      <c r="B416">
        <f t="shared" si="49"/>
        <v>0</v>
      </c>
      <c r="C416">
        <f t="shared" si="50"/>
        <v>0</v>
      </c>
      <c r="D416">
        <f t="shared" si="51"/>
        <v>0</v>
      </c>
      <c r="E416">
        <f t="shared" si="52"/>
        <v>0</v>
      </c>
      <c r="F416">
        <f t="shared" si="53"/>
        <v>0</v>
      </c>
      <c r="G416">
        <f t="shared" si="54"/>
        <v>0</v>
      </c>
      <c r="H416">
        <v>0</v>
      </c>
      <c r="I416">
        <f t="shared" si="55"/>
        <v>0</v>
      </c>
      <c r="J416">
        <v>0</v>
      </c>
      <c r="K416" t="s">
        <v>2004</v>
      </c>
      <c r="L416" t="s">
        <v>2005</v>
      </c>
      <c r="M416" t="s">
        <v>27</v>
      </c>
      <c r="N416" t="s">
        <v>27</v>
      </c>
      <c r="O416">
        <v>5.27</v>
      </c>
      <c r="P416">
        <v>23.026760101318398</v>
      </c>
      <c r="Q416" t="s">
        <v>27</v>
      </c>
      <c r="R416">
        <v>16.450000762939499</v>
      </c>
      <c r="S416">
        <v>16.6875</v>
      </c>
      <c r="T416">
        <v>24.351596832275401</v>
      </c>
      <c r="U416">
        <v>38.996040344238303</v>
      </c>
      <c r="V416">
        <v>-5627000</v>
      </c>
      <c r="W416">
        <v>18.754819869995099</v>
      </c>
      <c r="X416">
        <v>0.62000000476837203</v>
      </c>
      <c r="Y416">
        <v>14.197182655334499</v>
      </c>
      <c r="Z416">
        <v>-3.6697249412536599</v>
      </c>
      <c r="AA416">
        <v>48716000</v>
      </c>
      <c r="AB416" t="s">
        <v>38</v>
      </c>
      <c r="AC416" t="s">
        <v>118</v>
      </c>
      <c r="AD416">
        <v>-0.5</v>
      </c>
      <c r="AE416">
        <v>21.023677825927699</v>
      </c>
      <c r="AF416" t="s">
        <v>27</v>
      </c>
      <c r="AG416">
        <v>49034000</v>
      </c>
      <c r="AH416">
        <v>38.880096435546903</v>
      </c>
      <c r="AI416">
        <v>-8.6985206604003906</v>
      </c>
    </row>
    <row r="417" spans="1:35">
      <c r="A417">
        <f t="shared" si="48"/>
        <v>0</v>
      </c>
      <c r="B417">
        <f t="shared" si="49"/>
        <v>1</v>
      </c>
      <c r="C417">
        <f t="shared" si="50"/>
        <v>1</v>
      </c>
      <c r="D417">
        <f t="shared" si="51"/>
        <v>0</v>
      </c>
      <c r="E417">
        <f t="shared" si="52"/>
        <v>1</v>
      </c>
      <c r="F417">
        <f t="shared" si="53"/>
        <v>0</v>
      </c>
      <c r="G417">
        <f t="shared" si="54"/>
        <v>0</v>
      </c>
      <c r="H417">
        <v>0</v>
      </c>
      <c r="I417">
        <f t="shared" si="55"/>
        <v>0</v>
      </c>
      <c r="J417">
        <v>0</v>
      </c>
      <c r="K417" t="s">
        <v>2006</v>
      </c>
      <c r="L417" t="s">
        <v>2007</v>
      </c>
      <c r="M417" t="s">
        <v>27</v>
      </c>
      <c r="N417" t="s">
        <v>27</v>
      </c>
      <c r="O417">
        <v>7.98</v>
      </c>
      <c r="P417" t="s">
        <v>27</v>
      </c>
      <c r="Q417" t="s">
        <v>27</v>
      </c>
      <c r="R417">
        <v>7.4400000572204599</v>
      </c>
      <c r="S417">
        <v>7.0625</v>
      </c>
      <c r="T417" t="s">
        <v>27</v>
      </c>
      <c r="U417" t="s">
        <v>27</v>
      </c>
      <c r="V417" t="s">
        <v>27</v>
      </c>
      <c r="W417">
        <v>-75.842033386230497</v>
      </c>
      <c r="X417" t="s">
        <v>27</v>
      </c>
      <c r="Y417" t="s">
        <v>27</v>
      </c>
      <c r="Z417" t="s">
        <v>27</v>
      </c>
      <c r="AA417" t="s">
        <v>27</v>
      </c>
      <c r="AB417" t="s">
        <v>73</v>
      </c>
      <c r="AC417" t="s">
        <v>141</v>
      </c>
      <c r="AD417" t="s">
        <v>27</v>
      </c>
      <c r="AE417" t="s">
        <v>27</v>
      </c>
      <c r="AF417" t="s">
        <v>27</v>
      </c>
      <c r="AG417" t="s">
        <v>27</v>
      </c>
      <c r="AH417" t="s">
        <v>27</v>
      </c>
      <c r="AI417">
        <v>-39.356784820556598</v>
      </c>
    </row>
    <row r="418" spans="1:35">
      <c r="A418">
        <f t="shared" si="48"/>
        <v>0</v>
      </c>
      <c r="B418">
        <f t="shared" si="49"/>
        <v>0</v>
      </c>
      <c r="C418">
        <f t="shared" si="50"/>
        <v>1</v>
      </c>
      <c r="D418">
        <f t="shared" si="51"/>
        <v>0</v>
      </c>
      <c r="E418">
        <f t="shared" si="52"/>
        <v>1</v>
      </c>
      <c r="F418">
        <f t="shared" si="53"/>
        <v>0</v>
      </c>
      <c r="G418">
        <f t="shared" si="54"/>
        <v>0</v>
      </c>
      <c r="H418">
        <v>0</v>
      </c>
      <c r="I418">
        <f t="shared" si="55"/>
        <v>0</v>
      </c>
      <c r="J418">
        <v>0</v>
      </c>
      <c r="K418" t="s">
        <v>2008</v>
      </c>
      <c r="L418" t="s">
        <v>2009</v>
      </c>
      <c r="M418" t="s">
        <v>27</v>
      </c>
      <c r="N418" t="s">
        <v>27</v>
      </c>
      <c r="O418">
        <v>4.1500000000000004</v>
      </c>
      <c r="P418" t="s">
        <v>27</v>
      </c>
      <c r="Q418" t="s">
        <v>27</v>
      </c>
      <c r="R418">
        <v>7.1999998092651403</v>
      </c>
      <c r="S418">
        <v>3.7000000476837198</v>
      </c>
      <c r="T418" t="s">
        <v>27</v>
      </c>
      <c r="U418" t="s">
        <v>27</v>
      </c>
      <c r="V418" t="s">
        <v>27</v>
      </c>
      <c r="W418">
        <v>1.9467619657516499</v>
      </c>
      <c r="X418" t="s">
        <v>27</v>
      </c>
      <c r="Y418" t="s">
        <v>27</v>
      </c>
      <c r="Z418" t="s">
        <v>27</v>
      </c>
      <c r="AA418" t="s">
        <v>27</v>
      </c>
      <c r="AB418" t="s">
        <v>27</v>
      </c>
      <c r="AC418" t="s">
        <v>27</v>
      </c>
      <c r="AD418" t="s">
        <v>27</v>
      </c>
      <c r="AE418" t="s">
        <v>27</v>
      </c>
      <c r="AF418" t="s">
        <v>27</v>
      </c>
      <c r="AG418" t="s">
        <v>27</v>
      </c>
      <c r="AH418" t="s">
        <v>27</v>
      </c>
      <c r="AI418">
        <v>-6.1570858955383301</v>
      </c>
    </row>
    <row r="419" spans="1:35">
      <c r="A419">
        <f t="shared" si="48"/>
        <v>1</v>
      </c>
      <c r="B419">
        <f t="shared" si="49"/>
        <v>0</v>
      </c>
      <c r="C419">
        <f t="shared" si="50"/>
        <v>1</v>
      </c>
      <c r="D419">
        <f t="shared" si="51"/>
        <v>0</v>
      </c>
      <c r="E419">
        <f t="shared" si="52"/>
        <v>0</v>
      </c>
      <c r="F419">
        <f t="shared" si="53"/>
        <v>0</v>
      </c>
      <c r="G419">
        <f t="shared" si="54"/>
        <v>0</v>
      </c>
      <c r="H419">
        <v>0</v>
      </c>
      <c r="I419">
        <f t="shared" si="55"/>
        <v>1</v>
      </c>
      <c r="J419">
        <v>0</v>
      </c>
      <c r="K419" t="s">
        <v>2010</v>
      </c>
      <c r="L419" t="s">
        <v>2011</v>
      </c>
      <c r="M419" t="s">
        <v>27</v>
      </c>
      <c r="N419" t="s">
        <v>27</v>
      </c>
      <c r="O419">
        <v>18.3</v>
      </c>
      <c r="P419">
        <v>1.9986100196838399</v>
      </c>
      <c r="Q419" t="s">
        <v>27</v>
      </c>
      <c r="R419">
        <v>16</v>
      </c>
      <c r="S419">
        <v>7</v>
      </c>
      <c r="T419">
        <v>31.7536315917969</v>
      </c>
      <c r="U419">
        <v>33.326454162597699</v>
      </c>
      <c r="V419">
        <v>170000.078125</v>
      </c>
      <c r="W419">
        <v>2.6407949924468999</v>
      </c>
      <c r="X419">
        <v>2.9999999329447701E-2</v>
      </c>
      <c r="Y419">
        <v>1.6000000238418599</v>
      </c>
      <c r="Z419">
        <v>0.18181799352169001</v>
      </c>
      <c r="AA419">
        <v>10715300</v>
      </c>
      <c r="AB419" t="s">
        <v>27</v>
      </c>
      <c r="AC419" t="s">
        <v>27</v>
      </c>
      <c r="AD419">
        <v>-0.33000001311302202</v>
      </c>
      <c r="AE419">
        <v>27.808496475219702</v>
      </c>
      <c r="AF419">
        <v>8.7071067294312705</v>
      </c>
      <c r="AG419">
        <v>10803000</v>
      </c>
      <c r="AH419">
        <v>28.891954421997099</v>
      </c>
      <c r="AI419">
        <v>-0.42528700828552202</v>
      </c>
    </row>
    <row r="420" spans="1:35">
      <c r="A420">
        <f t="shared" si="48"/>
        <v>0</v>
      </c>
      <c r="B420">
        <f t="shared" si="49"/>
        <v>0</v>
      </c>
      <c r="C420">
        <f t="shared" si="50"/>
        <v>0</v>
      </c>
      <c r="D420">
        <f t="shared" si="51"/>
        <v>1</v>
      </c>
      <c r="E420">
        <f t="shared" si="52"/>
        <v>0</v>
      </c>
      <c r="F420">
        <f t="shared" si="53"/>
        <v>0</v>
      </c>
      <c r="G420">
        <f t="shared" si="54"/>
        <v>0</v>
      </c>
      <c r="H420">
        <v>0</v>
      </c>
      <c r="I420">
        <f t="shared" si="55"/>
        <v>1</v>
      </c>
      <c r="J420">
        <v>0</v>
      </c>
      <c r="K420" t="s">
        <v>2016</v>
      </c>
      <c r="L420" t="s">
        <v>2017</v>
      </c>
      <c r="M420" t="s">
        <v>27</v>
      </c>
      <c r="N420" t="s">
        <v>27</v>
      </c>
      <c r="O420">
        <v>38.950000000000003</v>
      </c>
      <c r="P420">
        <v>8.5340986251831108</v>
      </c>
      <c r="Q420" t="s">
        <v>27</v>
      </c>
      <c r="R420">
        <v>27.030000686645501</v>
      </c>
      <c r="S420">
        <v>46.75</v>
      </c>
      <c r="T420">
        <v>11.111900329589799</v>
      </c>
      <c r="U420" t="s">
        <v>27</v>
      </c>
      <c r="V420">
        <v>-30725000</v>
      </c>
      <c r="W420">
        <v>3.24253606796265</v>
      </c>
      <c r="X420">
        <v>0.43999999761581399</v>
      </c>
      <c r="Y420">
        <v>6.2669582366943404</v>
      </c>
      <c r="Z420">
        <v>10.9473676681519</v>
      </c>
      <c r="AA420">
        <v>13504000</v>
      </c>
      <c r="AB420" t="s">
        <v>27</v>
      </c>
      <c r="AC420" t="s">
        <v>27</v>
      </c>
      <c r="AD420">
        <v>1.0199999809265099</v>
      </c>
      <c r="AE420" t="s">
        <v>27</v>
      </c>
      <c r="AF420" t="s">
        <v>27</v>
      </c>
      <c r="AG420">
        <v>18579000</v>
      </c>
      <c r="AH420">
        <v>12.470629692077599</v>
      </c>
      <c r="AI420">
        <v>-4.9294481277465803</v>
      </c>
    </row>
    <row r="421" spans="1:35">
      <c r="A421">
        <f t="shared" si="48"/>
        <v>0</v>
      </c>
      <c r="B421">
        <f t="shared" si="49"/>
        <v>1</v>
      </c>
      <c r="C421">
        <f t="shared" si="50"/>
        <v>1</v>
      </c>
      <c r="D421">
        <f t="shared" si="51"/>
        <v>1</v>
      </c>
      <c r="E421">
        <f t="shared" si="52"/>
        <v>0</v>
      </c>
      <c r="F421">
        <f t="shared" si="53"/>
        <v>0</v>
      </c>
      <c r="G421">
        <f t="shared" si="54"/>
        <v>1</v>
      </c>
      <c r="H421">
        <v>0</v>
      </c>
      <c r="I421">
        <f t="shared" si="55"/>
        <v>0</v>
      </c>
      <c r="J421">
        <v>0</v>
      </c>
      <c r="K421" t="s">
        <v>2026</v>
      </c>
      <c r="L421" t="s">
        <v>2027</v>
      </c>
      <c r="M421" t="s">
        <v>27</v>
      </c>
      <c r="N421" t="s">
        <v>27</v>
      </c>
      <c r="O421">
        <v>14.721</v>
      </c>
      <c r="P421" t="s">
        <v>27</v>
      </c>
      <c r="Q421" t="s">
        <v>27</v>
      </c>
      <c r="R421">
        <v>22.299999237060501</v>
      </c>
      <c r="S421">
        <v>15.5625</v>
      </c>
      <c r="T421">
        <v>0</v>
      </c>
      <c r="U421">
        <v>48.848888397216797</v>
      </c>
      <c r="V421">
        <v>1802999.875</v>
      </c>
      <c r="W421">
        <v>-50.199840545654297</v>
      </c>
      <c r="X421">
        <v>0.18000000715255701</v>
      </c>
      <c r="Y421" t="s">
        <v>27</v>
      </c>
      <c r="Z421" t="s">
        <v>27</v>
      </c>
      <c r="AA421">
        <v>9864000</v>
      </c>
      <c r="AB421" t="s">
        <v>27</v>
      </c>
      <c r="AC421" t="s">
        <v>27</v>
      </c>
      <c r="AD421">
        <v>0.259999990463257</v>
      </c>
      <c r="AE421">
        <v>56.418525695800803</v>
      </c>
      <c r="AF421" t="s">
        <v>27</v>
      </c>
      <c r="AG421">
        <v>9824000</v>
      </c>
      <c r="AH421">
        <v>0</v>
      </c>
      <c r="AI421">
        <v>-41.860015869140597</v>
      </c>
    </row>
    <row r="422" spans="1:35">
      <c r="A422">
        <f t="shared" si="48"/>
        <v>0</v>
      </c>
      <c r="B422">
        <f t="shared" si="49"/>
        <v>1</v>
      </c>
      <c r="C422">
        <f t="shared" si="50"/>
        <v>0</v>
      </c>
      <c r="D422">
        <f t="shared" si="51"/>
        <v>0</v>
      </c>
      <c r="E422">
        <f t="shared" si="52"/>
        <v>0</v>
      </c>
      <c r="F422">
        <f t="shared" si="53"/>
        <v>1</v>
      </c>
      <c r="G422">
        <f t="shared" si="54"/>
        <v>1</v>
      </c>
      <c r="H422">
        <v>0</v>
      </c>
      <c r="I422">
        <f t="shared" si="55"/>
        <v>0</v>
      </c>
      <c r="J422">
        <v>0</v>
      </c>
      <c r="K422" t="s">
        <v>2028</v>
      </c>
      <c r="L422" t="s">
        <v>2029</v>
      </c>
      <c r="M422" t="s">
        <v>27</v>
      </c>
      <c r="N422" t="s">
        <v>27</v>
      </c>
      <c r="O422">
        <v>7.55</v>
      </c>
      <c r="P422" t="s">
        <v>27</v>
      </c>
      <c r="Q422" t="s">
        <v>27</v>
      </c>
      <c r="R422">
        <v>22.340000152587901</v>
      </c>
      <c r="S422">
        <v>25.9375</v>
      </c>
      <c r="T422">
        <v>19.593553543090799</v>
      </c>
      <c r="U422">
        <v>61.9718208312988</v>
      </c>
      <c r="V422">
        <v>-3887000</v>
      </c>
      <c r="W422">
        <v>5.8818922042846697</v>
      </c>
      <c r="X422">
        <v>0.21999999880790699</v>
      </c>
      <c r="Y422">
        <v>4.16744184494019</v>
      </c>
      <c r="Z422">
        <v>4.9681529998779297</v>
      </c>
      <c r="AA422">
        <v>107378000</v>
      </c>
      <c r="AB422" t="s">
        <v>38</v>
      </c>
      <c r="AC422" t="s">
        <v>118</v>
      </c>
      <c r="AD422">
        <v>-0.95999997854232799</v>
      </c>
      <c r="AE422">
        <v>62.102413177490199</v>
      </c>
      <c r="AF422">
        <v>28.1049679981537</v>
      </c>
      <c r="AG422">
        <v>109362000</v>
      </c>
      <c r="AH422">
        <v>21.981031417846701</v>
      </c>
      <c r="AI422">
        <v>15.1793880462646</v>
      </c>
    </row>
    <row r="423" spans="1:35">
      <c r="A423">
        <f t="shared" si="48"/>
        <v>0</v>
      </c>
      <c r="B423">
        <f t="shared" si="49"/>
        <v>1</v>
      </c>
      <c r="C423">
        <f t="shared" si="50"/>
        <v>0</v>
      </c>
      <c r="D423">
        <f t="shared" si="51"/>
        <v>1</v>
      </c>
      <c r="E423">
        <f t="shared" si="52"/>
        <v>0</v>
      </c>
      <c r="F423">
        <f t="shared" si="53"/>
        <v>1</v>
      </c>
      <c r="G423">
        <f t="shared" si="54"/>
        <v>1</v>
      </c>
      <c r="H423">
        <v>0</v>
      </c>
      <c r="I423">
        <f t="shared" si="55"/>
        <v>0</v>
      </c>
      <c r="J423">
        <v>0</v>
      </c>
      <c r="K423" t="s">
        <v>2030</v>
      </c>
      <c r="L423" t="s">
        <v>2031</v>
      </c>
      <c r="M423" t="s">
        <v>27</v>
      </c>
      <c r="N423" t="s">
        <v>27</v>
      </c>
      <c r="O423">
        <v>16</v>
      </c>
      <c r="P423" t="s">
        <v>27</v>
      </c>
      <c r="Q423" t="s">
        <v>27</v>
      </c>
      <c r="R423">
        <v>24.530000686645501</v>
      </c>
      <c r="S423">
        <v>16.1875</v>
      </c>
      <c r="T423">
        <v>15.4964847564697</v>
      </c>
      <c r="U423">
        <v>1.38405096530914</v>
      </c>
      <c r="V423">
        <v>-23153000</v>
      </c>
      <c r="W423">
        <v>-2.1553640365600599</v>
      </c>
      <c r="X423">
        <v>-2.9999999329447701E-2</v>
      </c>
      <c r="Y423" t="s">
        <v>27</v>
      </c>
      <c r="Z423" t="s">
        <v>27</v>
      </c>
      <c r="AA423">
        <v>37273000</v>
      </c>
      <c r="AB423" t="s">
        <v>30</v>
      </c>
      <c r="AC423" t="s">
        <v>945</v>
      </c>
      <c r="AD423">
        <v>0.21999999880790699</v>
      </c>
      <c r="AE423">
        <v>8.4438219070434606</v>
      </c>
      <c r="AF423" t="s">
        <v>27</v>
      </c>
      <c r="AG423">
        <v>38627000</v>
      </c>
      <c r="AH423">
        <v>16.151817321777301</v>
      </c>
      <c r="AI423">
        <v>34.264148712158203</v>
      </c>
    </row>
    <row r="424" spans="1:35">
      <c r="A424">
        <f t="shared" si="48"/>
        <v>0</v>
      </c>
      <c r="B424">
        <f t="shared" si="49"/>
        <v>0</v>
      </c>
      <c r="C424">
        <f t="shared" si="50"/>
        <v>0</v>
      </c>
      <c r="D424">
        <f t="shared" si="51"/>
        <v>0</v>
      </c>
      <c r="E424">
        <f t="shared" si="52"/>
        <v>0</v>
      </c>
      <c r="F424">
        <f t="shared" si="53"/>
        <v>0</v>
      </c>
      <c r="G424">
        <f t="shared" si="54"/>
        <v>0</v>
      </c>
      <c r="H424">
        <v>0</v>
      </c>
      <c r="I424">
        <f t="shared" si="55"/>
        <v>0</v>
      </c>
      <c r="J424">
        <v>0</v>
      </c>
      <c r="K424" t="s">
        <v>2038</v>
      </c>
      <c r="L424" t="s">
        <v>2039</v>
      </c>
      <c r="M424" t="s">
        <v>27</v>
      </c>
      <c r="N424" t="s">
        <v>27</v>
      </c>
      <c r="O424">
        <v>5.03</v>
      </c>
      <c r="P424" t="s">
        <v>27</v>
      </c>
      <c r="Q424" t="s">
        <v>27</v>
      </c>
      <c r="R424">
        <v>14</v>
      </c>
      <c r="S424">
        <v>18.375</v>
      </c>
      <c r="T424">
        <v>0</v>
      </c>
      <c r="U424">
        <v>79.518180847167997</v>
      </c>
      <c r="V424">
        <v>-12319000</v>
      </c>
      <c r="W424">
        <v>0.85825198888778698</v>
      </c>
      <c r="X424">
        <v>-3.9999999105930301E-2</v>
      </c>
      <c r="Y424">
        <v>0.81860500574111905</v>
      </c>
      <c r="Z424">
        <v>-3.1021900177002002</v>
      </c>
      <c r="AA424">
        <v>87330000</v>
      </c>
      <c r="AB424" t="s">
        <v>27</v>
      </c>
      <c r="AC424" t="s">
        <v>27</v>
      </c>
      <c r="AD424">
        <v>-0.15000000596046401</v>
      </c>
      <c r="AE424">
        <v>76.580780029296903</v>
      </c>
      <c r="AF424" t="s">
        <v>27</v>
      </c>
      <c r="AG424">
        <v>89450000</v>
      </c>
      <c r="AH424">
        <v>0</v>
      </c>
      <c r="AI424">
        <v>-8.4150791168212908</v>
      </c>
    </row>
    <row r="425" spans="1:35">
      <c r="A425">
        <f t="shared" si="48"/>
        <v>0</v>
      </c>
      <c r="B425">
        <f t="shared" si="49"/>
        <v>0</v>
      </c>
      <c r="C425">
        <f t="shared" si="50"/>
        <v>0</v>
      </c>
      <c r="D425">
        <f t="shared" si="51"/>
        <v>1</v>
      </c>
      <c r="E425">
        <f t="shared" si="52"/>
        <v>0</v>
      </c>
      <c r="F425">
        <f t="shared" si="53"/>
        <v>0</v>
      </c>
      <c r="G425">
        <f t="shared" si="54"/>
        <v>1</v>
      </c>
      <c r="H425">
        <v>0</v>
      </c>
      <c r="I425">
        <f t="shared" si="55"/>
        <v>1</v>
      </c>
      <c r="J425">
        <v>0</v>
      </c>
      <c r="K425" t="s">
        <v>2040</v>
      </c>
      <c r="L425" t="s">
        <v>2041</v>
      </c>
      <c r="M425" t="s">
        <v>27</v>
      </c>
      <c r="N425" t="s">
        <v>27</v>
      </c>
      <c r="O425">
        <v>14.8</v>
      </c>
      <c r="P425" t="s">
        <v>27</v>
      </c>
      <c r="Q425" t="s">
        <v>27</v>
      </c>
      <c r="R425">
        <v>7.9510002136230504</v>
      </c>
      <c r="S425">
        <v>4.25</v>
      </c>
      <c r="T425">
        <v>3.0476300716400102</v>
      </c>
      <c r="U425">
        <v>71.240310668945298</v>
      </c>
      <c r="V425">
        <v>-4314000</v>
      </c>
      <c r="W425">
        <v>-132.13543701171901</v>
      </c>
      <c r="X425">
        <v>-0.81000000238418601</v>
      </c>
      <c r="Y425" t="s">
        <v>27</v>
      </c>
      <c r="Z425">
        <v>-49.152542114257798</v>
      </c>
      <c r="AA425">
        <v>18705000</v>
      </c>
      <c r="AB425" t="s">
        <v>27</v>
      </c>
      <c r="AC425" t="s">
        <v>27</v>
      </c>
      <c r="AD425">
        <v>-0.20000000298023199</v>
      </c>
      <c r="AE425">
        <v>80.759170532226605</v>
      </c>
      <c r="AF425">
        <v>54.787207452828703</v>
      </c>
      <c r="AG425">
        <v>19067000</v>
      </c>
      <c r="AH425">
        <v>9.4193744659423793</v>
      </c>
      <c r="AI425">
        <v>-184.13082885742199</v>
      </c>
    </row>
    <row r="426" spans="1:35">
      <c r="A426">
        <f t="shared" si="48"/>
        <v>0</v>
      </c>
      <c r="B426">
        <f t="shared" si="49"/>
        <v>0</v>
      </c>
      <c r="C426">
        <f t="shared" si="50"/>
        <v>0</v>
      </c>
      <c r="D426">
        <f t="shared" si="51"/>
        <v>1</v>
      </c>
      <c r="E426">
        <f t="shared" si="52"/>
        <v>0</v>
      </c>
      <c r="F426">
        <f t="shared" si="53"/>
        <v>0</v>
      </c>
      <c r="G426">
        <f t="shared" si="54"/>
        <v>1</v>
      </c>
      <c r="H426">
        <v>0</v>
      </c>
      <c r="I426">
        <f t="shared" si="55"/>
        <v>1</v>
      </c>
      <c r="J426">
        <v>0</v>
      </c>
      <c r="K426" t="s">
        <v>2044</v>
      </c>
      <c r="L426" t="s">
        <v>2045</v>
      </c>
      <c r="M426" t="s">
        <v>27</v>
      </c>
      <c r="N426" t="s">
        <v>27</v>
      </c>
      <c r="O426">
        <v>5</v>
      </c>
      <c r="P426" t="s">
        <v>27</v>
      </c>
      <c r="Q426" t="s">
        <v>27</v>
      </c>
      <c r="R426">
        <v>2.8399999141693102</v>
      </c>
      <c r="S426">
        <v>1.625</v>
      </c>
      <c r="T426">
        <v>8.0332717895507795</v>
      </c>
      <c r="U426">
        <v>16.536455154418899</v>
      </c>
      <c r="V426">
        <v>-1392000.125</v>
      </c>
      <c r="W426">
        <v>-55.478511810302699</v>
      </c>
      <c r="X426">
        <v>-0.46000000834464999</v>
      </c>
      <c r="Y426" t="s">
        <v>27</v>
      </c>
      <c r="Z426">
        <v>-82</v>
      </c>
      <c r="AA426">
        <v>60255000</v>
      </c>
      <c r="AB426" t="s">
        <v>27</v>
      </c>
      <c r="AC426" t="s">
        <v>27</v>
      </c>
      <c r="AD426">
        <v>-5.9999998658895499E-2</v>
      </c>
      <c r="AE426">
        <v>28.686357498168899</v>
      </c>
      <c r="AF426">
        <v>40.193383873727903</v>
      </c>
      <c r="AG426">
        <v>59755000</v>
      </c>
      <c r="AH426">
        <v>14.1457319259644</v>
      </c>
      <c r="AI426">
        <v>-95.942436218261705</v>
      </c>
    </row>
    <row r="427" spans="1:35">
      <c r="A427">
        <f t="shared" si="48"/>
        <v>1</v>
      </c>
      <c r="B427">
        <f t="shared" si="49"/>
        <v>1</v>
      </c>
      <c r="C427">
        <f t="shared" si="50"/>
        <v>0</v>
      </c>
      <c r="D427">
        <f t="shared" si="51"/>
        <v>0</v>
      </c>
      <c r="E427">
        <f t="shared" si="52"/>
        <v>0</v>
      </c>
      <c r="F427">
        <f t="shared" si="53"/>
        <v>0</v>
      </c>
      <c r="G427">
        <f t="shared" si="54"/>
        <v>0</v>
      </c>
      <c r="H427">
        <v>0</v>
      </c>
      <c r="I427">
        <f t="shared" si="55"/>
        <v>0</v>
      </c>
      <c r="J427">
        <v>0</v>
      </c>
      <c r="K427" t="s">
        <v>2046</v>
      </c>
      <c r="L427" t="s">
        <v>2047</v>
      </c>
      <c r="M427" t="s">
        <v>27</v>
      </c>
      <c r="N427" t="s">
        <v>27</v>
      </c>
      <c r="O427">
        <v>4.42</v>
      </c>
      <c r="P427" t="s">
        <v>27</v>
      </c>
      <c r="Q427" t="s">
        <v>27</v>
      </c>
      <c r="R427">
        <v>11.449999809265099</v>
      </c>
      <c r="S427">
        <v>15</v>
      </c>
      <c r="T427">
        <v>1.3946959972381601</v>
      </c>
      <c r="U427" t="s">
        <v>27</v>
      </c>
      <c r="V427">
        <v>-5087000</v>
      </c>
      <c r="W427">
        <v>-49.103542327880902</v>
      </c>
      <c r="X427">
        <v>-2.9999999329447701E-2</v>
      </c>
      <c r="Y427" t="s">
        <v>27</v>
      </c>
      <c r="Z427">
        <v>-5.6578950881957999</v>
      </c>
      <c r="AA427">
        <v>47938000</v>
      </c>
      <c r="AB427" t="s">
        <v>73</v>
      </c>
      <c r="AC427" t="s">
        <v>141</v>
      </c>
      <c r="AD427">
        <v>-0.119999997317791</v>
      </c>
      <c r="AE427" t="s">
        <v>27</v>
      </c>
      <c r="AF427" t="s">
        <v>27</v>
      </c>
      <c r="AG427">
        <v>51915000</v>
      </c>
      <c r="AH427">
        <v>0.21066999435424799</v>
      </c>
      <c r="AI427">
        <v>-21.395206451416001</v>
      </c>
    </row>
    <row r="428" spans="1:35">
      <c r="A428">
        <f t="shared" si="48"/>
        <v>1</v>
      </c>
      <c r="B428">
        <f t="shared" si="49"/>
        <v>0</v>
      </c>
      <c r="C428">
        <f t="shared" si="50"/>
        <v>0</v>
      </c>
      <c r="D428">
        <f t="shared" si="51"/>
        <v>0</v>
      </c>
      <c r="E428">
        <f t="shared" si="52"/>
        <v>0</v>
      </c>
      <c r="F428">
        <f t="shared" si="53"/>
        <v>0</v>
      </c>
      <c r="G428">
        <f t="shared" si="54"/>
        <v>0</v>
      </c>
      <c r="H428">
        <v>0</v>
      </c>
      <c r="I428">
        <f t="shared" si="55"/>
        <v>0</v>
      </c>
      <c r="J428">
        <v>0</v>
      </c>
      <c r="K428" t="s">
        <v>2056</v>
      </c>
      <c r="L428" t="s">
        <v>2057</v>
      </c>
      <c r="M428" t="s">
        <v>27</v>
      </c>
      <c r="N428" t="s">
        <v>27</v>
      </c>
      <c r="O428">
        <v>8.1</v>
      </c>
      <c r="P428" t="s">
        <v>27</v>
      </c>
      <c r="Q428" t="s">
        <v>27</v>
      </c>
      <c r="R428">
        <v>10.1499996185303</v>
      </c>
      <c r="S428">
        <v>5.25</v>
      </c>
      <c r="T428">
        <v>10.419942855835</v>
      </c>
      <c r="U428">
        <v>47.213775634765597</v>
      </c>
      <c r="V428">
        <v>-1586000</v>
      </c>
      <c r="W428">
        <v>-2.3761930465698202</v>
      </c>
      <c r="X428">
        <v>-5.0000000745058101E-2</v>
      </c>
      <c r="Y428">
        <v>-2.32258105278015</v>
      </c>
      <c r="Z428">
        <v>-3.0732860565185498</v>
      </c>
      <c r="AA428">
        <v>12620000</v>
      </c>
      <c r="AB428" t="s">
        <v>27</v>
      </c>
      <c r="AC428" t="s">
        <v>27</v>
      </c>
      <c r="AD428">
        <v>-0.15000000596046401</v>
      </c>
      <c r="AE428">
        <v>40.065582275390597</v>
      </c>
      <c r="AF428" t="s">
        <v>27</v>
      </c>
      <c r="AG428">
        <v>12758000</v>
      </c>
      <c r="AH428">
        <v>10.417103767395</v>
      </c>
      <c r="AI428">
        <v>-5.7610287666320801</v>
      </c>
    </row>
    <row r="429" spans="1:35">
      <c r="A429">
        <f t="shared" si="48"/>
        <v>0</v>
      </c>
      <c r="B429">
        <f t="shared" si="49"/>
        <v>0</v>
      </c>
      <c r="C429">
        <f t="shared" si="50"/>
        <v>0</v>
      </c>
      <c r="D429">
        <f t="shared" si="51"/>
        <v>1</v>
      </c>
      <c r="E429">
        <f t="shared" si="52"/>
        <v>0</v>
      </c>
      <c r="F429">
        <f t="shared" si="53"/>
        <v>0</v>
      </c>
      <c r="G429">
        <f t="shared" si="54"/>
        <v>0</v>
      </c>
      <c r="H429">
        <v>0</v>
      </c>
      <c r="I429">
        <f t="shared" si="55"/>
        <v>0</v>
      </c>
      <c r="J429">
        <v>0</v>
      </c>
      <c r="K429" t="s">
        <v>2060</v>
      </c>
      <c r="L429" t="s">
        <v>2061</v>
      </c>
      <c r="M429" t="s">
        <v>27</v>
      </c>
      <c r="N429" t="s">
        <v>27</v>
      </c>
      <c r="O429">
        <v>4.66</v>
      </c>
      <c r="P429" t="s">
        <v>27</v>
      </c>
      <c r="Q429" t="s">
        <v>27</v>
      </c>
      <c r="R429">
        <v>15.079999923706101</v>
      </c>
      <c r="S429">
        <v>12.9375</v>
      </c>
      <c r="T429">
        <v>107.89923858642599</v>
      </c>
      <c r="U429">
        <v>83.533218383789105</v>
      </c>
      <c r="V429">
        <v>-7147000</v>
      </c>
      <c r="W429">
        <v>-51.412448883056598</v>
      </c>
      <c r="X429">
        <v>-0.239999994635582</v>
      </c>
      <c r="Y429">
        <v>-8.8975610733032209</v>
      </c>
      <c r="Z429">
        <v>-7.9520702362060502</v>
      </c>
      <c r="AA429">
        <v>56649000</v>
      </c>
      <c r="AB429" t="s">
        <v>73</v>
      </c>
      <c r="AC429" t="s">
        <v>141</v>
      </c>
      <c r="AD429">
        <v>-0.129999995231628</v>
      </c>
      <c r="AE429">
        <v>80.989883422851605</v>
      </c>
      <c r="AF429" t="s">
        <v>27</v>
      </c>
      <c r="AG429">
        <v>59707000</v>
      </c>
      <c r="AH429">
        <v>119.365272521973</v>
      </c>
      <c r="AI429">
        <v>-58.351978302002003</v>
      </c>
    </row>
    <row r="430" spans="1:35">
      <c r="A430">
        <f t="shared" si="48"/>
        <v>1</v>
      </c>
      <c r="B430">
        <f t="shared" si="49"/>
        <v>1</v>
      </c>
      <c r="C430">
        <f t="shared" si="50"/>
        <v>0</v>
      </c>
      <c r="D430">
        <f t="shared" si="51"/>
        <v>1</v>
      </c>
      <c r="E430">
        <f t="shared" si="52"/>
        <v>0</v>
      </c>
      <c r="F430">
        <f t="shared" si="53"/>
        <v>0</v>
      </c>
      <c r="G430">
        <f t="shared" si="54"/>
        <v>1</v>
      </c>
      <c r="H430">
        <v>0</v>
      </c>
      <c r="I430">
        <f t="shared" si="55"/>
        <v>0</v>
      </c>
      <c r="J430">
        <v>0</v>
      </c>
      <c r="K430" t="s">
        <v>2074</v>
      </c>
      <c r="L430" t="s">
        <v>2075</v>
      </c>
      <c r="M430" t="s">
        <v>27</v>
      </c>
      <c r="N430" t="s">
        <v>27</v>
      </c>
      <c r="O430">
        <v>5.14</v>
      </c>
      <c r="P430" t="s">
        <v>27</v>
      </c>
      <c r="Q430" t="s">
        <v>27</v>
      </c>
      <c r="R430">
        <v>15.1599998474121</v>
      </c>
      <c r="S430">
        <v>16.125</v>
      </c>
      <c r="T430">
        <v>3.5512039661407502</v>
      </c>
      <c r="U430">
        <v>44.488697052002003</v>
      </c>
      <c r="V430">
        <v>-2255000</v>
      </c>
      <c r="W430">
        <v>-62.6846923828125</v>
      </c>
      <c r="X430">
        <v>-3.2300000190734899</v>
      </c>
      <c r="Y430" t="s">
        <v>27</v>
      </c>
      <c r="Z430">
        <v>-3.4821429252624498</v>
      </c>
      <c r="AA430">
        <v>14966000</v>
      </c>
      <c r="AB430" t="s">
        <v>27</v>
      </c>
      <c r="AC430" t="s">
        <v>27</v>
      </c>
      <c r="AD430">
        <v>-0.259999990463257</v>
      </c>
      <c r="AE430">
        <v>48.3383178710938</v>
      </c>
      <c r="AF430">
        <v>39.719741046369897</v>
      </c>
      <c r="AG430">
        <v>38171000</v>
      </c>
      <c r="AH430">
        <v>2.55276298522949</v>
      </c>
      <c r="AI430">
        <v>-35.3583793640137</v>
      </c>
    </row>
    <row r="431" spans="1:35">
      <c r="A431">
        <f t="shared" ref="A431:A490" si="56">IF(AH431&lt;T431,1,0)</f>
        <v>0</v>
      </c>
      <c r="B431">
        <f t="shared" ref="B431:B490" si="57">IF(AI431&gt;W431,1,0)</f>
        <v>0</v>
      </c>
      <c r="C431">
        <f t="shared" ref="C431:C490" si="58">IF(V431&gt;0,1,0)</f>
        <v>1</v>
      </c>
      <c r="D431">
        <f t="shared" ref="D431:D490" si="59">IF(AD431&gt;X431,1,0)</f>
        <v>1</v>
      </c>
      <c r="E431">
        <f t="shared" ref="E431:E490" si="60">IF(AA431=AG431,1,0)</f>
        <v>0</v>
      </c>
      <c r="F431">
        <f t="shared" ref="F431:F490" si="61">IF(AI431&gt;0,1,0)</f>
        <v>1</v>
      </c>
      <c r="G431">
        <f t="shared" ref="G431:G490" si="62">IF(AE431&gt;U431,1,0)</f>
        <v>1</v>
      </c>
      <c r="H431">
        <v>0</v>
      </c>
      <c r="I431">
        <f t="shared" ref="I431:I490" si="63">IF(((O431-R431)/R431)&gt;0.075,1,0)</f>
        <v>1</v>
      </c>
      <c r="J431">
        <v>0</v>
      </c>
      <c r="K431" t="s">
        <v>2086</v>
      </c>
      <c r="L431" t="s">
        <v>2087</v>
      </c>
      <c r="M431" t="s">
        <v>27</v>
      </c>
      <c r="N431" t="s">
        <v>27</v>
      </c>
      <c r="O431">
        <v>3.05</v>
      </c>
      <c r="P431" t="s">
        <v>27</v>
      </c>
      <c r="Q431" t="s">
        <v>27</v>
      </c>
      <c r="R431">
        <v>2.7999999523162802</v>
      </c>
      <c r="S431">
        <v>3.375</v>
      </c>
      <c r="T431">
        <v>28.490209579467798</v>
      </c>
      <c r="U431">
        <v>78.218475341796903</v>
      </c>
      <c r="V431" t="s">
        <v>27</v>
      </c>
      <c r="W431" t="s">
        <v>27</v>
      </c>
      <c r="X431">
        <v>-0.25</v>
      </c>
      <c r="Y431" t="s">
        <v>27</v>
      </c>
      <c r="Z431" t="s">
        <v>27</v>
      </c>
      <c r="AA431">
        <v>91569000</v>
      </c>
      <c r="AB431" t="s">
        <v>38</v>
      </c>
      <c r="AC431" t="s">
        <v>157</v>
      </c>
      <c r="AD431" t="s">
        <v>27</v>
      </c>
      <c r="AE431" t="s">
        <v>27</v>
      </c>
      <c r="AF431" t="s">
        <v>27</v>
      </c>
      <c r="AG431" t="s">
        <v>27</v>
      </c>
      <c r="AH431" t="s">
        <v>27</v>
      </c>
      <c r="AI431" t="s">
        <v>27</v>
      </c>
    </row>
    <row r="432" spans="1:35">
      <c r="A432">
        <f t="shared" si="56"/>
        <v>0</v>
      </c>
      <c r="B432">
        <f t="shared" si="57"/>
        <v>0</v>
      </c>
      <c r="C432">
        <f t="shared" si="58"/>
        <v>1</v>
      </c>
      <c r="D432">
        <f t="shared" si="59"/>
        <v>1</v>
      </c>
      <c r="E432">
        <f t="shared" si="60"/>
        <v>0</v>
      </c>
      <c r="F432">
        <f t="shared" si="61"/>
        <v>0</v>
      </c>
      <c r="G432">
        <f t="shared" si="62"/>
        <v>1</v>
      </c>
      <c r="H432">
        <v>0</v>
      </c>
      <c r="I432">
        <f t="shared" si="63"/>
        <v>0</v>
      </c>
      <c r="J432">
        <v>0</v>
      </c>
      <c r="K432" t="s">
        <v>2088</v>
      </c>
      <c r="L432" t="s">
        <v>2089</v>
      </c>
      <c r="M432" t="s">
        <v>27</v>
      </c>
      <c r="N432" t="s">
        <v>27</v>
      </c>
      <c r="O432">
        <v>7.3</v>
      </c>
      <c r="P432" t="s">
        <v>27</v>
      </c>
      <c r="Q432" t="s">
        <v>27</v>
      </c>
      <c r="R432">
        <v>8.6400003433227504</v>
      </c>
      <c r="S432">
        <v>11.1499996185303</v>
      </c>
      <c r="T432">
        <v>34.652870178222699</v>
      </c>
      <c r="U432">
        <v>5.5500211715698198</v>
      </c>
      <c r="V432">
        <v>33700000</v>
      </c>
      <c r="W432">
        <v>7.2178850173950204</v>
      </c>
      <c r="X432">
        <v>-0.38999998569488498</v>
      </c>
      <c r="Y432">
        <v>11.863945007324199</v>
      </c>
      <c r="Z432">
        <v>-17.5384616851807</v>
      </c>
      <c r="AA432">
        <v>104180000</v>
      </c>
      <c r="AB432" t="s">
        <v>52</v>
      </c>
      <c r="AC432" t="s">
        <v>1064</v>
      </c>
      <c r="AD432">
        <v>-1.9999999552965199E-2</v>
      </c>
      <c r="AE432">
        <v>9.2063484191894496</v>
      </c>
      <c r="AF432">
        <v>18.204346529351199</v>
      </c>
      <c r="AG432">
        <v>104457000</v>
      </c>
      <c r="AH432">
        <v>37.902740478515597</v>
      </c>
      <c r="AI432">
        <v>-0.402161985635757</v>
      </c>
    </row>
    <row r="433" spans="1:35">
      <c r="A433">
        <f t="shared" si="56"/>
        <v>0</v>
      </c>
      <c r="B433">
        <f t="shared" si="57"/>
        <v>1</v>
      </c>
      <c r="C433">
        <f t="shared" si="58"/>
        <v>1</v>
      </c>
      <c r="D433">
        <f t="shared" si="59"/>
        <v>0</v>
      </c>
      <c r="E433">
        <f t="shared" si="60"/>
        <v>0</v>
      </c>
      <c r="F433">
        <f t="shared" si="61"/>
        <v>1</v>
      </c>
      <c r="G433">
        <f t="shared" si="62"/>
        <v>0</v>
      </c>
      <c r="H433">
        <v>0</v>
      </c>
      <c r="I433">
        <f t="shared" si="63"/>
        <v>0</v>
      </c>
      <c r="J433">
        <v>0</v>
      </c>
      <c r="K433" t="s">
        <v>2096</v>
      </c>
      <c r="L433" t="s">
        <v>2097</v>
      </c>
      <c r="M433" t="s">
        <v>27</v>
      </c>
      <c r="N433" t="s">
        <v>27</v>
      </c>
      <c r="O433">
        <v>1.98</v>
      </c>
      <c r="P433" t="s">
        <v>27</v>
      </c>
      <c r="Q433" t="s">
        <v>27</v>
      </c>
      <c r="R433">
        <v>6.3000001907348597</v>
      </c>
      <c r="S433">
        <v>6.0500001907348597</v>
      </c>
      <c r="T433">
        <v>32.058986663818402</v>
      </c>
      <c r="U433">
        <v>39.798069000244098</v>
      </c>
      <c r="V433">
        <v>1906999.875</v>
      </c>
      <c r="W433">
        <v>1.4356780052185101</v>
      </c>
      <c r="X433">
        <v>-9.00000035762787E-2</v>
      </c>
      <c r="Y433">
        <v>11.157895088195801</v>
      </c>
      <c r="Z433">
        <v>-6.4462809562683097</v>
      </c>
      <c r="AA433">
        <v>22420000</v>
      </c>
      <c r="AB433" t="s">
        <v>30</v>
      </c>
      <c r="AC433" t="s">
        <v>223</v>
      </c>
      <c r="AD433">
        <v>-0.239999994635582</v>
      </c>
      <c r="AE433">
        <v>39.525238037109403</v>
      </c>
      <c r="AF433">
        <v>5.6337967263038298</v>
      </c>
      <c r="AG433">
        <v>22423000</v>
      </c>
      <c r="AH433">
        <v>35.724330902099602</v>
      </c>
      <c r="AI433">
        <v>8.3533563613891602</v>
      </c>
    </row>
    <row r="434" spans="1:35">
      <c r="A434">
        <f t="shared" si="56"/>
        <v>0</v>
      </c>
      <c r="B434">
        <f t="shared" si="57"/>
        <v>1</v>
      </c>
      <c r="C434">
        <f t="shared" si="58"/>
        <v>0</v>
      </c>
      <c r="D434">
        <f t="shared" si="59"/>
        <v>0</v>
      </c>
      <c r="E434">
        <f t="shared" si="60"/>
        <v>0</v>
      </c>
      <c r="F434">
        <f t="shared" si="61"/>
        <v>0</v>
      </c>
      <c r="G434">
        <f t="shared" si="62"/>
        <v>0</v>
      </c>
      <c r="H434">
        <v>0</v>
      </c>
      <c r="I434">
        <f t="shared" si="63"/>
        <v>0</v>
      </c>
      <c r="J434">
        <v>0</v>
      </c>
      <c r="K434" t="s">
        <v>2102</v>
      </c>
      <c r="L434" t="s">
        <v>2103</v>
      </c>
      <c r="M434" t="s">
        <v>27</v>
      </c>
      <c r="N434" t="s">
        <v>27</v>
      </c>
      <c r="O434">
        <v>4.55</v>
      </c>
      <c r="P434" t="s">
        <v>27</v>
      </c>
      <c r="Q434" t="s">
        <v>27</v>
      </c>
      <c r="R434">
        <v>17.180000305175799</v>
      </c>
      <c r="S434">
        <v>27.703125</v>
      </c>
      <c r="T434">
        <v>0</v>
      </c>
      <c r="U434">
        <v>38.833694458007798</v>
      </c>
      <c r="V434">
        <v>-5264000</v>
      </c>
      <c r="W434">
        <v>-83.065528869628906</v>
      </c>
      <c r="X434">
        <v>-0.10000000149011599</v>
      </c>
      <c r="Y434" t="s">
        <v>27</v>
      </c>
      <c r="Z434">
        <v>-4.0293040275573704</v>
      </c>
      <c r="AA434">
        <v>27535000</v>
      </c>
      <c r="AB434" t="s">
        <v>73</v>
      </c>
      <c r="AC434" t="s">
        <v>177</v>
      </c>
      <c r="AD434">
        <v>-0.129999995231628</v>
      </c>
      <c r="AE434">
        <v>32.4175834655762</v>
      </c>
      <c r="AF434" t="s">
        <v>27</v>
      </c>
      <c r="AG434">
        <v>28676000</v>
      </c>
      <c r="AH434">
        <v>0</v>
      </c>
      <c r="AI434">
        <v>-25.924310684204102</v>
      </c>
    </row>
    <row r="435" spans="1:35">
      <c r="A435">
        <f t="shared" si="56"/>
        <v>0</v>
      </c>
      <c r="B435">
        <f t="shared" si="57"/>
        <v>1</v>
      </c>
      <c r="C435">
        <f t="shared" si="58"/>
        <v>0</v>
      </c>
      <c r="D435">
        <f t="shared" si="59"/>
        <v>0</v>
      </c>
      <c r="E435">
        <f t="shared" si="60"/>
        <v>0</v>
      </c>
      <c r="F435">
        <f t="shared" si="61"/>
        <v>0</v>
      </c>
      <c r="G435">
        <f t="shared" si="62"/>
        <v>0</v>
      </c>
      <c r="H435">
        <v>0</v>
      </c>
      <c r="I435">
        <f t="shared" si="63"/>
        <v>0</v>
      </c>
      <c r="J435">
        <v>0</v>
      </c>
      <c r="K435" t="s">
        <v>2108</v>
      </c>
      <c r="L435" t="s">
        <v>2109</v>
      </c>
      <c r="M435" t="s">
        <v>27</v>
      </c>
      <c r="N435" t="s">
        <v>27</v>
      </c>
      <c r="O435">
        <v>11.26</v>
      </c>
      <c r="P435" t="s">
        <v>27</v>
      </c>
      <c r="Q435" t="s">
        <v>27</v>
      </c>
      <c r="R435">
        <v>11</v>
      </c>
      <c r="S435">
        <v>6.3125</v>
      </c>
      <c r="T435">
        <v>0</v>
      </c>
      <c r="U435" t="s">
        <v>27</v>
      </c>
      <c r="V435">
        <v>-4372000</v>
      </c>
      <c r="W435">
        <v>-54.853237152099602</v>
      </c>
      <c r="X435">
        <v>-0.119999997317791</v>
      </c>
      <c r="Y435" t="s">
        <v>27</v>
      </c>
      <c r="Z435">
        <v>-9.8461542129516602</v>
      </c>
      <c r="AA435">
        <v>22563840</v>
      </c>
      <c r="AB435" t="s">
        <v>73</v>
      </c>
      <c r="AC435" t="s">
        <v>141</v>
      </c>
      <c r="AD435">
        <v>-0.18999999761581399</v>
      </c>
      <c r="AE435" t="s">
        <v>27</v>
      </c>
      <c r="AF435" t="s">
        <v>27</v>
      </c>
      <c r="AG435">
        <v>27115000</v>
      </c>
      <c r="AH435">
        <v>0</v>
      </c>
      <c r="AI435">
        <v>-48.144313812255902</v>
      </c>
    </row>
    <row r="436" spans="1:35">
      <c r="A436">
        <f t="shared" si="56"/>
        <v>1</v>
      </c>
      <c r="B436">
        <f t="shared" si="57"/>
        <v>0</v>
      </c>
      <c r="C436">
        <f t="shared" si="58"/>
        <v>0</v>
      </c>
      <c r="D436">
        <f t="shared" si="59"/>
        <v>0</v>
      </c>
      <c r="E436">
        <f t="shared" si="60"/>
        <v>1</v>
      </c>
      <c r="F436">
        <f t="shared" si="61"/>
        <v>0</v>
      </c>
      <c r="G436">
        <f t="shared" si="62"/>
        <v>0</v>
      </c>
      <c r="H436">
        <v>0</v>
      </c>
      <c r="I436">
        <f t="shared" si="63"/>
        <v>0</v>
      </c>
      <c r="J436">
        <v>0</v>
      </c>
      <c r="K436" t="s">
        <v>2118</v>
      </c>
      <c r="L436" t="s">
        <v>2119</v>
      </c>
      <c r="M436" t="s">
        <v>27</v>
      </c>
      <c r="N436" t="s">
        <v>27</v>
      </c>
      <c r="O436">
        <v>8.31</v>
      </c>
      <c r="P436" t="s">
        <v>27</v>
      </c>
      <c r="Q436" t="s">
        <v>27</v>
      </c>
      <c r="R436">
        <v>24.5</v>
      </c>
      <c r="S436" t="s">
        <v>27</v>
      </c>
      <c r="T436" t="s">
        <v>27</v>
      </c>
      <c r="U436" t="s">
        <v>27</v>
      </c>
      <c r="V436">
        <v>-8122000</v>
      </c>
      <c r="W436">
        <v>-126.44183349609401</v>
      </c>
      <c r="X436" t="s">
        <v>27</v>
      </c>
      <c r="Y436" t="s">
        <v>27</v>
      </c>
      <c r="Z436" t="s">
        <v>27</v>
      </c>
      <c r="AA436" t="s">
        <v>27</v>
      </c>
      <c r="AB436" t="s">
        <v>27</v>
      </c>
      <c r="AC436" t="s">
        <v>27</v>
      </c>
      <c r="AD436" t="s">
        <v>27</v>
      </c>
      <c r="AE436">
        <v>80.448547363281307</v>
      </c>
      <c r="AF436">
        <v>15.580860162877499</v>
      </c>
      <c r="AG436" t="s">
        <v>27</v>
      </c>
      <c r="AH436">
        <v>52.807491302490199</v>
      </c>
      <c r="AI436">
        <v>-138.47889709472699</v>
      </c>
    </row>
    <row r="437" spans="1:35">
      <c r="A437">
        <f t="shared" si="56"/>
        <v>1</v>
      </c>
      <c r="B437">
        <f t="shared" si="57"/>
        <v>0</v>
      </c>
      <c r="C437">
        <f t="shared" si="58"/>
        <v>1</v>
      </c>
      <c r="D437">
        <f t="shared" si="59"/>
        <v>0</v>
      </c>
      <c r="E437">
        <f t="shared" si="60"/>
        <v>0</v>
      </c>
      <c r="F437">
        <f t="shared" si="61"/>
        <v>0</v>
      </c>
      <c r="G437">
        <f t="shared" si="62"/>
        <v>1</v>
      </c>
      <c r="H437">
        <v>0</v>
      </c>
      <c r="I437">
        <f t="shared" si="63"/>
        <v>1</v>
      </c>
      <c r="J437">
        <v>0</v>
      </c>
      <c r="K437" t="s">
        <v>2132</v>
      </c>
      <c r="L437" t="s">
        <v>2133</v>
      </c>
      <c r="M437" t="s">
        <v>27</v>
      </c>
      <c r="N437" t="s">
        <v>27</v>
      </c>
      <c r="O437">
        <v>5.44</v>
      </c>
      <c r="P437" t="s">
        <v>27</v>
      </c>
      <c r="Q437" t="s">
        <v>27</v>
      </c>
      <c r="R437">
        <v>4.9499998092651403</v>
      </c>
      <c r="S437">
        <v>8</v>
      </c>
      <c r="T437">
        <v>30.383409500122099</v>
      </c>
      <c r="U437">
        <v>5.8886418342590297</v>
      </c>
      <c r="V437">
        <v>70961000</v>
      </c>
      <c r="W437">
        <v>0.58312302827835105</v>
      </c>
      <c r="X437">
        <v>1.9999999552965199E-2</v>
      </c>
      <c r="Y437" t="s">
        <v>27</v>
      </c>
      <c r="Z437">
        <v>18.271604537963899</v>
      </c>
      <c r="AA437">
        <v>33251000</v>
      </c>
      <c r="AB437" t="s">
        <v>27</v>
      </c>
      <c r="AC437" t="s">
        <v>27</v>
      </c>
      <c r="AD437">
        <v>-1.91999995708466</v>
      </c>
      <c r="AE437">
        <v>7.4872670173645002</v>
      </c>
      <c r="AF437">
        <v>8.4868470581379203</v>
      </c>
      <c r="AG437">
        <v>33829000</v>
      </c>
      <c r="AH437">
        <v>27.8539028167725</v>
      </c>
      <c r="AI437">
        <v>-0.59986597299575795</v>
      </c>
    </row>
    <row r="438" spans="1:35">
      <c r="A438">
        <f t="shared" si="56"/>
        <v>1</v>
      </c>
      <c r="B438">
        <f t="shared" si="57"/>
        <v>0</v>
      </c>
      <c r="C438">
        <f t="shared" si="58"/>
        <v>0</v>
      </c>
      <c r="D438">
        <f t="shared" si="59"/>
        <v>0</v>
      </c>
      <c r="E438">
        <f t="shared" si="60"/>
        <v>0</v>
      </c>
      <c r="F438">
        <f t="shared" si="61"/>
        <v>0</v>
      </c>
      <c r="G438">
        <f t="shared" si="62"/>
        <v>0</v>
      </c>
      <c r="H438">
        <v>0</v>
      </c>
      <c r="I438">
        <f t="shared" si="63"/>
        <v>0</v>
      </c>
      <c r="J438">
        <v>0</v>
      </c>
      <c r="K438" t="s">
        <v>2134</v>
      </c>
      <c r="L438" t="s">
        <v>2135</v>
      </c>
      <c r="M438" t="s">
        <v>27</v>
      </c>
      <c r="N438" t="s">
        <v>27</v>
      </c>
      <c r="O438">
        <v>2.2999999999999998</v>
      </c>
      <c r="P438" t="s">
        <v>27</v>
      </c>
      <c r="Q438" t="s">
        <v>27</v>
      </c>
      <c r="R438">
        <v>17.450000762939499</v>
      </c>
      <c r="S438">
        <v>50.765625</v>
      </c>
      <c r="T438">
        <v>57.612892150878899</v>
      </c>
      <c r="U438">
        <v>72.689872741699205</v>
      </c>
      <c r="V438">
        <v>-24228000</v>
      </c>
      <c r="W438">
        <v>-5.5345358848571804</v>
      </c>
      <c r="X438">
        <v>0.15999999642372101</v>
      </c>
      <c r="Y438">
        <v>7.9208001494407695E-2</v>
      </c>
      <c r="Z438">
        <v>-1.6101690530777</v>
      </c>
      <c r="AA438">
        <v>58174000</v>
      </c>
      <c r="AB438" t="s">
        <v>27</v>
      </c>
      <c r="AC438" t="s">
        <v>27</v>
      </c>
      <c r="AD438">
        <v>-0.66000002622604403</v>
      </c>
      <c r="AE438">
        <v>52.397514343261697</v>
      </c>
      <c r="AF438" t="s">
        <v>27</v>
      </c>
      <c r="AG438">
        <v>68185000</v>
      </c>
      <c r="AH438">
        <v>34.123722076416001</v>
      </c>
      <c r="AI438">
        <v>-5.6202759742736799</v>
      </c>
    </row>
    <row r="439" spans="1:35">
      <c r="A439">
        <f t="shared" si="56"/>
        <v>1</v>
      </c>
      <c r="B439">
        <f t="shared" si="57"/>
        <v>0</v>
      </c>
      <c r="C439">
        <f t="shared" si="58"/>
        <v>1</v>
      </c>
      <c r="D439">
        <f t="shared" si="59"/>
        <v>0</v>
      </c>
      <c r="E439">
        <f t="shared" si="60"/>
        <v>0</v>
      </c>
      <c r="F439">
        <f t="shared" si="61"/>
        <v>0</v>
      </c>
      <c r="G439">
        <f t="shared" si="62"/>
        <v>0</v>
      </c>
      <c r="H439">
        <v>0</v>
      </c>
      <c r="I439">
        <f t="shared" si="63"/>
        <v>0</v>
      </c>
      <c r="J439">
        <v>0</v>
      </c>
      <c r="K439" t="s">
        <v>2138</v>
      </c>
      <c r="L439" t="s">
        <v>2139</v>
      </c>
      <c r="M439" t="s">
        <v>27</v>
      </c>
      <c r="N439" t="s">
        <v>27</v>
      </c>
      <c r="O439">
        <v>7.0490000000000004</v>
      </c>
      <c r="P439" t="s">
        <v>27</v>
      </c>
      <c r="Q439" t="s">
        <v>27</v>
      </c>
      <c r="R439">
        <v>6.9499998092651403</v>
      </c>
      <c r="S439">
        <v>8.8125</v>
      </c>
      <c r="T439">
        <v>21.177314758300799</v>
      </c>
      <c r="U439">
        <v>67.596458435058594</v>
      </c>
      <c r="V439">
        <v>5106998.5</v>
      </c>
      <c r="W439">
        <v>-15.254829406738301</v>
      </c>
      <c r="X439">
        <v>-0.119999997317791</v>
      </c>
      <c r="Y439">
        <v>5.1851849555969203</v>
      </c>
      <c r="Z439">
        <v>7.1174378395080602</v>
      </c>
      <c r="AA439">
        <v>18092000</v>
      </c>
      <c r="AB439" t="s">
        <v>27</v>
      </c>
      <c r="AC439" t="s">
        <v>27</v>
      </c>
      <c r="AD439">
        <v>-1.4800000190734901</v>
      </c>
      <c r="AE439">
        <v>61.620941162109403</v>
      </c>
      <c r="AF439">
        <v>3.79509075960679</v>
      </c>
      <c r="AG439">
        <v>18307000</v>
      </c>
      <c r="AH439">
        <v>16.206264495849599</v>
      </c>
      <c r="AI439">
        <v>-21.389015197753899</v>
      </c>
    </row>
    <row r="440" spans="1:35">
      <c r="A440">
        <f t="shared" si="56"/>
        <v>0</v>
      </c>
      <c r="B440">
        <f t="shared" si="57"/>
        <v>0</v>
      </c>
      <c r="C440">
        <f t="shared" si="58"/>
        <v>0</v>
      </c>
      <c r="D440">
        <f t="shared" si="59"/>
        <v>1</v>
      </c>
      <c r="E440">
        <f t="shared" si="60"/>
        <v>0</v>
      </c>
      <c r="F440">
        <f t="shared" si="61"/>
        <v>0</v>
      </c>
      <c r="G440">
        <f t="shared" si="62"/>
        <v>0</v>
      </c>
      <c r="H440">
        <v>0</v>
      </c>
      <c r="I440">
        <f t="shared" si="63"/>
        <v>0</v>
      </c>
      <c r="J440">
        <v>0</v>
      </c>
      <c r="K440" t="s">
        <v>2142</v>
      </c>
      <c r="L440" t="s">
        <v>2143</v>
      </c>
      <c r="M440" t="s">
        <v>27</v>
      </c>
      <c r="N440" t="s">
        <v>27</v>
      </c>
      <c r="O440">
        <v>9.75</v>
      </c>
      <c r="P440" t="s">
        <v>27</v>
      </c>
      <c r="Q440" t="s">
        <v>27</v>
      </c>
      <c r="R440">
        <v>17.090000152587901</v>
      </c>
      <c r="S440">
        <v>9.625</v>
      </c>
      <c r="T440">
        <v>0</v>
      </c>
      <c r="U440">
        <v>89.396553039550795</v>
      </c>
      <c r="V440">
        <v>-1293000</v>
      </c>
      <c r="W440">
        <v>-34.998012542724602</v>
      </c>
      <c r="X440">
        <v>-0.61000001430511497</v>
      </c>
      <c r="Y440">
        <v>-23.5</v>
      </c>
      <c r="Z440">
        <v>-12.0813398361206</v>
      </c>
      <c r="AA440">
        <v>6803000</v>
      </c>
      <c r="AB440" t="s">
        <v>73</v>
      </c>
      <c r="AC440" t="s">
        <v>141</v>
      </c>
      <c r="AD440">
        <v>-0.230000004172325</v>
      </c>
      <c r="AE440">
        <v>86.402969360351605</v>
      </c>
      <c r="AF440" t="s">
        <v>27</v>
      </c>
      <c r="AG440">
        <v>8054000</v>
      </c>
      <c r="AH440">
        <v>0</v>
      </c>
      <c r="AI440">
        <v>-60.834903717041001</v>
      </c>
    </row>
    <row r="441" spans="1:35">
      <c r="A441">
        <f t="shared" si="56"/>
        <v>1</v>
      </c>
      <c r="B441">
        <f t="shared" si="57"/>
        <v>0</v>
      </c>
      <c r="C441">
        <f t="shared" si="58"/>
        <v>0</v>
      </c>
      <c r="D441">
        <f t="shared" si="59"/>
        <v>0</v>
      </c>
      <c r="E441">
        <f t="shared" si="60"/>
        <v>0</v>
      </c>
      <c r="F441">
        <f t="shared" si="61"/>
        <v>1</v>
      </c>
      <c r="G441">
        <f t="shared" si="62"/>
        <v>0</v>
      </c>
      <c r="H441">
        <v>0</v>
      </c>
      <c r="I441">
        <f t="shared" si="63"/>
        <v>1</v>
      </c>
      <c r="J441">
        <v>0</v>
      </c>
      <c r="K441" t="s">
        <v>2144</v>
      </c>
      <c r="L441" t="s">
        <v>2145</v>
      </c>
      <c r="M441" t="s">
        <v>27</v>
      </c>
      <c r="N441" t="s">
        <v>27</v>
      </c>
      <c r="O441">
        <v>10.35</v>
      </c>
      <c r="P441" t="s">
        <v>27</v>
      </c>
      <c r="Q441" t="s">
        <v>27</v>
      </c>
      <c r="R441">
        <v>6.0500001907348597</v>
      </c>
      <c r="S441" t="s">
        <v>27</v>
      </c>
      <c r="T441" t="s">
        <v>27</v>
      </c>
      <c r="U441" t="s">
        <v>27</v>
      </c>
      <c r="V441">
        <v>-2465000</v>
      </c>
      <c r="W441" t="s">
        <v>27</v>
      </c>
      <c r="X441" t="s">
        <v>27</v>
      </c>
      <c r="Y441" t="s">
        <v>27</v>
      </c>
      <c r="Z441" t="s">
        <v>27</v>
      </c>
      <c r="AA441" t="s">
        <v>27</v>
      </c>
      <c r="AB441" t="s">
        <v>30</v>
      </c>
      <c r="AC441" t="s">
        <v>332</v>
      </c>
      <c r="AD441">
        <v>0.10000000149011599</v>
      </c>
      <c r="AE441">
        <v>20.912311553955099</v>
      </c>
      <c r="AF441">
        <v>8.3005790266452006</v>
      </c>
      <c r="AG441">
        <v>17028000</v>
      </c>
      <c r="AH441">
        <v>0</v>
      </c>
      <c r="AI441" t="s">
        <v>27</v>
      </c>
    </row>
    <row r="442" spans="1:35">
      <c r="A442">
        <f t="shared" si="56"/>
        <v>1</v>
      </c>
      <c r="B442">
        <f t="shared" si="57"/>
        <v>1</v>
      </c>
      <c r="C442">
        <f t="shared" si="58"/>
        <v>0</v>
      </c>
      <c r="D442">
        <f t="shared" si="59"/>
        <v>1</v>
      </c>
      <c r="E442">
        <f t="shared" si="60"/>
        <v>0</v>
      </c>
      <c r="F442">
        <f t="shared" si="61"/>
        <v>0</v>
      </c>
      <c r="G442">
        <f t="shared" si="62"/>
        <v>1</v>
      </c>
      <c r="H442">
        <v>0</v>
      </c>
      <c r="I442">
        <f t="shared" si="63"/>
        <v>0</v>
      </c>
      <c r="J442">
        <v>0</v>
      </c>
      <c r="K442" t="s">
        <v>2148</v>
      </c>
      <c r="L442" t="s">
        <v>2149</v>
      </c>
      <c r="M442" t="s">
        <v>27</v>
      </c>
      <c r="N442" t="s">
        <v>27</v>
      </c>
      <c r="O442">
        <v>24.35</v>
      </c>
      <c r="P442" t="s">
        <v>27</v>
      </c>
      <c r="Q442" t="s">
        <v>27</v>
      </c>
      <c r="R442">
        <v>27.9899997711182</v>
      </c>
      <c r="S442">
        <v>18.75</v>
      </c>
      <c r="T442">
        <v>1.0386869907379199</v>
      </c>
      <c r="U442">
        <v>15.7706079483032</v>
      </c>
      <c r="V442">
        <v>-4039000</v>
      </c>
      <c r="W442">
        <v>-37.173515319824197</v>
      </c>
      <c r="X442">
        <v>-0.230000004172325</v>
      </c>
      <c r="Y442">
        <v>-4.2325577735900897</v>
      </c>
      <c r="Z442">
        <v>-3.5225050449371298</v>
      </c>
      <c r="AA442">
        <v>17806000</v>
      </c>
      <c r="AB442" t="s">
        <v>27</v>
      </c>
      <c r="AC442" t="s">
        <v>27</v>
      </c>
      <c r="AD442">
        <v>-0.18000000715255701</v>
      </c>
      <c r="AE442">
        <v>31.489311218261701</v>
      </c>
      <c r="AF442" t="s">
        <v>27</v>
      </c>
      <c r="AG442">
        <v>19552000</v>
      </c>
      <c r="AH442">
        <v>0</v>
      </c>
      <c r="AI442">
        <v>-26.8548183441162</v>
      </c>
    </row>
    <row r="443" spans="1:35">
      <c r="A443">
        <f t="shared" si="56"/>
        <v>0</v>
      </c>
      <c r="B443">
        <f t="shared" si="57"/>
        <v>0</v>
      </c>
      <c r="C443">
        <f t="shared" si="58"/>
        <v>1</v>
      </c>
      <c r="D443">
        <f t="shared" si="59"/>
        <v>1</v>
      </c>
      <c r="E443">
        <f t="shared" si="60"/>
        <v>0</v>
      </c>
      <c r="F443">
        <f t="shared" si="61"/>
        <v>0</v>
      </c>
      <c r="G443">
        <f t="shared" si="62"/>
        <v>0</v>
      </c>
      <c r="H443">
        <v>0</v>
      </c>
      <c r="I443">
        <f t="shared" si="63"/>
        <v>1</v>
      </c>
      <c r="J443">
        <v>0</v>
      </c>
      <c r="K443" t="s">
        <v>2152</v>
      </c>
      <c r="L443" t="s">
        <v>2153</v>
      </c>
      <c r="M443" t="s">
        <v>27</v>
      </c>
      <c r="N443" t="s">
        <v>27</v>
      </c>
      <c r="O443">
        <v>11.08</v>
      </c>
      <c r="P443" t="s">
        <v>27</v>
      </c>
      <c r="Q443" t="s">
        <v>27</v>
      </c>
      <c r="R443">
        <v>4.3699998855590803</v>
      </c>
      <c r="S443">
        <v>2.3499999046325701</v>
      </c>
      <c r="T443">
        <v>41.026313781738303</v>
      </c>
      <c r="U443">
        <v>47.026313781738303</v>
      </c>
      <c r="V443">
        <v>6174000</v>
      </c>
      <c r="W443">
        <v>-5.0263991355895996</v>
      </c>
      <c r="X443">
        <v>-0.38999998569488498</v>
      </c>
      <c r="Y443">
        <v>-63.0769233703613</v>
      </c>
      <c r="Z443">
        <v>-99.591835021972699</v>
      </c>
      <c r="AA443">
        <v>33702000</v>
      </c>
      <c r="AB443" t="s">
        <v>27</v>
      </c>
      <c r="AC443" t="s">
        <v>27</v>
      </c>
      <c r="AD443">
        <v>-0.15000000596046401</v>
      </c>
      <c r="AE443">
        <v>46.107006072997997</v>
      </c>
      <c r="AF443">
        <v>15.859071703148301</v>
      </c>
      <c r="AG443">
        <v>34762984</v>
      </c>
      <c r="AH443">
        <v>76.499214172363295</v>
      </c>
      <c r="AI443">
        <v>-14.869839668273899</v>
      </c>
    </row>
    <row r="444" spans="1:35">
      <c r="A444">
        <f t="shared" si="56"/>
        <v>0</v>
      </c>
      <c r="B444">
        <f t="shared" si="57"/>
        <v>1</v>
      </c>
      <c r="C444">
        <f t="shared" si="58"/>
        <v>1</v>
      </c>
      <c r="D444">
        <f t="shared" si="59"/>
        <v>0</v>
      </c>
      <c r="E444">
        <f t="shared" si="60"/>
        <v>1</v>
      </c>
      <c r="F444">
        <f t="shared" si="61"/>
        <v>1</v>
      </c>
      <c r="G444">
        <f t="shared" si="62"/>
        <v>0</v>
      </c>
      <c r="H444">
        <v>0</v>
      </c>
      <c r="I444">
        <f t="shared" si="63"/>
        <v>0</v>
      </c>
      <c r="J444">
        <v>0</v>
      </c>
      <c r="K444" t="s">
        <v>2154</v>
      </c>
      <c r="L444" t="s">
        <v>2155</v>
      </c>
      <c r="M444" t="s">
        <v>27</v>
      </c>
      <c r="N444" t="s">
        <v>27</v>
      </c>
      <c r="O444">
        <v>28.06</v>
      </c>
      <c r="P444" t="s">
        <v>27</v>
      </c>
      <c r="Q444" t="s">
        <v>27</v>
      </c>
      <c r="R444">
        <v>28</v>
      </c>
      <c r="S444">
        <v>21.2916666666667</v>
      </c>
      <c r="T444" t="s">
        <v>27</v>
      </c>
      <c r="U444" t="s">
        <v>27</v>
      </c>
      <c r="V444" t="s">
        <v>27</v>
      </c>
      <c r="W444">
        <v>0.96320897340774503</v>
      </c>
      <c r="X444" t="s">
        <v>27</v>
      </c>
      <c r="Y444" t="s">
        <v>27</v>
      </c>
      <c r="Z444" t="s">
        <v>27</v>
      </c>
      <c r="AA444" t="s">
        <v>27</v>
      </c>
      <c r="AB444" t="s">
        <v>27</v>
      </c>
      <c r="AC444" t="s">
        <v>27</v>
      </c>
      <c r="AD444" t="s">
        <v>27</v>
      </c>
      <c r="AE444" t="s">
        <v>27</v>
      </c>
      <c r="AF444" t="s">
        <v>27</v>
      </c>
      <c r="AG444" t="s">
        <v>27</v>
      </c>
      <c r="AH444" t="s">
        <v>27</v>
      </c>
      <c r="AI444">
        <v>1.0315699577331501</v>
      </c>
    </row>
    <row r="445" spans="1:35">
      <c r="A445">
        <f t="shared" si="56"/>
        <v>0</v>
      </c>
      <c r="B445">
        <f t="shared" si="57"/>
        <v>1</v>
      </c>
      <c r="C445">
        <f t="shared" si="58"/>
        <v>1</v>
      </c>
      <c r="D445">
        <f t="shared" si="59"/>
        <v>0</v>
      </c>
      <c r="E445">
        <f t="shared" si="60"/>
        <v>0</v>
      </c>
      <c r="F445">
        <f t="shared" si="61"/>
        <v>1</v>
      </c>
      <c r="G445">
        <f t="shared" si="62"/>
        <v>0</v>
      </c>
      <c r="H445">
        <v>0</v>
      </c>
      <c r="I445">
        <f t="shared" si="63"/>
        <v>0</v>
      </c>
      <c r="J445">
        <v>0</v>
      </c>
      <c r="K445" t="s">
        <v>2156</v>
      </c>
      <c r="L445" t="s">
        <v>2157</v>
      </c>
      <c r="M445" t="s">
        <v>27</v>
      </c>
      <c r="N445" t="s">
        <v>27</v>
      </c>
      <c r="O445">
        <v>2.4700000000000002</v>
      </c>
      <c r="P445">
        <v>13.1650485992432</v>
      </c>
      <c r="Q445" t="s">
        <v>27</v>
      </c>
      <c r="R445">
        <v>6.8299999237060502</v>
      </c>
      <c r="S445">
        <v>19.129999160766602</v>
      </c>
      <c r="T445">
        <v>22.280708312988299</v>
      </c>
      <c r="U445">
        <v>23.262586593627901</v>
      </c>
      <c r="V445">
        <v>3059000</v>
      </c>
      <c r="W445">
        <v>6.12420701980591</v>
      </c>
      <c r="X445">
        <v>0.52999997138977095</v>
      </c>
      <c r="Y445">
        <v>5.0537629127502397</v>
      </c>
      <c r="Z445">
        <v>16.666667938232401</v>
      </c>
      <c r="AA445">
        <v>47602000</v>
      </c>
      <c r="AB445" t="s">
        <v>61</v>
      </c>
      <c r="AC445" t="s">
        <v>131</v>
      </c>
      <c r="AD445">
        <v>-1.5700000524520901</v>
      </c>
      <c r="AE445">
        <v>18.147323608398398</v>
      </c>
      <c r="AF445">
        <v>4.5118241745317702</v>
      </c>
      <c r="AG445">
        <v>47860000</v>
      </c>
      <c r="AH445">
        <v>30.835004806518601</v>
      </c>
      <c r="AI445">
        <v>7.7337107658386204</v>
      </c>
    </row>
    <row r="446" spans="1:35">
      <c r="A446">
        <f t="shared" si="56"/>
        <v>1</v>
      </c>
      <c r="B446">
        <f t="shared" si="57"/>
        <v>0</v>
      </c>
      <c r="C446">
        <f t="shared" si="58"/>
        <v>1</v>
      </c>
      <c r="D446">
        <f t="shared" si="59"/>
        <v>0</v>
      </c>
      <c r="E446">
        <f t="shared" si="60"/>
        <v>0</v>
      </c>
      <c r="F446">
        <f t="shared" si="61"/>
        <v>1</v>
      </c>
      <c r="G446">
        <f t="shared" si="62"/>
        <v>0</v>
      </c>
      <c r="H446">
        <v>0</v>
      </c>
      <c r="I446">
        <f t="shared" si="63"/>
        <v>1</v>
      </c>
      <c r="J446">
        <v>0</v>
      </c>
      <c r="K446" t="s">
        <v>2158</v>
      </c>
      <c r="L446" t="s">
        <v>2159</v>
      </c>
      <c r="M446" t="s">
        <v>27</v>
      </c>
      <c r="N446" t="s">
        <v>27</v>
      </c>
      <c r="O446">
        <v>12.55</v>
      </c>
      <c r="P446" t="s">
        <v>27</v>
      </c>
      <c r="Q446" t="s">
        <v>27</v>
      </c>
      <c r="R446">
        <v>10.300000190734901</v>
      </c>
      <c r="S446">
        <v>8.1999998092651403</v>
      </c>
      <c r="T446" t="s">
        <v>27</v>
      </c>
      <c r="U446" t="s">
        <v>27</v>
      </c>
      <c r="V446">
        <v>1998000</v>
      </c>
      <c r="W446" t="s">
        <v>27</v>
      </c>
      <c r="X446" t="s">
        <v>27</v>
      </c>
      <c r="Y446" t="s">
        <v>27</v>
      </c>
      <c r="Z446" t="s">
        <v>27</v>
      </c>
      <c r="AA446" t="s">
        <v>27</v>
      </c>
      <c r="AB446" t="s">
        <v>27</v>
      </c>
      <c r="AC446" t="s">
        <v>27</v>
      </c>
      <c r="AD446" t="s">
        <v>27</v>
      </c>
      <c r="AE446" t="s">
        <v>27</v>
      </c>
      <c r="AF446">
        <v>9.2425520954013098</v>
      </c>
      <c r="AG446">
        <v>14712000</v>
      </c>
      <c r="AH446">
        <v>37.476791381835902</v>
      </c>
      <c r="AI446">
        <v>1.9540319442748999</v>
      </c>
    </row>
    <row r="447" spans="1:35">
      <c r="A447">
        <f t="shared" si="56"/>
        <v>0</v>
      </c>
      <c r="B447">
        <f t="shared" si="57"/>
        <v>1</v>
      </c>
      <c r="C447">
        <f t="shared" si="58"/>
        <v>0</v>
      </c>
      <c r="D447">
        <f t="shared" si="59"/>
        <v>0</v>
      </c>
      <c r="E447">
        <f t="shared" si="60"/>
        <v>0</v>
      </c>
      <c r="F447">
        <f t="shared" si="61"/>
        <v>1</v>
      </c>
      <c r="G447">
        <f t="shared" si="62"/>
        <v>0</v>
      </c>
      <c r="H447">
        <v>0</v>
      </c>
      <c r="I447">
        <f t="shared" si="63"/>
        <v>0</v>
      </c>
      <c r="J447">
        <v>0</v>
      </c>
      <c r="K447" t="s">
        <v>2162</v>
      </c>
      <c r="L447" t="s">
        <v>2163</v>
      </c>
      <c r="M447" t="s">
        <v>27</v>
      </c>
      <c r="N447" t="s">
        <v>27</v>
      </c>
      <c r="O447">
        <v>4.87</v>
      </c>
      <c r="P447" t="s">
        <v>27</v>
      </c>
      <c r="Q447" t="s">
        <v>27</v>
      </c>
      <c r="R447">
        <v>14.7299995422363</v>
      </c>
      <c r="S447">
        <v>35.125</v>
      </c>
      <c r="T447">
        <v>0</v>
      </c>
      <c r="U447">
        <v>65.02490234375</v>
      </c>
      <c r="V447">
        <v>-9335000</v>
      </c>
      <c r="W447">
        <v>-6.0222859382629403</v>
      </c>
      <c r="X447">
        <v>9.9999997764825804E-3</v>
      </c>
      <c r="Y447">
        <v>-0.10000000149011599</v>
      </c>
      <c r="Z447">
        <v>-0.55147099494934104</v>
      </c>
      <c r="AA447">
        <v>42810000</v>
      </c>
      <c r="AB447" t="s">
        <v>27</v>
      </c>
      <c r="AC447" t="s">
        <v>27</v>
      </c>
      <c r="AD447">
        <v>-0.259999990463257</v>
      </c>
      <c r="AE447">
        <v>38.909908294677699</v>
      </c>
      <c r="AF447" t="s">
        <v>27</v>
      </c>
      <c r="AG447">
        <v>45604000</v>
      </c>
      <c r="AH447">
        <v>0</v>
      </c>
      <c r="AI447">
        <v>4.4005241394043004</v>
      </c>
    </row>
    <row r="448" spans="1:35">
      <c r="A448">
        <f t="shared" si="56"/>
        <v>0</v>
      </c>
      <c r="B448">
        <f t="shared" si="57"/>
        <v>1</v>
      </c>
      <c r="C448">
        <f t="shared" si="58"/>
        <v>1</v>
      </c>
      <c r="D448">
        <f t="shared" si="59"/>
        <v>0</v>
      </c>
      <c r="E448">
        <f t="shared" si="60"/>
        <v>0</v>
      </c>
      <c r="F448">
        <f t="shared" si="61"/>
        <v>1</v>
      </c>
      <c r="G448">
        <f t="shared" si="62"/>
        <v>0</v>
      </c>
      <c r="H448">
        <v>0</v>
      </c>
      <c r="I448">
        <f t="shared" si="63"/>
        <v>0</v>
      </c>
      <c r="J448">
        <v>0</v>
      </c>
      <c r="K448" t="s">
        <v>2168</v>
      </c>
      <c r="L448" t="s">
        <v>2169</v>
      </c>
      <c r="M448" t="s">
        <v>27</v>
      </c>
      <c r="N448" t="s">
        <v>27</v>
      </c>
      <c r="O448">
        <v>2.36</v>
      </c>
      <c r="P448">
        <v>4.88307809829712</v>
      </c>
      <c r="Q448" t="s">
        <v>27</v>
      </c>
      <c r="R448">
        <v>7.0599999427795401</v>
      </c>
      <c r="S448">
        <v>15.9375</v>
      </c>
      <c r="T448">
        <v>0</v>
      </c>
      <c r="U448">
        <v>49.66259765625</v>
      </c>
      <c r="V448">
        <v>13609001</v>
      </c>
      <c r="W448">
        <v>-1.13755095005035</v>
      </c>
      <c r="X448">
        <v>0.20000000298023199</v>
      </c>
      <c r="Y448">
        <v>2.9538459777832</v>
      </c>
      <c r="Z448">
        <v>-54.25</v>
      </c>
      <c r="AA448">
        <v>21196000</v>
      </c>
      <c r="AB448" t="s">
        <v>38</v>
      </c>
      <c r="AC448" t="s">
        <v>118</v>
      </c>
      <c r="AD448">
        <v>-5.0500001907348597</v>
      </c>
      <c r="AE448">
        <v>-54.728042602539098</v>
      </c>
      <c r="AF448" t="s">
        <v>27</v>
      </c>
      <c r="AG448">
        <v>37792000</v>
      </c>
      <c r="AH448">
        <v>10.130202293396</v>
      </c>
      <c r="AI448">
        <v>0.87738299369812001</v>
      </c>
    </row>
    <row r="449" spans="1:35">
      <c r="A449">
        <f t="shared" si="56"/>
        <v>1</v>
      </c>
      <c r="B449">
        <f t="shared" si="57"/>
        <v>0</v>
      </c>
      <c r="C449">
        <f t="shared" si="58"/>
        <v>0</v>
      </c>
      <c r="D449">
        <f t="shared" si="59"/>
        <v>1</v>
      </c>
      <c r="E449">
        <f t="shared" si="60"/>
        <v>1</v>
      </c>
      <c r="F449">
        <f t="shared" si="61"/>
        <v>1</v>
      </c>
      <c r="G449">
        <f t="shared" si="62"/>
        <v>0</v>
      </c>
      <c r="H449">
        <v>0</v>
      </c>
      <c r="I449">
        <f t="shared" si="63"/>
        <v>0</v>
      </c>
      <c r="J449">
        <v>0</v>
      </c>
      <c r="K449" t="s">
        <v>2170</v>
      </c>
      <c r="L449" t="s">
        <v>2171</v>
      </c>
      <c r="M449" t="s">
        <v>27</v>
      </c>
      <c r="N449" t="s">
        <v>27</v>
      </c>
      <c r="O449">
        <v>17.600000000000001</v>
      </c>
      <c r="P449">
        <v>5.4060640335082999</v>
      </c>
      <c r="Q449" t="s">
        <v>27</v>
      </c>
      <c r="R449">
        <v>24.200000762939499</v>
      </c>
      <c r="S449">
        <v>21</v>
      </c>
      <c r="T449">
        <v>29.9137077331543</v>
      </c>
      <c r="U449">
        <v>46.642623901367202</v>
      </c>
      <c r="V449">
        <v>-4156000</v>
      </c>
      <c r="W449">
        <v>3.22476005554199</v>
      </c>
      <c r="X449">
        <v>7.9999998211860698E-2</v>
      </c>
      <c r="Y449">
        <v>2.1886789798736599</v>
      </c>
      <c r="Z449">
        <v>0.44999998807907099</v>
      </c>
      <c r="AA449">
        <v>7196000</v>
      </c>
      <c r="AB449" t="s">
        <v>83</v>
      </c>
      <c r="AC449" t="s">
        <v>1924</v>
      </c>
      <c r="AD449">
        <v>0.270000010728836</v>
      </c>
      <c r="AE449">
        <v>42.590007781982401</v>
      </c>
      <c r="AF449" t="s">
        <v>27</v>
      </c>
      <c r="AG449">
        <v>7196000</v>
      </c>
      <c r="AH449">
        <v>29.046195983886701</v>
      </c>
      <c r="AI449">
        <v>0.279583990573883</v>
      </c>
    </row>
    <row r="450" spans="1:35">
      <c r="A450">
        <f t="shared" si="56"/>
        <v>0</v>
      </c>
      <c r="B450">
        <f t="shared" si="57"/>
        <v>1</v>
      </c>
      <c r="C450">
        <f t="shared" si="58"/>
        <v>1</v>
      </c>
      <c r="D450">
        <f t="shared" si="59"/>
        <v>0</v>
      </c>
      <c r="E450">
        <f t="shared" si="60"/>
        <v>0</v>
      </c>
      <c r="F450">
        <f t="shared" si="61"/>
        <v>1</v>
      </c>
      <c r="G450">
        <f t="shared" si="62"/>
        <v>0</v>
      </c>
      <c r="H450">
        <v>0</v>
      </c>
      <c r="I450">
        <f t="shared" si="63"/>
        <v>0</v>
      </c>
      <c r="J450">
        <v>0</v>
      </c>
      <c r="K450" t="s">
        <v>2176</v>
      </c>
      <c r="L450" t="s">
        <v>2177</v>
      </c>
      <c r="M450" t="s">
        <v>27</v>
      </c>
      <c r="N450" t="s">
        <v>27</v>
      </c>
      <c r="O450">
        <v>5.93</v>
      </c>
      <c r="P450" t="s">
        <v>27</v>
      </c>
      <c r="Q450" t="s">
        <v>27</v>
      </c>
      <c r="R450">
        <v>6.5999999046325701</v>
      </c>
      <c r="S450">
        <v>7.59375</v>
      </c>
      <c r="T450">
        <v>11.141559600830099</v>
      </c>
      <c r="U450">
        <v>10.1620492935181</v>
      </c>
      <c r="V450">
        <v>20810000</v>
      </c>
      <c r="W450">
        <v>-5.6672468185424796</v>
      </c>
      <c r="X450">
        <v>-0.119999997317791</v>
      </c>
      <c r="Y450">
        <v>2.3809518814086901</v>
      </c>
      <c r="Z450">
        <v>-9.8039216995239293</v>
      </c>
      <c r="AA450">
        <v>116126000</v>
      </c>
      <c r="AB450" t="s">
        <v>27</v>
      </c>
      <c r="AC450" t="s">
        <v>27</v>
      </c>
      <c r="AD450">
        <v>-0.68999999761581399</v>
      </c>
      <c r="AE450">
        <v>7.6921858787536603</v>
      </c>
      <c r="AF450" t="s">
        <v>27</v>
      </c>
      <c r="AG450">
        <v>241176000</v>
      </c>
      <c r="AH450">
        <v>11.183291435241699</v>
      </c>
      <c r="AI450">
        <v>3.2934041023254399</v>
      </c>
    </row>
    <row r="451" spans="1:35">
      <c r="A451">
        <f t="shared" si="56"/>
        <v>1</v>
      </c>
      <c r="B451">
        <f t="shared" si="57"/>
        <v>0</v>
      </c>
      <c r="C451">
        <f t="shared" si="58"/>
        <v>0</v>
      </c>
      <c r="D451">
        <f t="shared" si="59"/>
        <v>1</v>
      </c>
      <c r="E451">
        <f t="shared" si="60"/>
        <v>0</v>
      </c>
      <c r="F451">
        <f t="shared" si="61"/>
        <v>0</v>
      </c>
      <c r="G451">
        <f t="shared" si="62"/>
        <v>0</v>
      </c>
      <c r="H451">
        <v>0</v>
      </c>
      <c r="I451">
        <f t="shared" si="63"/>
        <v>0</v>
      </c>
      <c r="J451">
        <v>0</v>
      </c>
      <c r="K451" t="s">
        <v>2180</v>
      </c>
      <c r="L451" t="s">
        <v>2181</v>
      </c>
      <c r="M451" t="s">
        <v>27</v>
      </c>
      <c r="N451" t="s">
        <v>27</v>
      </c>
      <c r="O451">
        <v>7.3</v>
      </c>
      <c r="P451" t="s">
        <v>27</v>
      </c>
      <c r="Q451" t="s">
        <v>27</v>
      </c>
      <c r="R451">
        <v>13.3999996185303</v>
      </c>
      <c r="S451">
        <v>21.375</v>
      </c>
      <c r="T451">
        <v>0.59934902191162098</v>
      </c>
      <c r="U451" t="s">
        <v>27</v>
      </c>
      <c r="V451">
        <v>-8893000</v>
      </c>
      <c r="W451">
        <v>-13.8719682693481</v>
      </c>
      <c r="X451">
        <v>-1.1799999475479099</v>
      </c>
      <c r="Y451" t="s">
        <v>27</v>
      </c>
      <c r="Z451">
        <v>-4.5433030128479004</v>
      </c>
      <c r="AA451">
        <v>30861000</v>
      </c>
      <c r="AB451" t="s">
        <v>27</v>
      </c>
      <c r="AC451" t="s">
        <v>27</v>
      </c>
      <c r="AD451">
        <v>-0.33000001311302202</v>
      </c>
      <c r="AE451" t="s">
        <v>27</v>
      </c>
      <c r="AF451" t="s">
        <v>27</v>
      </c>
      <c r="AG451">
        <v>33940000</v>
      </c>
      <c r="AH451">
        <v>0.50007998943328902</v>
      </c>
      <c r="AI451">
        <v>-26.6434440612793</v>
      </c>
    </row>
    <row r="452" spans="1:35">
      <c r="A452">
        <f t="shared" si="56"/>
        <v>1</v>
      </c>
      <c r="B452">
        <f t="shared" si="57"/>
        <v>1</v>
      </c>
      <c r="C452">
        <f t="shared" si="58"/>
        <v>1</v>
      </c>
      <c r="D452">
        <f t="shared" si="59"/>
        <v>0</v>
      </c>
      <c r="E452">
        <f t="shared" si="60"/>
        <v>0</v>
      </c>
      <c r="F452">
        <f t="shared" si="61"/>
        <v>1</v>
      </c>
      <c r="G452">
        <f t="shared" si="62"/>
        <v>0</v>
      </c>
      <c r="H452">
        <v>0</v>
      </c>
      <c r="I452">
        <f t="shared" si="63"/>
        <v>1</v>
      </c>
      <c r="J452">
        <v>0</v>
      </c>
      <c r="K452" t="s">
        <v>2182</v>
      </c>
      <c r="L452" t="s">
        <v>2183</v>
      </c>
      <c r="M452" t="s">
        <v>27</v>
      </c>
      <c r="N452" t="s">
        <v>27</v>
      </c>
      <c r="O452">
        <v>35.1</v>
      </c>
      <c r="P452" t="s">
        <v>27</v>
      </c>
      <c r="Q452" t="s">
        <v>27</v>
      </c>
      <c r="R452">
        <v>29.75</v>
      </c>
      <c r="S452">
        <v>14</v>
      </c>
      <c r="T452" t="s">
        <v>27</v>
      </c>
      <c r="U452" t="s">
        <v>27</v>
      </c>
      <c r="V452">
        <v>60222000</v>
      </c>
      <c r="W452">
        <v>0.91266000270843495</v>
      </c>
      <c r="X452" t="s">
        <v>27</v>
      </c>
      <c r="Y452" t="s">
        <v>27</v>
      </c>
      <c r="Z452">
        <v>6.8000001907348597</v>
      </c>
      <c r="AA452" t="s">
        <v>27</v>
      </c>
      <c r="AB452" t="s">
        <v>34</v>
      </c>
      <c r="AC452" t="s">
        <v>35</v>
      </c>
      <c r="AD452">
        <v>0.43999999761581399</v>
      </c>
      <c r="AE452" t="s">
        <v>27</v>
      </c>
      <c r="AF452" t="s">
        <v>27</v>
      </c>
      <c r="AG452">
        <v>7005000</v>
      </c>
      <c r="AH452">
        <v>17.595674514770501</v>
      </c>
      <c r="AI452">
        <v>1.1730389595031701</v>
      </c>
    </row>
    <row r="453" spans="1:35">
      <c r="A453">
        <f t="shared" si="56"/>
        <v>1</v>
      </c>
      <c r="B453">
        <f t="shared" si="57"/>
        <v>0</v>
      </c>
      <c r="C453">
        <f t="shared" si="58"/>
        <v>1</v>
      </c>
      <c r="D453">
        <f t="shared" si="59"/>
        <v>0</v>
      </c>
      <c r="E453">
        <f t="shared" si="60"/>
        <v>0</v>
      </c>
      <c r="F453">
        <f t="shared" si="61"/>
        <v>1</v>
      </c>
      <c r="G453">
        <f t="shared" si="62"/>
        <v>0</v>
      </c>
      <c r="H453">
        <v>0</v>
      </c>
      <c r="I453">
        <f t="shared" si="63"/>
        <v>0</v>
      </c>
      <c r="J453">
        <v>0</v>
      </c>
      <c r="K453" t="s">
        <v>2186</v>
      </c>
      <c r="L453" t="s">
        <v>2187</v>
      </c>
      <c r="M453" t="s">
        <v>27</v>
      </c>
      <c r="N453" t="s">
        <v>27</v>
      </c>
      <c r="O453">
        <v>10.731999999999999</v>
      </c>
      <c r="P453" t="s">
        <v>27</v>
      </c>
      <c r="Q453" t="s">
        <v>27</v>
      </c>
      <c r="R453">
        <v>17.690000534057599</v>
      </c>
      <c r="S453" t="s">
        <v>27</v>
      </c>
      <c r="T453" t="s">
        <v>27</v>
      </c>
      <c r="U453" t="s">
        <v>27</v>
      </c>
      <c r="V453">
        <v>5348000</v>
      </c>
      <c r="W453" t="s">
        <v>27</v>
      </c>
      <c r="X453" t="s">
        <v>27</v>
      </c>
      <c r="Y453" t="s">
        <v>27</v>
      </c>
      <c r="Z453" t="s">
        <v>27</v>
      </c>
      <c r="AA453" t="s">
        <v>27</v>
      </c>
      <c r="AB453" t="s">
        <v>34</v>
      </c>
      <c r="AC453" t="s">
        <v>237</v>
      </c>
      <c r="AD453">
        <v>-7.9999998211860698E-2</v>
      </c>
      <c r="AE453" t="s">
        <v>27</v>
      </c>
      <c r="AF453">
        <v>22.4196598847041</v>
      </c>
      <c r="AG453">
        <v>12672000</v>
      </c>
      <c r="AH453">
        <v>72.304496765136705</v>
      </c>
      <c r="AI453">
        <v>3.29992604255676</v>
      </c>
    </row>
    <row r="454" spans="1:35">
      <c r="A454">
        <f t="shared" si="56"/>
        <v>0</v>
      </c>
      <c r="B454">
        <f t="shared" si="57"/>
        <v>0</v>
      </c>
      <c r="C454">
        <f t="shared" si="58"/>
        <v>1</v>
      </c>
      <c r="D454">
        <f t="shared" si="59"/>
        <v>1</v>
      </c>
      <c r="E454">
        <f t="shared" si="60"/>
        <v>0</v>
      </c>
      <c r="F454">
        <f t="shared" si="61"/>
        <v>0</v>
      </c>
      <c r="G454">
        <f t="shared" si="62"/>
        <v>0</v>
      </c>
      <c r="H454">
        <v>0</v>
      </c>
      <c r="I454">
        <f t="shared" si="63"/>
        <v>0</v>
      </c>
      <c r="J454">
        <v>0</v>
      </c>
      <c r="K454" t="s">
        <v>2190</v>
      </c>
      <c r="L454" t="s">
        <v>2191</v>
      </c>
      <c r="M454" t="s">
        <v>27</v>
      </c>
      <c r="N454" t="s">
        <v>27</v>
      </c>
      <c r="O454">
        <v>8.08</v>
      </c>
      <c r="P454" t="s">
        <v>27</v>
      </c>
      <c r="Q454" t="s">
        <v>27</v>
      </c>
      <c r="R454">
        <v>11.1499996185303</v>
      </c>
      <c r="S454">
        <v>6.125</v>
      </c>
      <c r="T454">
        <v>86.672012329101605</v>
      </c>
      <c r="U454" t="s">
        <v>27</v>
      </c>
      <c r="V454">
        <v>2706000</v>
      </c>
      <c r="W454">
        <v>-12.216668128967299</v>
      </c>
      <c r="X454">
        <v>-0.129999995231628</v>
      </c>
      <c r="Y454">
        <v>-4.72906398773193</v>
      </c>
      <c r="Z454">
        <v>-5.4156169891357404</v>
      </c>
      <c r="AA454">
        <v>29902000</v>
      </c>
      <c r="AB454" t="s">
        <v>27</v>
      </c>
      <c r="AC454" t="s">
        <v>27</v>
      </c>
      <c r="AD454">
        <v>-5.9999998658895499E-2</v>
      </c>
      <c r="AE454" t="s">
        <v>27</v>
      </c>
      <c r="AF454">
        <v>7.8981908170073396</v>
      </c>
      <c r="AG454">
        <v>29923000</v>
      </c>
      <c r="AH454">
        <v>90.302818298339801</v>
      </c>
      <c r="AI454">
        <v>-20.120088577270501</v>
      </c>
    </row>
    <row r="455" spans="1:35">
      <c r="A455">
        <f t="shared" si="56"/>
        <v>1</v>
      </c>
      <c r="B455">
        <f t="shared" si="57"/>
        <v>1</v>
      </c>
      <c r="C455">
        <f t="shared" si="58"/>
        <v>0</v>
      </c>
      <c r="D455">
        <f t="shared" si="59"/>
        <v>1</v>
      </c>
      <c r="E455">
        <f t="shared" si="60"/>
        <v>0</v>
      </c>
      <c r="F455">
        <f t="shared" si="61"/>
        <v>0</v>
      </c>
      <c r="G455">
        <f t="shared" si="62"/>
        <v>0</v>
      </c>
      <c r="H455">
        <v>0</v>
      </c>
      <c r="I455">
        <f t="shared" si="63"/>
        <v>0</v>
      </c>
      <c r="J455">
        <v>0</v>
      </c>
      <c r="K455" t="s">
        <v>2196</v>
      </c>
      <c r="L455" t="s">
        <v>2197</v>
      </c>
      <c r="M455" t="s">
        <v>27</v>
      </c>
      <c r="N455" t="s">
        <v>27</v>
      </c>
      <c r="O455">
        <v>8.6</v>
      </c>
      <c r="P455" t="s">
        <v>27</v>
      </c>
      <c r="Q455" t="s">
        <v>27</v>
      </c>
      <c r="R455">
        <v>22.7700004577637</v>
      </c>
      <c r="S455">
        <v>16.375</v>
      </c>
      <c r="T455">
        <v>0.30756899714469899</v>
      </c>
      <c r="U455" t="s">
        <v>27</v>
      </c>
      <c r="V455">
        <v>-1079000</v>
      </c>
      <c r="W455">
        <v>-53.977130889892599</v>
      </c>
      <c r="X455">
        <v>-0.15999999642372101</v>
      </c>
      <c r="Y455">
        <v>-2.4978899955749498</v>
      </c>
      <c r="Z455">
        <v>-2.7777779102325399</v>
      </c>
      <c r="AA455">
        <v>10058000</v>
      </c>
      <c r="AB455" t="s">
        <v>27</v>
      </c>
      <c r="AC455" t="s">
        <v>27</v>
      </c>
      <c r="AD455">
        <v>1.9999999552965199E-2</v>
      </c>
      <c r="AE455" t="s">
        <v>27</v>
      </c>
      <c r="AF455" t="s">
        <v>27</v>
      </c>
      <c r="AG455">
        <v>10930000</v>
      </c>
      <c r="AH455">
        <v>0.21281400322914101</v>
      </c>
      <c r="AI455">
        <v>-35.315677642822301</v>
      </c>
    </row>
    <row r="456" spans="1:35">
      <c r="A456">
        <f t="shared" si="56"/>
        <v>0</v>
      </c>
      <c r="B456">
        <f t="shared" si="57"/>
        <v>1</v>
      </c>
      <c r="C456">
        <f t="shared" si="58"/>
        <v>0</v>
      </c>
      <c r="D456">
        <f t="shared" si="59"/>
        <v>0</v>
      </c>
      <c r="E456">
        <f t="shared" si="60"/>
        <v>0</v>
      </c>
      <c r="F456">
        <f t="shared" si="61"/>
        <v>1</v>
      </c>
      <c r="G456">
        <f t="shared" si="62"/>
        <v>0</v>
      </c>
      <c r="H456">
        <v>0</v>
      </c>
      <c r="I456">
        <f t="shared" si="63"/>
        <v>0</v>
      </c>
      <c r="J456">
        <v>0</v>
      </c>
      <c r="K456" t="s">
        <v>2198</v>
      </c>
      <c r="L456" t="s">
        <v>2199</v>
      </c>
      <c r="M456" t="s">
        <v>27</v>
      </c>
      <c r="N456" t="s">
        <v>27</v>
      </c>
      <c r="O456">
        <v>3.44</v>
      </c>
      <c r="P456" t="s">
        <v>27</v>
      </c>
      <c r="Q456" t="s">
        <v>27</v>
      </c>
      <c r="R456">
        <v>14.810000419616699</v>
      </c>
      <c r="S456">
        <v>32.625</v>
      </c>
      <c r="T456">
        <v>0</v>
      </c>
      <c r="U456">
        <v>99.488899230957003</v>
      </c>
      <c r="V456">
        <v>-15166000</v>
      </c>
      <c r="W456">
        <v>-41.178958892822301</v>
      </c>
      <c r="X456">
        <v>-3.9999999105930301E-2</v>
      </c>
      <c r="Y456">
        <v>-0.47735700011253401</v>
      </c>
      <c r="Z456">
        <v>1.8543050289154099</v>
      </c>
      <c r="AA456">
        <v>72200000</v>
      </c>
      <c r="AB456" t="s">
        <v>27</v>
      </c>
      <c r="AC456" t="s">
        <v>27</v>
      </c>
      <c r="AD456">
        <v>-3.9999999105930301E-2</v>
      </c>
      <c r="AE456">
        <v>96.848815917968807</v>
      </c>
      <c r="AF456" t="s">
        <v>27</v>
      </c>
      <c r="AG456">
        <v>72776000</v>
      </c>
      <c r="AH456">
        <v>24.048801422119102</v>
      </c>
      <c r="AI456">
        <v>1.02273905277252</v>
      </c>
    </row>
    <row r="457" spans="1:35">
      <c r="A457">
        <f t="shared" si="56"/>
        <v>1</v>
      </c>
      <c r="B457">
        <f t="shared" si="57"/>
        <v>1</v>
      </c>
      <c r="C457">
        <f t="shared" si="58"/>
        <v>1</v>
      </c>
      <c r="D457">
        <f t="shared" si="59"/>
        <v>0</v>
      </c>
      <c r="E457">
        <f t="shared" si="60"/>
        <v>0</v>
      </c>
      <c r="F457">
        <f t="shared" si="61"/>
        <v>1</v>
      </c>
      <c r="G457">
        <f t="shared" si="62"/>
        <v>0</v>
      </c>
      <c r="H457">
        <v>0</v>
      </c>
      <c r="I457">
        <f t="shared" si="63"/>
        <v>0</v>
      </c>
      <c r="J457">
        <v>0</v>
      </c>
      <c r="K457" t="s">
        <v>2200</v>
      </c>
      <c r="L457" t="s">
        <v>2201</v>
      </c>
      <c r="M457" t="s">
        <v>27</v>
      </c>
      <c r="N457" t="s">
        <v>27</v>
      </c>
      <c r="O457">
        <v>9.66</v>
      </c>
      <c r="P457" t="s">
        <v>27</v>
      </c>
      <c r="Q457" t="s">
        <v>27</v>
      </c>
      <c r="R457">
        <v>21.709999084472699</v>
      </c>
      <c r="S457" t="s">
        <v>27</v>
      </c>
      <c r="T457" t="s">
        <v>27</v>
      </c>
      <c r="U457" t="s">
        <v>27</v>
      </c>
      <c r="V457">
        <v>10245000</v>
      </c>
      <c r="W457">
        <v>-2.8454771041870099</v>
      </c>
      <c r="X457" t="s">
        <v>27</v>
      </c>
      <c r="Y457" t="s">
        <v>27</v>
      </c>
      <c r="Z457">
        <v>-6.0681109428405797</v>
      </c>
      <c r="AA457" t="s">
        <v>27</v>
      </c>
      <c r="AB457" t="s">
        <v>27</v>
      </c>
      <c r="AC457" t="s">
        <v>27</v>
      </c>
      <c r="AD457">
        <v>-0.17000000178813901</v>
      </c>
      <c r="AE457" t="s">
        <v>27</v>
      </c>
      <c r="AF457" t="s">
        <v>27</v>
      </c>
      <c r="AG457">
        <v>18012000</v>
      </c>
      <c r="AH457">
        <v>39.532554626464801</v>
      </c>
      <c r="AI457">
        <v>0.19236800074577301</v>
      </c>
    </row>
    <row r="458" spans="1:35">
      <c r="A458">
        <f t="shared" si="56"/>
        <v>0</v>
      </c>
      <c r="B458">
        <f t="shared" si="57"/>
        <v>0</v>
      </c>
      <c r="C458">
        <f t="shared" si="58"/>
        <v>1</v>
      </c>
      <c r="D458">
        <f t="shared" si="59"/>
        <v>0</v>
      </c>
      <c r="E458">
        <f t="shared" si="60"/>
        <v>0</v>
      </c>
      <c r="F458">
        <f t="shared" si="61"/>
        <v>0</v>
      </c>
      <c r="G458">
        <f t="shared" si="62"/>
        <v>0</v>
      </c>
      <c r="H458">
        <v>0</v>
      </c>
      <c r="I458">
        <f t="shared" si="63"/>
        <v>0</v>
      </c>
      <c r="J458">
        <v>0</v>
      </c>
      <c r="K458" t="s">
        <v>2202</v>
      </c>
      <c r="L458" t="s">
        <v>2203</v>
      </c>
      <c r="M458" t="s">
        <v>27</v>
      </c>
      <c r="N458" t="s">
        <v>27</v>
      </c>
      <c r="O458">
        <v>8.74</v>
      </c>
      <c r="P458" t="s">
        <v>27</v>
      </c>
      <c r="Q458" t="s">
        <v>27</v>
      </c>
      <c r="R458">
        <v>17.959999084472699</v>
      </c>
      <c r="S458">
        <v>22.0625</v>
      </c>
      <c r="T458">
        <v>68.946250915527301</v>
      </c>
      <c r="U458">
        <v>65.734268188476605</v>
      </c>
      <c r="V458">
        <v>12491997</v>
      </c>
      <c r="W458">
        <v>-9.4719047546386701</v>
      </c>
      <c r="X458">
        <v>-0.259999990463257</v>
      </c>
      <c r="Y458" t="s">
        <v>27</v>
      </c>
      <c r="Z458">
        <v>-9.1327705383300799</v>
      </c>
      <c r="AA458">
        <v>89944000</v>
      </c>
      <c r="AB458" t="s">
        <v>27</v>
      </c>
      <c r="AC458" t="s">
        <v>27</v>
      </c>
      <c r="AD458">
        <v>-0.54000002145767201</v>
      </c>
      <c r="AE458">
        <v>62.099052429199197</v>
      </c>
      <c r="AF458">
        <v>11.0598495504318</v>
      </c>
      <c r="AG458">
        <v>119882000</v>
      </c>
      <c r="AH458">
        <v>77.011703491210895</v>
      </c>
      <c r="AI458">
        <v>-11.326740264892599</v>
      </c>
    </row>
    <row r="459" spans="1:35">
      <c r="A459">
        <f t="shared" si="56"/>
        <v>0</v>
      </c>
      <c r="B459">
        <f t="shared" si="57"/>
        <v>1</v>
      </c>
      <c r="C459">
        <f t="shared" si="58"/>
        <v>0</v>
      </c>
      <c r="D459">
        <f t="shared" si="59"/>
        <v>1</v>
      </c>
      <c r="E459">
        <f t="shared" si="60"/>
        <v>0</v>
      </c>
      <c r="F459">
        <f t="shared" si="61"/>
        <v>0</v>
      </c>
      <c r="G459">
        <f t="shared" si="62"/>
        <v>0</v>
      </c>
      <c r="H459">
        <v>0</v>
      </c>
      <c r="I459">
        <f t="shared" si="63"/>
        <v>1</v>
      </c>
      <c r="J459">
        <v>0</v>
      </c>
      <c r="K459" t="s">
        <v>2204</v>
      </c>
      <c r="L459" t="s">
        <v>2205</v>
      </c>
      <c r="M459" t="s">
        <v>27</v>
      </c>
      <c r="N459" t="s">
        <v>27</v>
      </c>
      <c r="O459">
        <v>16.420000000000002</v>
      </c>
      <c r="P459" t="s">
        <v>27</v>
      </c>
      <c r="Q459" t="s">
        <v>27</v>
      </c>
      <c r="R459">
        <v>11.060000419616699</v>
      </c>
      <c r="S459">
        <v>12.75</v>
      </c>
      <c r="T459">
        <v>0</v>
      </c>
      <c r="U459" t="s">
        <v>27</v>
      </c>
      <c r="V459">
        <v>-20514300</v>
      </c>
      <c r="W459">
        <v>-183.55984497070301</v>
      </c>
      <c r="X459">
        <v>-0.34000000357627902</v>
      </c>
      <c r="Y459" t="s">
        <v>27</v>
      </c>
      <c r="Z459">
        <v>-36.198348999023402</v>
      </c>
      <c r="AA459">
        <v>30298000</v>
      </c>
      <c r="AB459" t="s">
        <v>73</v>
      </c>
      <c r="AC459" t="s">
        <v>413</v>
      </c>
      <c r="AD459">
        <v>-0.33000001311302202</v>
      </c>
      <c r="AE459">
        <v>83.976173400878906</v>
      </c>
      <c r="AF459" t="s">
        <v>27</v>
      </c>
      <c r="AG459">
        <v>34566000</v>
      </c>
      <c r="AH459">
        <v>0</v>
      </c>
      <c r="AI459">
        <v>-154.38854980468801</v>
      </c>
    </row>
    <row r="460" spans="1:35">
      <c r="A460">
        <f t="shared" si="56"/>
        <v>1</v>
      </c>
      <c r="B460">
        <f t="shared" si="57"/>
        <v>1</v>
      </c>
      <c r="C460">
        <f t="shared" si="58"/>
        <v>0</v>
      </c>
      <c r="D460">
        <f t="shared" si="59"/>
        <v>1</v>
      </c>
      <c r="E460">
        <f t="shared" si="60"/>
        <v>0</v>
      </c>
      <c r="F460">
        <f t="shared" si="61"/>
        <v>0</v>
      </c>
      <c r="G460">
        <f t="shared" si="62"/>
        <v>0</v>
      </c>
      <c r="H460">
        <v>0</v>
      </c>
      <c r="I460">
        <f t="shared" si="63"/>
        <v>0</v>
      </c>
      <c r="J460">
        <v>0</v>
      </c>
      <c r="K460" t="s">
        <v>2206</v>
      </c>
      <c r="L460" t="s">
        <v>2207</v>
      </c>
      <c r="M460" t="s">
        <v>27</v>
      </c>
      <c r="N460" t="s">
        <v>27</v>
      </c>
      <c r="O460">
        <v>4.84</v>
      </c>
      <c r="P460" t="s">
        <v>27</v>
      </c>
      <c r="Q460" t="s">
        <v>27</v>
      </c>
      <c r="R460">
        <v>8.75</v>
      </c>
      <c r="S460">
        <v>22.25</v>
      </c>
      <c r="T460">
        <v>3.2140000257641099E-3</v>
      </c>
      <c r="U460" t="s">
        <v>27</v>
      </c>
      <c r="V460">
        <v>-2120000</v>
      </c>
      <c r="W460">
        <v>-47.756294250488303</v>
      </c>
      <c r="X460">
        <v>-0.5</v>
      </c>
      <c r="Y460" t="s">
        <v>27</v>
      </c>
      <c r="Z460">
        <v>-25.198097229003899</v>
      </c>
      <c r="AA460">
        <v>16781000</v>
      </c>
      <c r="AB460" t="s">
        <v>27</v>
      </c>
      <c r="AC460" t="s">
        <v>27</v>
      </c>
      <c r="AD460">
        <v>-0.37000000476837203</v>
      </c>
      <c r="AE460" t="s">
        <v>27</v>
      </c>
      <c r="AF460" t="s">
        <v>27</v>
      </c>
      <c r="AG460">
        <v>17502000</v>
      </c>
      <c r="AH460">
        <v>0</v>
      </c>
      <c r="AI460">
        <v>-46.171531677246101</v>
      </c>
    </row>
    <row r="461" spans="1:35">
      <c r="A461">
        <f t="shared" si="56"/>
        <v>1</v>
      </c>
      <c r="B461">
        <f t="shared" si="57"/>
        <v>0</v>
      </c>
      <c r="C461">
        <f t="shared" si="58"/>
        <v>1</v>
      </c>
      <c r="D461">
        <f t="shared" si="59"/>
        <v>0</v>
      </c>
      <c r="E461">
        <f t="shared" si="60"/>
        <v>0</v>
      </c>
      <c r="F461">
        <f t="shared" si="61"/>
        <v>1</v>
      </c>
      <c r="G461">
        <f t="shared" si="62"/>
        <v>0</v>
      </c>
      <c r="H461">
        <v>0</v>
      </c>
      <c r="I461">
        <f t="shared" si="63"/>
        <v>0</v>
      </c>
      <c r="J461">
        <v>0</v>
      </c>
      <c r="K461" t="s">
        <v>2218</v>
      </c>
      <c r="L461" t="s">
        <v>2219</v>
      </c>
      <c r="M461" t="s">
        <v>27</v>
      </c>
      <c r="N461" t="s">
        <v>27</v>
      </c>
      <c r="O461">
        <v>7.2</v>
      </c>
      <c r="P461">
        <v>35.073379516601598</v>
      </c>
      <c r="Q461" t="s">
        <v>27</v>
      </c>
      <c r="R461">
        <v>7.9549999237060502</v>
      </c>
      <c r="S461">
        <v>9.75</v>
      </c>
      <c r="T461">
        <v>15.1901960372925</v>
      </c>
      <c r="U461">
        <v>36.173938751220703</v>
      </c>
      <c r="V461">
        <v>3429999.5</v>
      </c>
      <c r="W461">
        <v>13.9942617416382</v>
      </c>
      <c r="X461">
        <v>0.119999997317791</v>
      </c>
      <c r="Y461">
        <v>2.75</v>
      </c>
      <c r="Z461">
        <v>10.493826866149901</v>
      </c>
      <c r="AA461">
        <v>18490000</v>
      </c>
      <c r="AB461" t="s">
        <v>27</v>
      </c>
      <c r="AC461" t="s">
        <v>27</v>
      </c>
      <c r="AD461">
        <v>7.9999998211860698E-2</v>
      </c>
      <c r="AE461">
        <v>31.526262283325199</v>
      </c>
      <c r="AF461" t="s">
        <v>27</v>
      </c>
      <c r="AG461">
        <v>19550000</v>
      </c>
      <c r="AH461">
        <v>2.65254807472229</v>
      </c>
      <c r="AI461">
        <v>5.8311948776245099</v>
      </c>
    </row>
    <row r="462" spans="1:35">
      <c r="A462">
        <f t="shared" si="56"/>
        <v>1</v>
      </c>
      <c r="B462">
        <f t="shared" si="57"/>
        <v>0</v>
      </c>
      <c r="C462">
        <f t="shared" si="58"/>
        <v>1</v>
      </c>
      <c r="D462">
        <f t="shared" si="59"/>
        <v>1</v>
      </c>
      <c r="E462">
        <f t="shared" si="60"/>
        <v>0</v>
      </c>
      <c r="F462">
        <f t="shared" si="61"/>
        <v>0</v>
      </c>
      <c r="G462">
        <f t="shared" si="62"/>
        <v>1</v>
      </c>
      <c r="H462">
        <v>0</v>
      </c>
      <c r="I462">
        <f t="shared" si="63"/>
        <v>0</v>
      </c>
      <c r="J462">
        <v>0</v>
      </c>
      <c r="K462" t="s">
        <v>2222</v>
      </c>
      <c r="L462" t="s">
        <v>2223</v>
      </c>
      <c r="M462" t="s">
        <v>27</v>
      </c>
      <c r="N462" t="s">
        <v>27</v>
      </c>
      <c r="O462">
        <v>3.88</v>
      </c>
      <c r="P462" t="s">
        <v>27</v>
      </c>
      <c r="Q462" t="s">
        <v>27</v>
      </c>
      <c r="R462">
        <v>5.3800001144409197</v>
      </c>
      <c r="S462">
        <v>2.1320250000000001</v>
      </c>
      <c r="T462">
        <v>37.516059875488303</v>
      </c>
      <c r="U462">
        <v>74.152175903320298</v>
      </c>
      <c r="V462">
        <v>3143000</v>
      </c>
      <c r="W462">
        <v>-1.9935059547424301</v>
      </c>
      <c r="X462">
        <v>-0.54000002145767201</v>
      </c>
      <c r="Y462">
        <v>-62</v>
      </c>
      <c r="Z462">
        <v>0.68376100063323997</v>
      </c>
      <c r="AA462">
        <v>37167000</v>
      </c>
      <c r="AB462" t="s">
        <v>27</v>
      </c>
      <c r="AC462" t="s">
        <v>27</v>
      </c>
      <c r="AD462">
        <v>0.18999999761581399</v>
      </c>
      <c r="AE462">
        <v>75.201652526855497</v>
      </c>
      <c r="AF462" t="s">
        <v>27</v>
      </c>
      <c r="AG462">
        <v>39450000</v>
      </c>
      <c r="AH462">
        <v>29.506607055664102</v>
      </c>
      <c r="AI462">
        <v>-42.626697540283203</v>
      </c>
    </row>
    <row r="463" spans="1:35">
      <c r="A463">
        <f t="shared" si="56"/>
        <v>1</v>
      </c>
      <c r="B463">
        <f t="shared" si="57"/>
        <v>0</v>
      </c>
      <c r="C463">
        <f t="shared" si="58"/>
        <v>1</v>
      </c>
      <c r="D463">
        <f t="shared" si="59"/>
        <v>1</v>
      </c>
      <c r="E463">
        <f t="shared" si="60"/>
        <v>0</v>
      </c>
      <c r="F463">
        <f t="shared" si="61"/>
        <v>1</v>
      </c>
      <c r="G463">
        <f t="shared" si="62"/>
        <v>1</v>
      </c>
      <c r="H463">
        <v>0</v>
      </c>
      <c r="I463">
        <f t="shared" si="63"/>
        <v>1</v>
      </c>
      <c r="J463">
        <v>0</v>
      </c>
      <c r="K463" t="s">
        <v>2228</v>
      </c>
      <c r="L463" t="s">
        <v>2229</v>
      </c>
      <c r="M463" t="s">
        <v>27</v>
      </c>
      <c r="N463" t="s">
        <v>27</v>
      </c>
      <c r="O463">
        <v>17.489999999999998</v>
      </c>
      <c r="P463">
        <v>5.3286399841308603</v>
      </c>
      <c r="Q463" t="s">
        <v>27</v>
      </c>
      <c r="R463">
        <v>13.319999694824199</v>
      </c>
      <c r="S463">
        <v>3.8</v>
      </c>
      <c r="T463">
        <v>41.380134582519503</v>
      </c>
      <c r="U463">
        <v>34.114871978759801</v>
      </c>
      <c r="V463">
        <v>3114000</v>
      </c>
      <c r="W463">
        <v>5.2444629669189498</v>
      </c>
      <c r="X463">
        <v>3.2000000476837202E-2</v>
      </c>
      <c r="Y463">
        <v>3.32673311233521</v>
      </c>
      <c r="Z463">
        <v>2.4736840724945099</v>
      </c>
      <c r="AA463">
        <v>12136653.125</v>
      </c>
      <c r="AB463" t="s">
        <v>73</v>
      </c>
      <c r="AC463" t="s">
        <v>74</v>
      </c>
      <c r="AD463">
        <v>0.136000001430511</v>
      </c>
      <c r="AE463">
        <v>37.8493041992188</v>
      </c>
      <c r="AF463">
        <v>11.8866835455781</v>
      </c>
      <c r="AG463">
        <v>13310435</v>
      </c>
      <c r="AH463">
        <v>13.480429649353001</v>
      </c>
      <c r="AI463">
        <v>1.15015304088593</v>
      </c>
    </row>
    <row r="464" spans="1:35">
      <c r="A464">
        <f t="shared" si="56"/>
        <v>1</v>
      </c>
      <c r="B464">
        <f t="shared" si="57"/>
        <v>0</v>
      </c>
      <c r="C464">
        <f t="shared" si="58"/>
        <v>0</v>
      </c>
      <c r="D464">
        <f t="shared" si="59"/>
        <v>0</v>
      </c>
      <c r="E464">
        <f t="shared" si="60"/>
        <v>0</v>
      </c>
      <c r="F464">
        <f t="shared" si="61"/>
        <v>0</v>
      </c>
      <c r="G464">
        <f t="shared" si="62"/>
        <v>0</v>
      </c>
      <c r="H464">
        <v>0</v>
      </c>
      <c r="I464">
        <f t="shared" si="63"/>
        <v>0</v>
      </c>
      <c r="J464">
        <v>0</v>
      </c>
      <c r="K464" t="s">
        <v>2232</v>
      </c>
      <c r="L464" t="s">
        <v>2233</v>
      </c>
      <c r="M464" t="s">
        <v>27</v>
      </c>
      <c r="N464" t="s">
        <v>27</v>
      </c>
      <c r="O464">
        <v>4.38</v>
      </c>
      <c r="P464" t="s">
        <v>27</v>
      </c>
      <c r="Q464" t="s">
        <v>27</v>
      </c>
      <c r="R464">
        <v>9.1300001144409197</v>
      </c>
      <c r="S464">
        <v>10.5625</v>
      </c>
      <c r="T464">
        <v>46.736110687255902</v>
      </c>
      <c r="U464" t="s">
        <v>27</v>
      </c>
      <c r="V464">
        <v>-2226000</v>
      </c>
      <c r="W464">
        <v>14.897382736206101</v>
      </c>
      <c r="X464">
        <v>0.519999980926514</v>
      </c>
      <c r="Y464">
        <v>13.714285850524901</v>
      </c>
      <c r="Z464">
        <v>-30.674846649169901</v>
      </c>
      <c r="AA464">
        <v>32286304</v>
      </c>
      <c r="AB464" t="s">
        <v>27</v>
      </c>
      <c r="AC464" t="s">
        <v>27</v>
      </c>
      <c r="AD464">
        <v>-1.4900000095367401</v>
      </c>
      <c r="AE464" t="s">
        <v>27</v>
      </c>
      <c r="AF464">
        <v>6.8159421453375399</v>
      </c>
      <c r="AG464">
        <v>33049184</v>
      </c>
      <c r="AH464">
        <v>45.019645690917997</v>
      </c>
      <c r="AI464">
        <v>-11.8621225357056</v>
      </c>
    </row>
    <row r="465" spans="1:35">
      <c r="A465">
        <f t="shared" si="56"/>
        <v>0</v>
      </c>
      <c r="B465">
        <f t="shared" si="57"/>
        <v>1</v>
      </c>
      <c r="C465">
        <f t="shared" si="58"/>
        <v>1</v>
      </c>
      <c r="D465">
        <f t="shared" si="59"/>
        <v>0</v>
      </c>
      <c r="E465">
        <f t="shared" si="60"/>
        <v>0</v>
      </c>
      <c r="F465">
        <f t="shared" si="61"/>
        <v>1</v>
      </c>
      <c r="G465">
        <f t="shared" si="62"/>
        <v>1</v>
      </c>
      <c r="H465">
        <v>0</v>
      </c>
      <c r="I465">
        <f t="shared" si="63"/>
        <v>0</v>
      </c>
      <c r="J465">
        <v>0</v>
      </c>
      <c r="K465" t="s">
        <v>2246</v>
      </c>
      <c r="L465" t="s">
        <v>2247</v>
      </c>
      <c r="M465" t="s">
        <v>27</v>
      </c>
      <c r="N465" t="s">
        <v>27</v>
      </c>
      <c r="O465">
        <v>27.05</v>
      </c>
      <c r="P465">
        <v>8.2210254669189506</v>
      </c>
      <c r="Q465" t="s">
        <v>27</v>
      </c>
      <c r="R465">
        <v>25.638999938964801</v>
      </c>
      <c r="S465">
        <v>22.375</v>
      </c>
      <c r="T465">
        <v>38.918659210205099</v>
      </c>
      <c r="U465">
        <v>68.209167480468807</v>
      </c>
      <c r="V465">
        <v>3297999.5</v>
      </c>
      <c r="W465">
        <v>4.9379529953002903</v>
      </c>
      <c r="X465">
        <v>0.50999999046325695</v>
      </c>
      <c r="Y465">
        <v>7.2967028617858896</v>
      </c>
      <c r="Z465">
        <v>6.5606360435485804</v>
      </c>
      <c r="AA465">
        <v>16532000</v>
      </c>
      <c r="AB465" t="s">
        <v>254</v>
      </c>
      <c r="AC465" t="s">
        <v>848</v>
      </c>
      <c r="AD465">
        <v>0.36000001430511502</v>
      </c>
      <c r="AE465">
        <v>70.132415771484403</v>
      </c>
      <c r="AF465">
        <v>7.4566261350411898</v>
      </c>
      <c r="AG465">
        <v>16965000</v>
      </c>
      <c r="AH465" t="s">
        <v>27</v>
      </c>
      <c r="AI465">
        <v>5.1269121170043901</v>
      </c>
    </row>
    <row r="466" spans="1:35">
      <c r="A466">
        <f t="shared" si="56"/>
        <v>1</v>
      </c>
      <c r="B466">
        <f t="shared" si="57"/>
        <v>0</v>
      </c>
      <c r="C466">
        <f t="shared" si="58"/>
        <v>0</v>
      </c>
      <c r="D466">
        <f t="shared" si="59"/>
        <v>0</v>
      </c>
      <c r="E466">
        <f t="shared" si="60"/>
        <v>0</v>
      </c>
      <c r="F466">
        <f t="shared" si="61"/>
        <v>0</v>
      </c>
      <c r="G466">
        <f t="shared" si="62"/>
        <v>1</v>
      </c>
      <c r="H466">
        <v>0</v>
      </c>
      <c r="I466">
        <f t="shared" si="63"/>
        <v>0</v>
      </c>
      <c r="J466">
        <v>0</v>
      </c>
      <c r="K466" t="s">
        <v>2248</v>
      </c>
      <c r="L466" t="s">
        <v>2249</v>
      </c>
      <c r="M466" t="s">
        <v>27</v>
      </c>
      <c r="N466" t="s">
        <v>27</v>
      </c>
      <c r="O466">
        <v>2.97</v>
      </c>
      <c r="P466" t="s">
        <v>27</v>
      </c>
      <c r="Q466" t="s">
        <v>27</v>
      </c>
      <c r="R466">
        <v>10.930000305175801</v>
      </c>
      <c r="S466">
        <v>20.8125</v>
      </c>
      <c r="T466">
        <v>5.6312398910522496</v>
      </c>
      <c r="U466">
        <v>86.526268005371094</v>
      </c>
      <c r="V466">
        <v>-14833000</v>
      </c>
      <c r="W466">
        <v>-17.044437408447301</v>
      </c>
      <c r="X466">
        <v>-0.43000000715255698</v>
      </c>
      <c r="Y466">
        <v>-5.6802167892456099</v>
      </c>
      <c r="Z466">
        <v>-24.970964431762699</v>
      </c>
      <c r="AA466">
        <v>23577000</v>
      </c>
      <c r="AB466" t="s">
        <v>27</v>
      </c>
      <c r="AC466" t="s">
        <v>27</v>
      </c>
      <c r="AD466">
        <v>-0.46000000834464999</v>
      </c>
      <c r="AE466">
        <v>88.337554931640597</v>
      </c>
      <c r="AF466" t="s">
        <v>27</v>
      </c>
      <c r="AG466">
        <v>29710000</v>
      </c>
      <c r="AH466">
        <v>4.4634780883789098</v>
      </c>
      <c r="AI466">
        <v>-31.431095123291001</v>
      </c>
    </row>
    <row r="467" spans="1:35">
      <c r="A467">
        <f t="shared" si="56"/>
        <v>0</v>
      </c>
      <c r="B467">
        <f t="shared" si="57"/>
        <v>0</v>
      </c>
      <c r="C467">
        <f t="shared" si="58"/>
        <v>0</v>
      </c>
      <c r="D467">
        <f t="shared" si="59"/>
        <v>1</v>
      </c>
      <c r="E467">
        <f t="shared" si="60"/>
        <v>0</v>
      </c>
      <c r="F467">
        <f t="shared" si="61"/>
        <v>0</v>
      </c>
      <c r="G467">
        <f t="shared" si="62"/>
        <v>0</v>
      </c>
      <c r="H467">
        <v>0</v>
      </c>
      <c r="I467">
        <f t="shared" si="63"/>
        <v>0</v>
      </c>
      <c r="J467">
        <v>0</v>
      </c>
      <c r="K467" t="s">
        <v>2250</v>
      </c>
      <c r="L467" t="s">
        <v>2251</v>
      </c>
      <c r="M467" t="s">
        <v>27</v>
      </c>
      <c r="N467" t="s">
        <v>27</v>
      </c>
      <c r="O467">
        <v>8.1</v>
      </c>
      <c r="P467" t="s">
        <v>27</v>
      </c>
      <c r="Q467" t="s">
        <v>27</v>
      </c>
      <c r="R467">
        <v>15.550000190734901</v>
      </c>
      <c r="S467">
        <v>20.5625</v>
      </c>
      <c r="T467">
        <v>0</v>
      </c>
      <c r="U467">
        <v>94.754302978515597</v>
      </c>
      <c r="V467">
        <v>-1014000</v>
      </c>
      <c r="W467">
        <v>18.884120941162099</v>
      </c>
      <c r="X467">
        <v>-0.38999998569488498</v>
      </c>
      <c r="Y467">
        <v>-0.69999998807907104</v>
      </c>
      <c r="Z467">
        <v>-11.5183248519897</v>
      </c>
      <c r="AA467">
        <v>16459620</v>
      </c>
      <c r="AB467" t="s">
        <v>27</v>
      </c>
      <c r="AC467" t="s">
        <v>27</v>
      </c>
      <c r="AD467">
        <v>-0.28999999165535001</v>
      </c>
      <c r="AE467">
        <v>89.106346130371094</v>
      </c>
      <c r="AF467" t="s">
        <v>27</v>
      </c>
      <c r="AG467">
        <v>21001266</v>
      </c>
      <c r="AH467">
        <v>0</v>
      </c>
      <c r="AI467">
        <v>-47.610652923583999</v>
      </c>
    </row>
    <row r="468" spans="1:35">
      <c r="A468">
        <f t="shared" si="56"/>
        <v>0</v>
      </c>
      <c r="B468">
        <f t="shared" si="57"/>
        <v>0</v>
      </c>
      <c r="C468">
        <f t="shared" si="58"/>
        <v>1</v>
      </c>
      <c r="D468">
        <f t="shared" si="59"/>
        <v>0</v>
      </c>
      <c r="E468">
        <f t="shared" si="60"/>
        <v>0</v>
      </c>
      <c r="F468">
        <f t="shared" si="61"/>
        <v>1</v>
      </c>
      <c r="G468">
        <f t="shared" si="62"/>
        <v>0</v>
      </c>
      <c r="H468">
        <v>0</v>
      </c>
      <c r="I468">
        <f t="shared" si="63"/>
        <v>0</v>
      </c>
      <c r="J468">
        <v>0</v>
      </c>
      <c r="K468" t="s">
        <v>2252</v>
      </c>
      <c r="L468" t="s">
        <v>2253</v>
      </c>
      <c r="M468" t="s">
        <v>27</v>
      </c>
      <c r="N468" t="s">
        <v>27</v>
      </c>
      <c r="O468">
        <v>4.99</v>
      </c>
      <c r="P468">
        <v>11.2013053894043</v>
      </c>
      <c r="Q468" t="s">
        <v>27</v>
      </c>
      <c r="R468">
        <v>14.550000190734901</v>
      </c>
      <c r="S468">
        <v>18.389999389648398</v>
      </c>
      <c r="T468">
        <v>32.178047180175803</v>
      </c>
      <c r="U468">
        <v>25.8883247375488</v>
      </c>
      <c r="V468">
        <v>12900001</v>
      </c>
      <c r="W468" t="s">
        <v>27</v>
      </c>
      <c r="X468">
        <v>0.52999997138977095</v>
      </c>
      <c r="Y468">
        <v>15.474178314209</v>
      </c>
      <c r="Z468">
        <v>5.8528428077697798</v>
      </c>
      <c r="AA468">
        <v>34300000</v>
      </c>
      <c r="AB468" t="s">
        <v>27</v>
      </c>
      <c r="AC468" t="s">
        <v>27</v>
      </c>
      <c r="AD468">
        <v>-0.55000001192092896</v>
      </c>
      <c r="AE468">
        <v>15.042732238769499</v>
      </c>
      <c r="AF468" t="s">
        <v>27</v>
      </c>
      <c r="AG468">
        <v>33400002</v>
      </c>
      <c r="AH468">
        <v>39.550052642822301</v>
      </c>
      <c r="AI468">
        <v>4.8174309730529803</v>
      </c>
    </row>
    <row r="469" spans="1:35">
      <c r="A469">
        <f t="shared" si="56"/>
        <v>1</v>
      </c>
      <c r="B469">
        <f t="shared" si="57"/>
        <v>0</v>
      </c>
      <c r="C469">
        <f t="shared" si="58"/>
        <v>1</v>
      </c>
      <c r="D469">
        <f t="shared" si="59"/>
        <v>0</v>
      </c>
      <c r="E469">
        <f t="shared" si="60"/>
        <v>0</v>
      </c>
      <c r="F469">
        <f t="shared" si="61"/>
        <v>1</v>
      </c>
      <c r="G469">
        <f t="shared" si="62"/>
        <v>0</v>
      </c>
      <c r="H469">
        <v>0</v>
      </c>
      <c r="I469">
        <f t="shared" si="63"/>
        <v>0</v>
      </c>
      <c r="J469">
        <v>0</v>
      </c>
      <c r="K469" t="s">
        <v>2254</v>
      </c>
      <c r="L469" t="s">
        <v>2255</v>
      </c>
      <c r="M469" t="s">
        <v>27</v>
      </c>
      <c r="N469" t="s">
        <v>27</v>
      </c>
      <c r="O469">
        <v>8.6</v>
      </c>
      <c r="P469" t="s">
        <v>27</v>
      </c>
      <c r="Q469" t="s">
        <v>27</v>
      </c>
      <c r="R469">
        <v>14.8999996185303</v>
      </c>
      <c r="S469">
        <v>8.25</v>
      </c>
      <c r="T469" t="s">
        <v>27</v>
      </c>
      <c r="U469" t="s">
        <v>27</v>
      </c>
      <c r="V469">
        <v>4719000</v>
      </c>
      <c r="W469" t="s">
        <v>27</v>
      </c>
      <c r="X469" t="s">
        <v>27</v>
      </c>
      <c r="Y469" t="s">
        <v>27</v>
      </c>
      <c r="Z469" t="s">
        <v>27</v>
      </c>
      <c r="AA469" t="s">
        <v>27</v>
      </c>
      <c r="AB469" t="s">
        <v>27</v>
      </c>
      <c r="AC469" t="s">
        <v>27</v>
      </c>
      <c r="AD469">
        <v>0.34999999403953602</v>
      </c>
      <c r="AE469">
        <v>17.7610874176025</v>
      </c>
      <c r="AF469" t="s">
        <v>27</v>
      </c>
      <c r="AG469">
        <v>8285000</v>
      </c>
      <c r="AH469">
        <v>2.6208000257611299E-2</v>
      </c>
      <c r="AI469" t="s">
        <v>27</v>
      </c>
    </row>
    <row r="470" spans="1:35">
      <c r="A470">
        <f t="shared" si="56"/>
        <v>1</v>
      </c>
      <c r="B470">
        <f t="shared" si="57"/>
        <v>0</v>
      </c>
      <c r="C470">
        <f t="shared" si="58"/>
        <v>0</v>
      </c>
      <c r="D470">
        <f t="shared" si="59"/>
        <v>0</v>
      </c>
      <c r="E470">
        <f t="shared" si="60"/>
        <v>0</v>
      </c>
      <c r="F470">
        <f t="shared" si="61"/>
        <v>0</v>
      </c>
      <c r="G470">
        <f t="shared" si="62"/>
        <v>0</v>
      </c>
      <c r="H470">
        <v>0</v>
      </c>
      <c r="I470">
        <f t="shared" si="63"/>
        <v>0</v>
      </c>
      <c r="J470">
        <v>0</v>
      </c>
      <c r="K470" t="s">
        <v>2260</v>
      </c>
      <c r="L470" t="s">
        <v>2261</v>
      </c>
      <c r="M470" t="s">
        <v>27</v>
      </c>
      <c r="N470" t="s">
        <v>27</v>
      </c>
      <c r="O470">
        <v>2.0699999999999998</v>
      </c>
      <c r="P470">
        <v>5.2330889701843297</v>
      </c>
      <c r="Q470" t="s">
        <v>27</v>
      </c>
      <c r="R470">
        <v>12.6499996185303</v>
      </c>
      <c r="S470">
        <v>71.0625</v>
      </c>
      <c r="T470">
        <v>38.284519195556598</v>
      </c>
      <c r="U470">
        <v>67.318046569824205</v>
      </c>
      <c r="V470">
        <v>-46932000</v>
      </c>
      <c r="W470">
        <v>2.2821159362793</v>
      </c>
      <c r="X470">
        <v>5.9999998658895499E-2</v>
      </c>
      <c r="Y470">
        <v>0.61841201782226596</v>
      </c>
      <c r="Z470">
        <v>1.9354840517044101</v>
      </c>
      <c r="AA470">
        <v>180049152</v>
      </c>
      <c r="AB470" t="s">
        <v>38</v>
      </c>
      <c r="AC470" t="s">
        <v>118</v>
      </c>
      <c r="AD470">
        <v>-0.30000001192092901</v>
      </c>
      <c r="AE470">
        <v>39.957504272460902</v>
      </c>
      <c r="AF470" t="s">
        <v>27</v>
      </c>
      <c r="AG470">
        <v>197440000</v>
      </c>
      <c r="AH470">
        <v>27.923118591308601</v>
      </c>
      <c r="AI470">
        <v>-5.8361730575561497</v>
      </c>
    </row>
    <row r="471" spans="1:35">
      <c r="A471">
        <f t="shared" si="56"/>
        <v>0</v>
      </c>
      <c r="B471">
        <f t="shared" si="57"/>
        <v>1</v>
      </c>
      <c r="C471">
        <f t="shared" si="58"/>
        <v>0</v>
      </c>
      <c r="D471">
        <f t="shared" si="59"/>
        <v>1</v>
      </c>
      <c r="E471">
        <f t="shared" si="60"/>
        <v>0</v>
      </c>
      <c r="F471">
        <f t="shared" si="61"/>
        <v>0</v>
      </c>
      <c r="G471">
        <f t="shared" si="62"/>
        <v>0</v>
      </c>
      <c r="H471">
        <v>0</v>
      </c>
      <c r="I471">
        <f t="shared" si="63"/>
        <v>0</v>
      </c>
      <c r="J471">
        <v>0</v>
      </c>
      <c r="K471" t="s">
        <v>2264</v>
      </c>
      <c r="L471" t="s">
        <v>2265</v>
      </c>
      <c r="M471" t="s">
        <v>27</v>
      </c>
      <c r="N471" t="s">
        <v>27</v>
      </c>
      <c r="O471">
        <v>2.0299999999999998</v>
      </c>
      <c r="P471" t="s">
        <v>27</v>
      </c>
      <c r="Q471" t="s">
        <v>27</v>
      </c>
      <c r="R471">
        <v>21.569999694824201</v>
      </c>
      <c r="S471">
        <v>13.875</v>
      </c>
      <c r="T471">
        <v>0</v>
      </c>
      <c r="U471">
        <v>36.5237007141113</v>
      </c>
      <c r="V471">
        <v>-662000</v>
      </c>
      <c r="W471">
        <v>-52.410140991210902</v>
      </c>
      <c r="X471">
        <v>-0.15999999642372101</v>
      </c>
      <c r="Y471" t="s">
        <v>27</v>
      </c>
      <c r="Z471">
        <v>-2.1052629947662398</v>
      </c>
      <c r="AA471">
        <v>38342000</v>
      </c>
      <c r="AB471" t="s">
        <v>27</v>
      </c>
      <c r="AC471" t="s">
        <v>27</v>
      </c>
      <c r="AD471">
        <v>-0.140000000596046</v>
      </c>
      <c r="AE471">
        <v>33.526473999023402</v>
      </c>
      <c r="AF471" t="s">
        <v>27</v>
      </c>
      <c r="AG471">
        <v>39967000</v>
      </c>
      <c r="AH471">
        <v>0</v>
      </c>
      <c r="AI471">
        <v>-36.272159576416001</v>
      </c>
    </row>
    <row r="472" spans="1:35">
      <c r="A472">
        <f t="shared" si="56"/>
        <v>0</v>
      </c>
      <c r="B472">
        <f t="shared" si="57"/>
        <v>0</v>
      </c>
      <c r="C472">
        <f t="shared" si="58"/>
        <v>0</v>
      </c>
      <c r="D472">
        <f t="shared" si="59"/>
        <v>1</v>
      </c>
      <c r="E472">
        <f t="shared" si="60"/>
        <v>0</v>
      </c>
      <c r="F472">
        <f t="shared" si="61"/>
        <v>0</v>
      </c>
      <c r="G472">
        <f t="shared" si="62"/>
        <v>1</v>
      </c>
      <c r="H472">
        <v>0</v>
      </c>
      <c r="I472">
        <f t="shared" si="63"/>
        <v>0</v>
      </c>
      <c r="J472">
        <v>0</v>
      </c>
      <c r="K472" t="s">
        <v>2278</v>
      </c>
      <c r="L472" t="s">
        <v>2279</v>
      </c>
      <c r="M472" t="s">
        <v>27</v>
      </c>
      <c r="N472" t="s">
        <v>27</v>
      </c>
      <c r="O472">
        <v>3.36</v>
      </c>
      <c r="P472" t="s">
        <v>27</v>
      </c>
      <c r="Q472" t="s">
        <v>27</v>
      </c>
      <c r="R472">
        <v>12.569999694824199</v>
      </c>
      <c r="S472">
        <v>7.0599999427795401</v>
      </c>
      <c r="T472">
        <v>0</v>
      </c>
      <c r="U472">
        <v>35.9450073242188</v>
      </c>
      <c r="V472">
        <v>-20747000</v>
      </c>
      <c r="W472">
        <v>2.7522931098938002</v>
      </c>
      <c r="X472">
        <v>-0.259999990463257</v>
      </c>
      <c r="Y472">
        <v>-15.285714149475099</v>
      </c>
      <c r="Z472">
        <v>-9.2485551834106392</v>
      </c>
      <c r="AA472">
        <v>37711000</v>
      </c>
      <c r="AB472" t="s">
        <v>27</v>
      </c>
      <c r="AC472" t="s">
        <v>27</v>
      </c>
      <c r="AD472">
        <v>-0.20000000298023199</v>
      </c>
      <c r="AE472">
        <v>47.848945617675803</v>
      </c>
      <c r="AF472" t="s">
        <v>27</v>
      </c>
      <c r="AG472">
        <v>37969000</v>
      </c>
      <c r="AH472">
        <v>0</v>
      </c>
      <c r="AI472">
        <v>-28.071979522705099</v>
      </c>
    </row>
    <row r="473" spans="1:35">
      <c r="A473">
        <f t="shared" si="56"/>
        <v>0</v>
      </c>
      <c r="B473">
        <f t="shared" si="57"/>
        <v>1</v>
      </c>
      <c r="C473">
        <f t="shared" si="58"/>
        <v>0</v>
      </c>
      <c r="D473">
        <f t="shared" si="59"/>
        <v>0</v>
      </c>
      <c r="E473">
        <f t="shared" si="60"/>
        <v>0</v>
      </c>
      <c r="F473">
        <f t="shared" si="61"/>
        <v>1</v>
      </c>
      <c r="G473">
        <f t="shared" si="62"/>
        <v>0</v>
      </c>
      <c r="H473">
        <v>0</v>
      </c>
      <c r="I473">
        <f t="shared" si="63"/>
        <v>0</v>
      </c>
      <c r="J473">
        <v>0</v>
      </c>
      <c r="K473" t="s">
        <v>2280</v>
      </c>
      <c r="L473" t="s">
        <v>2281</v>
      </c>
      <c r="M473" t="s">
        <v>27</v>
      </c>
      <c r="N473" t="s">
        <v>27</v>
      </c>
      <c r="O473">
        <v>3.81</v>
      </c>
      <c r="P473" t="s">
        <v>27</v>
      </c>
      <c r="Q473" t="s">
        <v>27</v>
      </c>
      <c r="R473">
        <v>18.139999389648398</v>
      </c>
      <c r="S473">
        <v>20.559999465942401</v>
      </c>
      <c r="T473">
        <v>1.16287398338318</v>
      </c>
      <c r="U473" t="s">
        <v>27</v>
      </c>
      <c r="V473">
        <v>-23425000</v>
      </c>
      <c r="W473">
        <v>7.58782911300659</v>
      </c>
      <c r="X473">
        <v>0.52999997138977095</v>
      </c>
      <c r="Y473" t="s">
        <v>27</v>
      </c>
      <c r="Z473" t="s">
        <v>27</v>
      </c>
      <c r="AA473">
        <v>14012000</v>
      </c>
      <c r="AB473" t="s">
        <v>27</v>
      </c>
      <c r="AC473" t="s">
        <v>27</v>
      </c>
      <c r="AD473">
        <v>-0.46000000834464999</v>
      </c>
      <c r="AE473" t="s">
        <v>27</v>
      </c>
      <c r="AF473" t="s">
        <v>27</v>
      </c>
      <c r="AG473">
        <v>13807000</v>
      </c>
      <c r="AH473">
        <v>7.4791579246520996</v>
      </c>
      <c r="AI473">
        <v>20.320924758911101</v>
      </c>
    </row>
    <row r="474" spans="1:35">
      <c r="A474">
        <f t="shared" si="56"/>
        <v>0</v>
      </c>
      <c r="B474">
        <f t="shared" si="57"/>
        <v>1</v>
      </c>
      <c r="C474">
        <f t="shared" si="58"/>
        <v>1</v>
      </c>
      <c r="D474">
        <f t="shared" si="59"/>
        <v>0</v>
      </c>
      <c r="E474">
        <f t="shared" si="60"/>
        <v>0</v>
      </c>
      <c r="F474">
        <f t="shared" si="61"/>
        <v>1</v>
      </c>
      <c r="G474">
        <f t="shared" si="62"/>
        <v>0</v>
      </c>
      <c r="H474">
        <v>0</v>
      </c>
      <c r="I474">
        <f t="shared" si="63"/>
        <v>0</v>
      </c>
      <c r="J474">
        <v>0</v>
      </c>
      <c r="K474" t="s">
        <v>2284</v>
      </c>
      <c r="L474" t="s">
        <v>2285</v>
      </c>
      <c r="M474" t="s">
        <v>27</v>
      </c>
      <c r="N474" t="s">
        <v>27</v>
      </c>
      <c r="O474">
        <v>10.63</v>
      </c>
      <c r="P474" t="s">
        <v>27</v>
      </c>
      <c r="Q474" t="s">
        <v>27</v>
      </c>
      <c r="R474">
        <v>12.189999580383301</v>
      </c>
      <c r="S474">
        <v>16.870000839233398</v>
      </c>
      <c r="T474">
        <v>37.385826110839801</v>
      </c>
      <c r="U474">
        <v>23.467229843139599</v>
      </c>
      <c r="V474">
        <v>37000000</v>
      </c>
      <c r="W474">
        <v>-7.8367347717285201</v>
      </c>
      <c r="X474">
        <v>0.56000000238418601</v>
      </c>
      <c r="Y474">
        <v>13.907173156738301</v>
      </c>
      <c r="Z474">
        <v>-1.8112490177154501</v>
      </c>
      <c r="AA474">
        <v>64209000</v>
      </c>
      <c r="AB474" t="s">
        <v>27</v>
      </c>
      <c r="AC474" t="s">
        <v>27</v>
      </c>
      <c r="AD474">
        <v>-0.239999994635582</v>
      </c>
      <c r="AE474">
        <v>14.7582702636719</v>
      </c>
      <c r="AF474">
        <v>10.7384451084337</v>
      </c>
      <c r="AG474">
        <v>63362000</v>
      </c>
      <c r="AH474">
        <v>39.223430633544901</v>
      </c>
      <c r="AI474">
        <v>3.77125191688538</v>
      </c>
    </row>
    <row r="475" spans="1:35">
      <c r="A475">
        <f t="shared" si="56"/>
        <v>1</v>
      </c>
      <c r="B475">
        <f t="shared" si="57"/>
        <v>1</v>
      </c>
      <c r="C475">
        <f t="shared" si="58"/>
        <v>0</v>
      </c>
      <c r="D475">
        <f t="shared" si="59"/>
        <v>0</v>
      </c>
      <c r="E475">
        <f t="shared" si="60"/>
        <v>0</v>
      </c>
      <c r="F475">
        <f t="shared" si="61"/>
        <v>1</v>
      </c>
      <c r="G475">
        <f t="shared" si="62"/>
        <v>0</v>
      </c>
      <c r="H475">
        <v>0</v>
      </c>
      <c r="I475">
        <f t="shared" si="63"/>
        <v>0</v>
      </c>
      <c r="J475">
        <v>0</v>
      </c>
      <c r="K475" t="s">
        <v>2286</v>
      </c>
      <c r="L475" t="s">
        <v>2287</v>
      </c>
      <c r="M475" t="s">
        <v>27</v>
      </c>
      <c r="N475" t="s">
        <v>27</v>
      </c>
      <c r="O475">
        <v>28</v>
      </c>
      <c r="P475">
        <v>11.534628868103001</v>
      </c>
      <c r="Q475" t="s">
        <v>27</v>
      </c>
      <c r="R475">
        <v>27.309999465942401</v>
      </c>
      <c r="S475">
        <v>19.299999237060501</v>
      </c>
      <c r="T475">
        <v>85.380935668945298</v>
      </c>
      <c r="U475" t="s">
        <v>27</v>
      </c>
      <c r="V475">
        <v>-32144002</v>
      </c>
      <c r="W475">
        <v>2.7089869976043701</v>
      </c>
      <c r="X475">
        <v>0.75999999046325695</v>
      </c>
      <c r="Y475">
        <v>8.2904291152954102</v>
      </c>
      <c r="Z475">
        <v>5.1449952125549299</v>
      </c>
      <c r="AA475">
        <v>23409000</v>
      </c>
      <c r="AB475" t="s">
        <v>27</v>
      </c>
      <c r="AC475" t="s">
        <v>27</v>
      </c>
      <c r="AD475">
        <v>0.28999999165535001</v>
      </c>
      <c r="AE475" t="s">
        <v>27</v>
      </c>
      <c r="AF475">
        <v>19.153236699140201</v>
      </c>
      <c r="AG475">
        <v>27904000</v>
      </c>
      <c r="AH475">
        <v>78.539619445800795</v>
      </c>
      <c r="AI475">
        <v>3.17944407463074</v>
      </c>
    </row>
    <row r="476" spans="1:35">
      <c r="A476">
        <f t="shared" si="56"/>
        <v>1</v>
      </c>
      <c r="B476">
        <f t="shared" si="57"/>
        <v>0</v>
      </c>
      <c r="C476">
        <f t="shared" si="58"/>
        <v>1</v>
      </c>
      <c r="D476">
        <f t="shared" si="59"/>
        <v>0</v>
      </c>
      <c r="E476">
        <f t="shared" si="60"/>
        <v>0</v>
      </c>
      <c r="F476">
        <f t="shared" si="61"/>
        <v>1</v>
      </c>
      <c r="G476">
        <f t="shared" si="62"/>
        <v>0</v>
      </c>
      <c r="H476">
        <v>0</v>
      </c>
      <c r="I476">
        <f t="shared" si="63"/>
        <v>0</v>
      </c>
      <c r="J476">
        <v>0</v>
      </c>
      <c r="K476" t="s">
        <v>2308</v>
      </c>
      <c r="L476" t="s">
        <v>2309</v>
      </c>
      <c r="M476" t="s">
        <v>27</v>
      </c>
      <c r="N476" t="s">
        <v>27</v>
      </c>
      <c r="O476">
        <v>3.992</v>
      </c>
      <c r="P476" t="s">
        <v>27</v>
      </c>
      <c r="Q476" t="s">
        <v>27</v>
      </c>
      <c r="R476">
        <v>7.3881874084472701</v>
      </c>
      <c r="S476">
        <v>6.625</v>
      </c>
      <c r="T476">
        <v>0.354562997817993</v>
      </c>
      <c r="U476">
        <v>39.445770263671903</v>
      </c>
      <c r="V476">
        <v>255000.03125</v>
      </c>
      <c r="W476" t="s">
        <v>27</v>
      </c>
      <c r="X476">
        <v>0.140000000596046</v>
      </c>
      <c r="Y476">
        <v>7.5414009094238299</v>
      </c>
      <c r="Z476">
        <v>5.8267722129821804</v>
      </c>
      <c r="AA476">
        <v>13301000</v>
      </c>
      <c r="AB476" t="s">
        <v>27</v>
      </c>
      <c r="AC476" t="s">
        <v>27</v>
      </c>
      <c r="AD476">
        <v>7.9999998211860698E-2</v>
      </c>
      <c r="AE476">
        <v>34.876453399658203</v>
      </c>
      <c r="AF476">
        <v>5.6090549544724198</v>
      </c>
      <c r="AG476">
        <v>13646000</v>
      </c>
      <c r="AH476">
        <v>0.18622000515461001</v>
      </c>
      <c r="AI476">
        <v>28.005907058715799</v>
      </c>
    </row>
    <row r="477" spans="1:35">
      <c r="A477">
        <f t="shared" si="56"/>
        <v>0</v>
      </c>
      <c r="B477">
        <f t="shared" si="57"/>
        <v>0</v>
      </c>
      <c r="C477">
        <f t="shared" si="58"/>
        <v>1</v>
      </c>
      <c r="D477">
        <f t="shared" si="59"/>
        <v>0</v>
      </c>
      <c r="E477">
        <f t="shared" si="60"/>
        <v>1</v>
      </c>
      <c r="F477">
        <f t="shared" si="61"/>
        <v>1</v>
      </c>
      <c r="G477">
        <f t="shared" si="62"/>
        <v>0</v>
      </c>
      <c r="H477">
        <v>0</v>
      </c>
      <c r="I477">
        <f t="shared" si="63"/>
        <v>0</v>
      </c>
      <c r="J477">
        <v>0</v>
      </c>
      <c r="K477" t="s">
        <v>2316</v>
      </c>
      <c r="L477" t="s">
        <v>2317</v>
      </c>
      <c r="M477" t="s">
        <v>27</v>
      </c>
      <c r="N477" t="s">
        <v>27</v>
      </c>
      <c r="O477">
        <v>8.3689999999999998</v>
      </c>
      <c r="P477" t="s">
        <v>27</v>
      </c>
      <c r="Q477" t="s">
        <v>27</v>
      </c>
      <c r="R477">
        <v>13.6499996185303</v>
      </c>
      <c r="S477" t="s">
        <v>27</v>
      </c>
      <c r="T477" t="s">
        <v>27</v>
      </c>
      <c r="U477" t="s">
        <v>27</v>
      </c>
      <c r="V477" t="s">
        <v>27</v>
      </c>
      <c r="W477" t="s">
        <v>27</v>
      </c>
      <c r="X477" t="s">
        <v>27</v>
      </c>
      <c r="Y477" t="s">
        <v>27</v>
      </c>
      <c r="Z477" t="s">
        <v>27</v>
      </c>
      <c r="AA477" t="s">
        <v>27</v>
      </c>
      <c r="AB477" t="s">
        <v>38</v>
      </c>
      <c r="AC477" t="s">
        <v>118</v>
      </c>
      <c r="AD477" t="s">
        <v>27</v>
      </c>
      <c r="AE477" t="s">
        <v>27</v>
      </c>
      <c r="AF477" t="s">
        <v>27</v>
      </c>
      <c r="AG477" t="s">
        <v>27</v>
      </c>
      <c r="AH477" t="s">
        <v>27</v>
      </c>
      <c r="AI477">
        <v>0.82526999711990401</v>
      </c>
    </row>
    <row r="478" spans="1:35">
      <c r="A478">
        <f t="shared" si="56"/>
        <v>1</v>
      </c>
      <c r="B478">
        <f t="shared" si="57"/>
        <v>1</v>
      </c>
      <c r="C478">
        <f t="shared" si="58"/>
        <v>0</v>
      </c>
      <c r="D478">
        <f t="shared" si="59"/>
        <v>0</v>
      </c>
      <c r="E478">
        <f t="shared" si="60"/>
        <v>0</v>
      </c>
      <c r="F478">
        <f t="shared" si="61"/>
        <v>0</v>
      </c>
      <c r="G478">
        <f t="shared" si="62"/>
        <v>0</v>
      </c>
      <c r="H478">
        <v>0</v>
      </c>
      <c r="I478">
        <f t="shared" si="63"/>
        <v>0</v>
      </c>
      <c r="J478">
        <v>0</v>
      </c>
      <c r="K478" t="s">
        <v>2320</v>
      </c>
      <c r="L478" t="s">
        <v>2321</v>
      </c>
      <c r="M478" t="s">
        <v>27</v>
      </c>
      <c r="N478" t="s">
        <v>27</v>
      </c>
      <c r="O478">
        <v>0.79</v>
      </c>
      <c r="P478" t="s">
        <v>27</v>
      </c>
      <c r="Q478" t="s">
        <v>27</v>
      </c>
      <c r="R478">
        <v>1.4800000190734901</v>
      </c>
      <c r="S478">
        <v>29.375</v>
      </c>
      <c r="T478">
        <v>3.81699986755848E-2</v>
      </c>
      <c r="U478">
        <v>73.975532531738295</v>
      </c>
      <c r="V478">
        <v>-42757000</v>
      </c>
      <c r="W478">
        <v>-67.241920471191406</v>
      </c>
      <c r="X478">
        <v>-0.33000001311302202</v>
      </c>
      <c r="Y478">
        <v>-0.83422499895095803</v>
      </c>
      <c r="Z478">
        <v>-42.222221374511697</v>
      </c>
      <c r="AA478">
        <v>82711000</v>
      </c>
      <c r="AB478" t="s">
        <v>38</v>
      </c>
      <c r="AC478" t="s">
        <v>157</v>
      </c>
      <c r="AD478">
        <v>-1.25</v>
      </c>
      <c r="AE478">
        <v>62.247802734375</v>
      </c>
      <c r="AF478" t="s">
        <v>27</v>
      </c>
      <c r="AG478">
        <v>117463000</v>
      </c>
      <c r="AH478">
        <v>0</v>
      </c>
      <c r="AI478">
        <v>-24.968181610107401</v>
      </c>
    </row>
    <row r="479" spans="1:35">
      <c r="A479">
        <f t="shared" si="56"/>
        <v>1</v>
      </c>
      <c r="B479">
        <f t="shared" si="57"/>
        <v>0</v>
      </c>
      <c r="C479">
        <f t="shared" si="58"/>
        <v>1</v>
      </c>
      <c r="D479">
        <f t="shared" si="59"/>
        <v>1</v>
      </c>
      <c r="E479">
        <f t="shared" si="60"/>
        <v>0</v>
      </c>
      <c r="F479">
        <f t="shared" si="61"/>
        <v>0</v>
      </c>
      <c r="G479">
        <f t="shared" si="62"/>
        <v>0</v>
      </c>
      <c r="H479">
        <v>0</v>
      </c>
      <c r="I479">
        <f t="shared" si="63"/>
        <v>0</v>
      </c>
      <c r="J479">
        <v>0</v>
      </c>
      <c r="K479" t="s">
        <v>2326</v>
      </c>
      <c r="L479" t="s">
        <v>2327</v>
      </c>
      <c r="M479" t="s">
        <v>27</v>
      </c>
      <c r="N479" t="s">
        <v>27</v>
      </c>
      <c r="O479">
        <v>11.411</v>
      </c>
      <c r="P479">
        <v>-1.8875479698181199</v>
      </c>
      <c r="Q479" t="s">
        <v>27</v>
      </c>
      <c r="R479">
        <v>26.200000762939499</v>
      </c>
      <c r="S479">
        <v>17.0625</v>
      </c>
      <c r="T479">
        <v>1.25817394256592</v>
      </c>
      <c r="U479">
        <v>62.605972290039098</v>
      </c>
      <c r="V479">
        <v>9039000</v>
      </c>
      <c r="W479">
        <v>1.2361470460891699</v>
      </c>
      <c r="X479">
        <v>-0.119999997317791</v>
      </c>
      <c r="Y479">
        <v>2.7015080451965301</v>
      </c>
      <c r="Z479">
        <v>1.07843101024628</v>
      </c>
      <c r="AA479">
        <v>22069000</v>
      </c>
      <c r="AB479" t="s">
        <v>27</v>
      </c>
      <c r="AC479" t="s">
        <v>27</v>
      </c>
      <c r="AD479">
        <v>-9.00000035762787E-2</v>
      </c>
      <c r="AE479">
        <v>57.701671600341797</v>
      </c>
      <c r="AF479">
        <v>36.6265444209048</v>
      </c>
      <c r="AG479">
        <v>22250000</v>
      </c>
      <c r="AH479">
        <v>0</v>
      </c>
      <c r="AI479">
        <v>-8.7759456634521502</v>
      </c>
    </row>
    <row r="480" spans="1:35">
      <c r="A480">
        <f t="shared" si="56"/>
        <v>0</v>
      </c>
      <c r="B480">
        <f t="shared" si="57"/>
        <v>0</v>
      </c>
      <c r="C480">
        <f t="shared" si="58"/>
        <v>1</v>
      </c>
      <c r="D480">
        <f t="shared" si="59"/>
        <v>0</v>
      </c>
      <c r="E480">
        <f t="shared" si="60"/>
        <v>1</v>
      </c>
      <c r="F480">
        <f t="shared" si="61"/>
        <v>0</v>
      </c>
      <c r="G480">
        <f t="shared" si="62"/>
        <v>0</v>
      </c>
      <c r="H480">
        <v>0</v>
      </c>
      <c r="I480">
        <f t="shared" si="63"/>
        <v>0</v>
      </c>
      <c r="J480">
        <v>0</v>
      </c>
      <c r="K480" t="s">
        <v>2328</v>
      </c>
      <c r="L480" t="s">
        <v>2329</v>
      </c>
      <c r="M480" t="s">
        <v>27</v>
      </c>
      <c r="N480" t="s">
        <v>27</v>
      </c>
      <c r="O480">
        <v>1.19</v>
      </c>
      <c r="P480" t="s">
        <v>27</v>
      </c>
      <c r="Q480" t="s">
        <v>27</v>
      </c>
      <c r="R480">
        <v>3.5799999237060498</v>
      </c>
      <c r="S480">
        <v>19.625</v>
      </c>
      <c r="T480" t="s">
        <v>27</v>
      </c>
      <c r="U480" t="s">
        <v>27</v>
      </c>
      <c r="V480" t="s">
        <v>27</v>
      </c>
      <c r="W480">
        <v>-4.0675888061523402</v>
      </c>
      <c r="X480" t="s">
        <v>27</v>
      </c>
      <c r="Y480" t="s">
        <v>27</v>
      </c>
      <c r="Z480" t="s">
        <v>27</v>
      </c>
      <c r="AA480" t="s">
        <v>27</v>
      </c>
      <c r="AB480" t="s">
        <v>38</v>
      </c>
      <c r="AC480" t="s">
        <v>113</v>
      </c>
      <c r="AD480" t="s">
        <v>27</v>
      </c>
      <c r="AE480" t="s">
        <v>27</v>
      </c>
      <c r="AF480" t="s">
        <v>27</v>
      </c>
      <c r="AG480" t="s">
        <v>27</v>
      </c>
      <c r="AH480" t="s">
        <v>27</v>
      </c>
      <c r="AI480">
        <v>-21.662368774414102</v>
      </c>
    </row>
    <row r="481" spans="1:35">
      <c r="A481">
        <f t="shared" si="56"/>
        <v>1</v>
      </c>
      <c r="B481">
        <f t="shared" si="57"/>
        <v>0</v>
      </c>
      <c r="C481">
        <f t="shared" si="58"/>
        <v>1</v>
      </c>
      <c r="D481">
        <f t="shared" si="59"/>
        <v>0</v>
      </c>
      <c r="E481">
        <f t="shared" si="60"/>
        <v>0</v>
      </c>
      <c r="F481">
        <f t="shared" si="61"/>
        <v>1</v>
      </c>
      <c r="G481">
        <f t="shared" si="62"/>
        <v>0</v>
      </c>
      <c r="H481">
        <v>0</v>
      </c>
      <c r="I481">
        <f t="shared" si="63"/>
        <v>0</v>
      </c>
      <c r="J481">
        <v>0</v>
      </c>
      <c r="K481" t="s">
        <v>2342</v>
      </c>
      <c r="L481" t="s">
        <v>2343</v>
      </c>
      <c r="M481" t="s">
        <v>27</v>
      </c>
      <c r="N481" t="s">
        <v>27</v>
      </c>
      <c r="O481">
        <v>7.26</v>
      </c>
      <c r="P481" t="s">
        <v>27</v>
      </c>
      <c r="Q481" t="s">
        <v>27</v>
      </c>
      <c r="R481">
        <v>13.079999923706101</v>
      </c>
      <c r="S481" t="s">
        <v>27</v>
      </c>
      <c r="T481" t="s">
        <v>27</v>
      </c>
      <c r="U481" t="s">
        <v>27</v>
      </c>
      <c r="V481">
        <v>22626000</v>
      </c>
      <c r="W481" t="s">
        <v>27</v>
      </c>
      <c r="X481" t="s">
        <v>27</v>
      </c>
      <c r="Y481" t="s">
        <v>27</v>
      </c>
      <c r="Z481" t="s">
        <v>27</v>
      </c>
      <c r="AA481" t="s">
        <v>27</v>
      </c>
      <c r="AB481" t="s">
        <v>27</v>
      </c>
      <c r="AC481" t="s">
        <v>27</v>
      </c>
      <c r="AD481">
        <v>-0.54000002145767201</v>
      </c>
      <c r="AE481">
        <v>26.716728210449201</v>
      </c>
      <c r="AF481" t="s">
        <v>27</v>
      </c>
      <c r="AG481">
        <v>39500000</v>
      </c>
      <c r="AH481">
        <v>0</v>
      </c>
      <c r="AI481">
        <v>13.751015663146999</v>
      </c>
    </row>
    <row r="482" spans="1:35">
      <c r="A482">
        <f t="shared" si="56"/>
        <v>0</v>
      </c>
      <c r="B482">
        <f t="shared" si="57"/>
        <v>1</v>
      </c>
      <c r="C482">
        <f t="shared" si="58"/>
        <v>0</v>
      </c>
      <c r="D482">
        <f t="shared" si="59"/>
        <v>1</v>
      </c>
      <c r="E482">
        <f t="shared" si="60"/>
        <v>0</v>
      </c>
      <c r="F482">
        <f t="shared" si="61"/>
        <v>0</v>
      </c>
      <c r="G482">
        <f t="shared" si="62"/>
        <v>0</v>
      </c>
      <c r="H482">
        <v>0</v>
      </c>
      <c r="I482">
        <f t="shared" si="63"/>
        <v>0</v>
      </c>
      <c r="J482">
        <v>0</v>
      </c>
      <c r="K482" t="s">
        <v>2344</v>
      </c>
      <c r="L482" t="s">
        <v>2345</v>
      </c>
      <c r="M482" t="s">
        <v>27</v>
      </c>
      <c r="N482" t="s">
        <v>27</v>
      </c>
      <c r="O482">
        <v>12.72</v>
      </c>
      <c r="P482" t="s">
        <v>27</v>
      </c>
      <c r="Q482" t="s">
        <v>27</v>
      </c>
      <c r="R482">
        <v>42.400001525878899</v>
      </c>
      <c r="S482">
        <v>72.125</v>
      </c>
      <c r="T482">
        <v>0</v>
      </c>
      <c r="U482" t="s">
        <v>27</v>
      </c>
      <c r="V482">
        <v>-10596000</v>
      </c>
      <c r="W482">
        <v>-10.907818794250501</v>
      </c>
      <c r="X482">
        <v>-9.00000035762787E-2</v>
      </c>
      <c r="Y482">
        <v>-0.468885987997055</v>
      </c>
      <c r="Z482">
        <v>-0.84856402873992898</v>
      </c>
      <c r="AA482">
        <v>22327000</v>
      </c>
      <c r="AB482" t="s">
        <v>73</v>
      </c>
      <c r="AC482" t="s">
        <v>141</v>
      </c>
      <c r="AD482">
        <v>-5.0000000745058101E-2</v>
      </c>
      <c r="AE482" t="s">
        <v>27</v>
      </c>
      <c r="AF482" t="s">
        <v>27</v>
      </c>
      <c r="AG482">
        <v>23540000</v>
      </c>
      <c r="AH482">
        <v>0</v>
      </c>
      <c r="AI482">
        <v>-5.1515150070190403</v>
      </c>
    </row>
    <row r="483" spans="1:35">
      <c r="A483">
        <f t="shared" si="56"/>
        <v>1</v>
      </c>
      <c r="B483">
        <f t="shared" si="57"/>
        <v>1</v>
      </c>
      <c r="C483">
        <f t="shared" si="58"/>
        <v>0</v>
      </c>
      <c r="D483">
        <f t="shared" si="59"/>
        <v>1</v>
      </c>
      <c r="E483">
        <f t="shared" si="60"/>
        <v>0</v>
      </c>
      <c r="F483">
        <f t="shared" si="61"/>
        <v>1</v>
      </c>
      <c r="G483">
        <f t="shared" si="62"/>
        <v>1</v>
      </c>
      <c r="H483">
        <v>0</v>
      </c>
      <c r="I483">
        <f t="shared" si="63"/>
        <v>0</v>
      </c>
      <c r="J483">
        <v>0</v>
      </c>
      <c r="K483" t="s">
        <v>2348</v>
      </c>
      <c r="L483" t="s">
        <v>2349</v>
      </c>
      <c r="M483" t="s">
        <v>27</v>
      </c>
      <c r="N483" t="s">
        <v>27</v>
      </c>
      <c r="O483">
        <v>4.53</v>
      </c>
      <c r="P483" t="s">
        <v>27</v>
      </c>
      <c r="Q483" t="s">
        <v>27</v>
      </c>
      <c r="R483">
        <v>18.7700004577637</v>
      </c>
      <c r="S483">
        <v>20.4375</v>
      </c>
      <c r="T483">
        <v>6.1883220672607404</v>
      </c>
      <c r="U483">
        <v>50.625244140625</v>
      </c>
      <c r="V483">
        <v>-7221000</v>
      </c>
      <c r="W483">
        <v>-12.1286535263062</v>
      </c>
      <c r="X483">
        <v>0.18000000715255701</v>
      </c>
      <c r="Y483" t="s">
        <v>27</v>
      </c>
      <c r="Z483" t="s">
        <v>27</v>
      </c>
      <c r="AA483">
        <v>9164000</v>
      </c>
      <c r="AB483" t="s">
        <v>38</v>
      </c>
      <c r="AC483" t="s">
        <v>118</v>
      </c>
      <c r="AD483">
        <v>0.230000004172325</v>
      </c>
      <c r="AE483">
        <v>53.781051635742202</v>
      </c>
      <c r="AF483" t="s">
        <v>27</v>
      </c>
      <c r="AG483">
        <v>11608000</v>
      </c>
      <c r="AH483">
        <v>3.56156206130981</v>
      </c>
      <c r="AI483">
        <v>20.887357711791999</v>
      </c>
    </row>
    <row r="484" spans="1:35">
      <c r="A484">
        <f t="shared" si="56"/>
        <v>1</v>
      </c>
      <c r="B484">
        <f t="shared" si="57"/>
        <v>0</v>
      </c>
      <c r="C484">
        <f t="shared" si="58"/>
        <v>0</v>
      </c>
      <c r="D484">
        <f t="shared" si="59"/>
        <v>0</v>
      </c>
      <c r="E484">
        <f t="shared" si="60"/>
        <v>0</v>
      </c>
      <c r="F484">
        <f t="shared" si="61"/>
        <v>1</v>
      </c>
      <c r="G484">
        <f t="shared" si="62"/>
        <v>0</v>
      </c>
      <c r="H484">
        <v>0</v>
      </c>
      <c r="I484">
        <f t="shared" si="63"/>
        <v>0</v>
      </c>
      <c r="J484">
        <v>0</v>
      </c>
      <c r="K484" t="s">
        <v>2350</v>
      </c>
      <c r="L484" t="s">
        <v>2351</v>
      </c>
      <c r="M484" t="s">
        <v>27</v>
      </c>
      <c r="N484" t="s">
        <v>27</v>
      </c>
      <c r="O484">
        <v>4.6100000000000003</v>
      </c>
      <c r="P484" t="s">
        <v>27</v>
      </c>
      <c r="Q484" t="s">
        <v>27</v>
      </c>
      <c r="R484">
        <v>16.110000610351602</v>
      </c>
      <c r="S484" t="s">
        <v>27</v>
      </c>
      <c r="T484" t="s">
        <v>27</v>
      </c>
      <c r="U484" t="s">
        <v>27</v>
      </c>
      <c r="V484">
        <v>-2834000</v>
      </c>
      <c r="W484">
        <v>15.1802101135254</v>
      </c>
      <c r="X484" t="s">
        <v>27</v>
      </c>
      <c r="Y484" t="s">
        <v>27</v>
      </c>
      <c r="Z484">
        <v>7.8289470672607404</v>
      </c>
      <c r="AA484" t="s">
        <v>27</v>
      </c>
      <c r="AB484" t="s">
        <v>27</v>
      </c>
      <c r="AC484" t="s">
        <v>27</v>
      </c>
      <c r="AD484">
        <v>-5.9999998658895499E-2</v>
      </c>
      <c r="AE484">
        <v>82.755340576171903</v>
      </c>
      <c r="AF484">
        <v>3.79433677111773</v>
      </c>
      <c r="AG484">
        <v>16838000</v>
      </c>
      <c r="AH484">
        <v>0.35429701209068298</v>
      </c>
      <c r="AI484">
        <v>5.7562999725341797</v>
      </c>
    </row>
    <row r="485" spans="1:35">
      <c r="A485">
        <f t="shared" si="56"/>
        <v>0</v>
      </c>
      <c r="B485">
        <f t="shared" si="57"/>
        <v>0</v>
      </c>
      <c r="C485">
        <f t="shared" si="58"/>
        <v>1</v>
      </c>
      <c r="D485">
        <f t="shared" si="59"/>
        <v>0</v>
      </c>
      <c r="E485">
        <f t="shared" si="60"/>
        <v>1</v>
      </c>
      <c r="F485">
        <f t="shared" si="61"/>
        <v>1</v>
      </c>
      <c r="G485">
        <f t="shared" si="62"/>
        <v>0</v>
      </c>
      <c r="H485">
        <v>0</v>
      </c>
      <c r="I485">
        <f t="shared" si="63"/>
        <v>0</v>
      </c>
      <c r="J485">
        <v>0</v>
      </c>
      <c r="K485" t="s">
        <v>2356</v>
      </c>
      <c r="L485" t="s">
        <v>2357</v>
      </c>
      <c r="M485" t="s">
        <v>27</v>
      </c>
      <c r="N485" t="s">
        <v>27</v>
      </c>
      <c r="O485">
        <v>6.38</v>
      </c>
      <c r="P485" t="s">
        <v>27</v>
      </c>
      <c r="Q485" t="s">
        <v>27</v>
      </c>
      <c r="R485">
        <v>17.120000839233398</v>
      </c>
      <c r="S485" t="s">
        <v>27</v>
      </c>
      <c r="T485" t="s">
        <v>27</v>
      </c>
      <c r="U485" t="s">
        <v>27</v>
      </c>
      <c r="V485" t="s">
        <v>27</v>
      </c>
      <c r="W485" t="s">
        <v>27</v>
      </c>
      <c r="X485" t="s">
        <v>27</v>
      </c>
      <c r="Y485" t="s">
        <v>27</v>
      </c>
      <c r="Z485" t="s">
        <v>27</v>
      </c>
      <c r="AA485" t="s">
        <v>27</v>
      </c>
      <c r="AB485" t="s">
        <v>27</v>
      </c>
      <c r="AC485" t="s">
        <v>27</v>
      </c>
      <c r="AD485" t="s">
        <v>27</v>
      </c>
      <c r="AE485" t="s">
        <v>27</v>
      </c>
      <c r="AF485">
        <v>7.9908479877932503</v>
      </c>
      <c r="AG485" t="s">
        <v>27</v>
      </c>
      <c r="AH485" t="s">
        <v>27</v>
      </c>
      <c r="AI485">
        <v>17.1281127929688</v>
      </c>
    </row>
    <row r="486" spans="1:35">
      <c r="A486">
        <f t="shared" si="56"/>
        <v>1</v>
      </c>
      <c r="B486">
        <f t="shared" si="57"/>
        <v>0</v>
      </c>
      <c r="C486">
        <f t="shared" si="58"/>
        <v>1</v>
      </c>
      <c r="D486">
        <f t="shared" si="59"/>
        <v>0</v>
      </c>
      <c r="E486">
        <f t="shared" si="60"/>
        <v>0</v>
      </c>
      <c r="F486">
        <f t="shared" si="61"/>
        <v>1</v>
      </c>
      <c r="G486">
        <f t="shared" si="62"/>
        <v>0</v>
      </c>
      <c r="H486">
        <v>0</v>
      </c>
      <c r="I486">
        <f t="shared" si="63"/>
        <v>0</v>
      </c>
      <c r="J486">
        <v>0</v>
      </c>
      <c r="K486" t="s">
        <v>2362</v>
      </c>
      <c r="L486" t="s">
        <v>2363</v>
      </c>
      <c r="M486" t="s">
        <v>27</v>
      </c>
      <c r="N486" t="s">
        <v>27</v>
      </c>
      <c r="O486">
        <v>14.68</v>
      </c>
      <c r="P486">
        <v>8.7851819992065394</v>
      </c>
      <c r="Q486" t="s">
        <v>27</v>
      </c>
      <c r="R486">
        <v>14.460000038146999</v>
      </c>
      <c r="S486">
        <v>9.7600002288818395</v>
      </c>
      <c r="T486">
        <v>45.973838806152301</v>
      </c>
      <c r="U486" t="s">
        <v>27</v>
      </c>
      <c r="V486">
        <v>9467000</v>
      </c>
      <c r="W486">
        <v>6.8840618133544904</v>
      </c>
      <c r="X486">
        <v>0.20000000298023199</v>
      </c>
      <c r="Y486">
        <v>22.518518447876001</v>
      </c>
      <c r="Z486">
        <v>4.5353159904479998</v>
      </c>
      <c r="AA486">
        <v>24384000</v>
      </c>
      <c r="AB486" t="s">
        <v>83</v>
      </c>
      <c r="AC486" t="s">
        <v>84</v>
      </c>
      <c r="AD486">
        <v>-0.140000000596046</v>
      </c>
      <c r="AE486" t="s">
        <v>27</v>
      </c>
      <c r="AF486">
        <v>5.3790380073415696</v>
      </c>
      <c r="AG486">
        <v>24286500</v>
      </c>
      <c r="AH486">
        <v>39.481121063232401</v>
      </c>
      <c r="AI486">
        <v>4.3360362052917498</v>
      </c>
    </row>
    <row r="487" spans="1:35">
      <c r="A487">
        <f t="shared" si="56"/>
        <v>1</v>
      </c>
      <c r="B487">
        <f t="shared" si="57"/>
        <v>1</v>
      </c>
      <c r="C487">
        <f t="shared" si="58"/>
        <v>1</v>
      </c>
      <c r="D487">
        <f t="shared" si="59"/>
        <v>0</v>
      </c>
      <c r="E487">
        <f t="shared" si="60"/>
        <v>0</v>
      </c>
      <c r="F487">
        <f t="shared" si="61"/>
        <v>1</v>
      </c>
      <c r="G487">
        <f t="shared" si="62"/>
        <v>0</v>
      </c>
      <c r="H487">
        <v>0</v>
      </c>
      <c r="I487">
        <f t="shared" si="63"/>
        <v>1</v>
      </c>
      <c r="J487">
        <v>0</v>
      </c>
      <c r="K487" t="s">
        <v>2372</v>
      </c>
      <c r="L487" t="s">
        <v>2373</v>
      </c>
      <c r="M487" t="s">
        <v>27</v>
      </c>
      <c r="N487" t="s">
        <v>27</v>
      </c>
      <c r="O487">
        <v>14.91</v>
      </c>
      <c r="P487" t="s">
        <v>27</v>
      </c>
      <c r="Q487" t="s">
        <v>27</v>
      </c>
      <c r="R487">
        <v>13.2600002288818</v>
      </c>
      <c r="S487">
        <v>11.449999809265099</v>
      </c>
      <c r="T487">
        <v>48.610664367675803</v>
      </c>
      <c r="U487" t="s">
        <v>27</v>
      </c>
      <c r="V487">
        <v>8705000</v>
      </c>
      <c r="W487">
        <v>4.9200768470764196</v>
      </c>
      <c r="X487">
        <v>0.28000000119209301</v>
      </c>
      <c r="Y487">
        <v>11.084337234497101</v>
      </c>
      <c r="Z487">
        <v>10.113206863403301</v>
      </c>
      <c r="AA487">
        <v>30395896</v>
      </c>
      <c r="AB487" t="s">
        <v>83</v>
      </c>
      <c r="AC487" t="s">
        <v>84</v>
      </c>
      <c r="AD487">
        <v>0.239999994635582</v>
      </c>
      <c r="AE487" t="s">
        <v>27</v>
      </c>
      <c r="AF487">
        <v>14.869105376525701</v>
      </c>
      <c r="AG487">
        <v>30911510</v>
      </c>
      <c r="AH487">
        <v>48.588035583496101</v>
      </c>
      <c r="AI487">
        <v>5.0616650581359899</v>
      </c>
    </row>
    <row r="488" spans="1:35">
      <c r="A488">
        <f t="shared" si="56"/>
        <v>1</v>
      </c>
      <c r="B488">
        <f t="shared" si="57"/>
        <v>0</v>
      </c>
      <c r="C488">
        <f t="shared" si="58"/>
        <v>1</v>
      </c>
      <c r="D488">
        <f t="shared" si="59"/>
        <v>1</v>
      </c>
      <c r="E488">
        <f t="shared" si="60"/>
        <v>0</v>
      </c>
      <c r="F488">
        <f t="shared" si="61"/>
        <v>1</v>
      </c>
      <c r="G488">
        <f t="shared" si="62"/>
        <v>0</v>
      </c>
      <c r="H488">
        <v>0</v>
      </c>
      <c r="I488">
        <f t="shared" si="63"/>
        <v>0</v>
      </c>
      <c r="J488">
        <v>0</v>
      </c>
      <c r="K488" t="s">
        <v>2376</v>
      </c>
      <c r="L488" t="s">
        <v>2377</v>
      </c>
      <c r="M488" t="s">
        <v>27</v>
      </c>
      <c r="N488" t="s">
        <v>27</v>
      </c>
      <c r="O488">
        <v>13.79</v>
      </c>
      <c r="P488" t="s">
        <v>27</v>
      </c>
      <c r="Q488" t="s">
        <v>27</v>
      </c>
      <c r="R488">
        <v>19.889999389648398</v>
      </c>
      <c r="S488">
        <v>15.6599998474121</v>
      </c>
      <c r="T488">
        <v>54.683113098144503</v>
      </c>
      <c r="U488" t="s">
        <v>27</v>
      </c>
      <c r="V488">
        <v>29606000</v>
      </c>
      <c r="W488">
        <v>5.0810098648071298</v>
      </c>
      <c r="X488">
        <v>0.34000000357627902</v>
      </c>
      <c r="Y488">
        <v>8.5333328247070295</v>
      </c>
      <c r="Z488">
        <v>6.5139951705932599</v>
      </c>
      <c r="AA488">
        <v>46226484</v>
      </c>
      <c r="AB488" t="s">
        <v>27</v>
      </c>
      <c r="AC488" t="s">
        <v>27</v>
      </c>
      <c r="AD488">
        <v>0.37999999523162797</v>
      </c>
      <c r="AE488" t="s">
        <v>27</v>
      </c>
      <c r="AF488">
        <v>9.8229987109873296</v>
      </c>
      <c r="AG488">
        <v>47240652</v>
      </c>
      <c r="AH488">
        <v>52.969429016113303</v>
      </c>
      <c r="AI488">
        <v>5.0629959106445304</v>
      </c>
    </row>
    <row r="489" spans="1:35">
      <c r="A489">
        <f t="shared" si="56"/>
        <v>1</v>
      </c>
      <c r="B489">
        <f t="shared" si="57"/>
        <v>0</v>
      </c>
      <c r="C489">
        <f t="shared" si="58"/>
        <v>1</v>
      </c>
      <c r="D489">
        <f t="shared" si="59"/>
        <v>1</v>
      </c>
      <c r="E489">
        <f t="shared" si="60"/>
        <v>0</v>
      </c>
      <c r="F489">
        <f t="shared" si="61"/>
        <v>0</v>
      </c>
      <c r="G489">
        <f t="shared" si="62"/>
        <v>0</v>
      </c>
      <c r="H489">
        <v>0</v>
      </c>
      <c r="I489">
        <f t="shared" si="63"/>
        <v>1</v>
      </c>
      <c r="J489">
        <v>0</v>
      </c>
      <c r="K489" t="s">
        <v>2386</v>
      </c>
      <c r="L489" t="s">
        <v>2387</v>
      </c>
      <c r="M489" t="s">
        <v>27</v>
      </c>
      <c r="N489" t="s">
        <v>27</v>
      </c>
      <c r="O489">
        <v>6.07</v>
      </c>
      <c r="P489" t="s">
        <v>27</v>
      </c>
      <c r="Q489" t="s">
        <v>27</v>
      </c>
      <c r="R489">
        <v>5.5</v>
      </c>
      <c r="S489">
        <v>4.8600001335143999</v>
      </c>
      <c r="T489">
        <v>5.0389599800109899</v>
      </c>
      <c r="U489">
        <v>34.182731628417997</v>
      </c>
      <c r="V489">
        <v>738999.9375</v>
      </c>
      <c r="W489">
        <v>-4.5325970649719203</v>
      </c>
      <c r="X489">
        <v>-0.239999994635582</v>
      </c>
      <c r="Y489">
        <v>6.9818181991577104</v>
      </c>
      <c r="Z489">
        <v>5.6603770256042498</v>
      </c>
      <c r="AA489">
        <v>39800000</v>
      </c>
      <c r="AB489" t="s">
        <v>61</v>
      </c>
      <c r="AC489" t="s">
        <v>80</v>
      </c>
      <c r="AD489">
        <v>1.9999999552965199E-2</v>
      </c>
      <c r="AE489">
        <v>33.652496337890597</v>
      </c>
      <c r="AF489">
        <v>10.600281748743701</v>
      </c>
      <c r="AG489">
        <v>39900000</v>
      </c>
      <c r="AH489">
        <v>0</v>
      </c>
      <c r="AI489">
        <v>-62.112087249755902</v>
      </c>
    </row>
    <row r="490" spans="1:35">
      <c r="A490">
        <f t="shared" si="56"/>
        <v>0</v>
      </c>
      <c r="B490">
        <f t="shared" si="57"/>
        <v>0</v>
      </c>
      <c r="C490">
        <f t="shared" si="58"/>
        <v>1</v>
      </c>
      <c r="D490">
        <f t="shared" si="59"/>
        <v>0</v>
      </c>
      <c r="E490">
        <f t="shared" si="60"/>
        <v>1</v>
      </c>
      <c r="F490">
        <f t="shared" si="61"/>
        <v>1</v>
      </c>
      <c r="G490">
        <f t="shared" si="62"/>
        <v>0</v>
      </c>
      <c r="H490">
        <v>0</v>
      </c>
      <c r="I490">
        <f t="shared" si="63"/>
        <v>0</v>
      </c>
      <c r="J490">
        <v>0</v>
      </c>
      <c r="K490" t="s">
        <v>2396</v>
      </c>
      <c r="L490" t="s">
        <v>2397</v>
      </c>
      <c r="M490" t="s">
        <v>27</v>
      </c>
      <c r="N490" t="s">
        <v>27</v>
      </c>
      <c r="O490">
        <v>15.75</v>
      </c>
      <c r="P490" t="s">
        <v>27</v>
      </c>
      <c r="Q490" t="s">
        <v>27</v>
      </c>
      <c r="R490">
        <v>16</v>
      </c>
      <c r="S490" t="s">
        <v>27</v>
      </c>
      <c r="T490" t="s">
        <v>27</v>
      </c>
      <c r="U490" t="s">
        <v>27</v>
      </c>
      <c r="V490" t="s">
        <v>27</v>
      </c>
      <c r="W490" t="s">
        <v>27</v>
      </c>
      <c r="X490" t="s">
        <v>27</v>
      </c>
      <c r="Y490" t="s">
        <v>27</v>
      </c>
      <c r="Z490" t="s">
        <v>27</v>
      </c>
      <c r="AA490" t="s">
        <v>27</v>
      </c>
      <c r="AB490" t="s">
        <v>27</v>
      </c>
      <c r="AC490" t="s">
        <v>27</v>
      </c>
      <c r="AD490" t="s">
        <v>27</v>
      </c>
      <c r="AE490" t="s">
        <v>27</v>
      </c>
      <c r="AF490">
        <v>5.1076586303503904</v>
      </c>
      <c r="AG490" t="s">
        <v>27</v>
      </c>
      <c r="AH490" t="s">
        <v>27</v>
      </c>
      <c r="AI490" t="s">
        <v>27</v>
      </c>
    </row>
    <row r="491" spans="1:35">
      <c r="A491">
        <f t="shared" ref="A491:A552" si="64">IF(AH491&lt;T491,1,0)</f>
        <v>1</v>
      </c>
      <c r="B491">
        <f t="shared" ref="B491:B552" si="65">IF(AI491&gt;W491,1,0)</f>
        <v>0</v>
      </c>
      <c r="C491">
        <f t="shared" ref="C491:C552" si="66">IF(V491&gt;0,1,0)</f>
        <v>0</v>
      </c>
      <c r="D491">
        <f t="shared" ref="D491:D552" si="67">IF(AD491&gt;X491,1,0)</f>
        <v>0</v>
      </c>
      <c r="E491">
        <f t="shared" ref="E491:E552" si="68">IF(AA491=AG491,1,0)</f>
        <v>0</v>
      </c>
      <c r="F491">
        <f t="shared" ref="F491:F552" si="69">IF(AI491&gt;0,1,0)</f>
        <v>0</v>
      </c>
      <c r="G491">
        <f t="shared" ref="G491:G552" si="70">IF(AE491&gt;U491,1,0)</f>
        <v>0</v>
      </c>
      <c r="H491">
        <v>0</v>
      </c>
      <c r="I491">
        <f t="shared" ref="I491:I552" si="71">IF(((O491-R491)/R491)&gt;0.075,1,0)</f>
        <v>0</v>
      </c>
      <c r="J491">
        <v>0</v>
      </c>
      <c r="K491" t="s">
        <v>2398</v>
      </c>
      <c r="L491" t="s">
        <v>2399</v>
      </c>
      <c r="M491" t="s">
        <v>27</v>
      </c>
      <c r="N491" t="s">
        <v>27</v>
      </c>
      <c r="O491">
        <v>5.86</v>
      </c>
      <c r="P491" t="s">
        <v>27</v>
      </c>
      <c r="Q491" t="s">
        <v>27</v>
      </c>
      <c r="R491">
        <v>13.539999961853001</v>
      </c>
      <c r="S491">
        <v>38.3125</v>
      </c>
      <c r="T491">
        <v>57.723663330078097</v>
      </c>
      <c r="U491" t="s">
        <v>27</v>
      </c>
      <c r="V491">
        <v>-39247000</v>
      </c>
      <c r="W491">
        <v>-21.283027648925799</v>
      </c>
      <c r="X491">
        <v>-0.31000000238418601</v>
      </c>
      <c r="Y491">
        <v>-2.05765008926392</v>
      </c>
      <c r="Z491">
        <v>-9.6240596771240199</v>
      </c>
      <c r="AA491">
        <v>45243000</v>
      </c>
      <c r="AB491" t="s">
        <v>73</v>
      </c>
      <c r="AC491" t="s">
        <v>413</v>
      </c>
      <c r="AD491">
        <v>-0.490000009536743</v>
      </c>
      <c r="AE491">
        <v>91.167152404785199</v>
      </c>
      <c r="AF491" t="s">
        <v>27</v>
      </c>
      <c r="AG491">
        <v>54913000</v>
      </c>
      <c r="AH491">
        <v>48.088840484619098</v>
      </c>
      <c r="AI491">
        <v>-22.7485160827637</v>
      </c>
    </row>
    <row r="492" spans="1:35">
      <c r="A492">
        <f t="shared" si="64"/>
        <v>0</v>
      </c>
      <c r="B492">
        <f t="shared" si="65"/>
        <v>1</v>
      </c>
      <c r="C492">
        <f t="shared" si="66"/>
        <v>0</v>
      </c>
      <c r="D492">
        <f t="shared" si="67"/>
        <v>1</v>
      </c>
      <c r="E492">
        <f t="shared" si="68"/>
        <v>0</v>
      </c>
      <c r="F492">
        <f t="shared" si="69"/>
        <v>0</v>
      </c>
      <c r="G492">
        <f t="shared" si="70"/>
        <v>0</v>
      </c>
      <c r="H492">
        <v>0</v>
      </c>
      <c r="I492">
        <f t="shared" si="71"/>
        <v>0</v>
      </c>
      <c r="J492">
        <v>0</v>
      </c>
      <c r="K492" t="s">
        <v>2400</v>
      </c>
      <c r="L492" t="s">
        <v>2401</v>
      </c>
      <c r="M492" t="s">
        <v>27</v>
      </c>
      <c r="N492" t="s">
        <v>27</v>
      </c>
      <c r="O492">
        <v>9.27</v>
      </c>
      <c r="P492" t="s">
        <v>27</v>
      </c>
      <c r="Q492" t="s">
        <v>27</v>
      </c>
      <c r="R492">
        <v>22.6198120117188</v>
      </c>
      <c r="S492">
        <v>13.75</v>
      </c>
      <c r="T492">
        <v>3.0596590042114298</v>
      </c>
      <c r="U492">
        <v>-318.60232543945301</v>
      </c>
      <c r="V492">
        <v>-13193000</v>
      </c>
      <c r="W492">
        <v>-129.11389160156301</v>
      </c>
      <c r="X492">
        <v>-4.5699998736381504</v>
      </c>
      <c r="Y492" t="s">
        <v>27</v>
      </c>
      <c r="Z492">
        <v>-53.922969818115199</v>
      </c>
      <c r="AA492">
        <v>12660000</v>
      </c>
      <c r="AB492" t="s">
        <v>27</v>
      </c>
      <c r="AC492" t="s">
        <v>27</v>
      </c>
      <c r="AD492">
        <v>-2.5799999237060498</v>
      </c>
      <c r="AE492">
        <v>-1250.58142089844</v>
      </c>
      <c r="AF492" t="s">
        <v>27</v>
      </c>
      <c r="AG492">
        <v>16295000</v>
      </c>
      <c r="AH492">
        <v>5.2099161148071298</v>
      </c>
      <c r="AI492">
        <v>-70.628288269042997</v>
      </c>
    </row>
    <row r="493" spans="1:35">
      <c r="A493">
        <f t="shared" si="64"/>
        <v>1</v>
      </c>
      <c r="B493">
        <f t="shared" si="65"/>
        <v>1</v>
      </c>
      <c r="C493">
        <f t="shared" si="66"/>
        <v>0</v>
      </c>
      <c r="D493">
        <f t="shared" si="67"/>
        <v>1</v>
      </c>
      <c r="E493">
        <f t="shared" si="68"/>
        <v>0</v>
      </c>
      <c r="F493">
        <f t="shared" si="69"/>
        <v>0</v>
      </c>
      <c r="G493">
        <f t="shared" si="70"/>
        <v>0</v>
      </c>
      <c r="H493">
        <v>0</v>
      </c>
      <c r="I493">
        <f t="shared" si="71"/>
        <v>0</v>
      </c>
      <c r="J493">
        <v>0</v>
      </c>
      <c r="K493" t="s">
        <v>2402</v>
      </c>
      <c r="L493" t="s">
        <v>2403</v>
      </c>
      <c r="M493" t="s">
        <v>27</v>
      </c>
      <c r="N493" t="s">
        <v>27</v>
      </c>
      <c r="O493">
        <v>8.08</v>
      </c>
      <c r="P493" t="s">
        <v>27</v>
      </c>
      <c r="Q493" t="s">
        <v>27</v>
      </c>
      <c r="R493">
        <v>34.759998321533203</v>
      </c>
      <c r="S493">
        <v>34.875</v>
      </c>
      <c r="T493">
        <v>15.888512611389199</v>
      </c>
      <c r="U493" t="s">
        <v>27</v>
      </c>
      <c r="V493">
        <v>-1145000.375</v>
      </c>
      <c r="W493">
        <v>-105.916450500488</v>
      </c>
      <c r="X493">
        <v>-0.30000001192092901</v>
      </c>
      <c r="Y493" t="s">
        <v>27</v>
      </c>
      <c r="Z493" t="s">
        <v>27</v>
      </c>
      <c r="AA493">
        <v>11434000</v>
      </c>
      <c r="AB493" t="s">
        <v>27</v>
      </c>
      <c r="AC493" t="s">
        <v>27</v>
      </c>
      <c r="AD493">
        <v>-0.15000000596046401</v>
      </c>
      <c r="AE493" t="s">
        <v>27</v>
      </c>
      <c r="AF493" t="s">
        <v>27</v>
      </c>
      <c r="AG493">
        <v>13992000</v>
      </c>
      <c r="AH493">
        <v>6.3606581687927202</v>
      </c>
      <c r="AI493">
        <v>-44.379241943359403</v>
      </c>
    </row>
    <row r="494" spans="1:35">
      <c r="A494">
        <f t="shared" si="64"/>
        <v>0</v>
      </c>
      <c r="B494">
        <f t="shared" si="65"/>
        <v>0</v>
      </c>
      <c r="C494">
        <f t="shared" si="66"/>
        <v>0</v>
      </c>
      <c r="D494">
        <f t="shared" si="67"/>
        <v>0</v>
      </c>
      <c r="E494">
        <f t="shared" si="68"/>
        <v>0</v>
      </c>
      <c r="F494">
        <f t="shared" si="69"/>
        <v>0</v>
      </c>
      <c r="G494">
        <f t="shared" si="70"/>
        <v>1</v>
      </c>
      <c r="H494">
        <v>0</v>
      </c>
      <c r="I494">
        <f t="shared" si="71"/>
        <v>0</v>
      </c>
      <c r="J494">
        <v>0</v>
      </c>
      <c r="K494" t="s">
        <v>2404</v>
      </c>
      <c r="L494" t="s">
        <v>2405</v>
      </c>
      <c r="M494" t="s">
        <v>27</v>
      </c>
      <c r="N494" t="s">
        <v>27</v>
      </c>
      <c r="O494">
        <v>3.9</v>
      </c>
      <c r="P494" t="s">
        <v>27</v>
      </c>
      <c r="Q494" t="s">
        <v>27</v>
      </c>
      <c r="R494">
        <v>5.1999998092651403</v>
      </c>
      <c r="S494">
        <v>13.5625</v>
      </c>
      <c r="T494">
        <v>1.1197509765625</v>
      </c>
      <c r="U494">
        <v>39.267745971679702</v>
      </c>
      <c r="V494">
        <v>-51302000</v>
      </c>
      <c r="W494">
        <v>-51.166481018066399</v>
      </c>
      <c r="X494">
        <v>-9.00000035762787E-2</v>
      </c>
      <c r="Y494">
        <v>-4.9562292098998997</v>
      </c>
      <c r="Z494">
        <v>-20.949262619018601</v>
      </c>
      <c r="AA494">
        <v>60585000</v>
      </c>
      <c r="AB494" t="s">
        <v>27</v>
      </c>
      <c r="AC494" t="s">
        <v>27</v>
      </c>
      <c r="AD494">
        <v>-0.72000002861022905</v>
      </c>
      <c r="AE494">
        <v>43.860015869140597</v>
      </c>
      <c r="AF494" t="s">
        <v>27</v>
      </c>
      <c r="AG494">
        <v>61463000</v>
      </c>
      <c r="AH494">
        <v>6.4085879325866699</v>
      </c>
      <c r="AI494">
        <v>-88.922904968261705</v>
      </c>
    </row>
    <row r="495" spans="1:35">
      <c r="A495">
        <f t="shared" si="64"/>
        <v>0</v>
      </c>
      <c r="B495">
        <f t="shared" si="65"/>
        <v>1</v>
      </c>
      <c r="C495">
        <f t="shared" si="66"/>
        <v>0</v>
      </c>
      <c r="D495">
        <f t="shared" si="67"/>
        <v>1</v>
      </c>
      <c r="E495">
        <f t="shared" si="68"/>
        <v>0</v>
      </c>
      <c r="F495">
        <f t="shared" si="69"/>
        <v>1</v>
      </c>
      <c r="G495">
        <f t="shared" si="70"/>
        <v>0</v>
      </c>
      <c r="H495">
        <v>0</v>
      </c>
      <c r="I495">
        <f t="shared" si="71"/>
        <v>0</v>
      </c>
      <c r="J495">
        <v>0</v>
      </c>
      <c r="K495" t="s">
        <v>2406</v>
      </c>
      <c r="L495" t="s">
        <v>2407</v>
      </c>
      <c r="M495" t="s">
        <v>27</v>
      </c>
      <c r="N495" t="s">
        <v>27</v>
      </c>
      <c r="O495">
        <v>10.98</v>
      </c>
      <c r="P495" t="s">
        <v>27</v>
      </c>
      <c r="Q495" t="s">
        <v>27</v>
      </c>
      <c r="R495">
        <v>13.3999996185303</v>
      </c>
      <c r="S495">
        <v>10.5</v>
      </c>
      <c r="T495">
        <v>30.4377746582031</v>
      </c>
      <c r="U495" t="s">
        <v>27</v>
      </c>
      <c r="V495">
        <v>-38839000</v>
      </c>
      <c r="W495">
        <v>0.37027999758720398</v>
      </c>
      <c r="X495">
        <v>1.9999999552965199E-2</v>
      </c>
      <c r="Y495" t="s">
        <v>27</v>
      </c>
      <c r="Z495">
        <v>1.4336919784545901</v>
      </c>
      <c r="AA495">
        <v>29675000</v>
      </c>
      <c r="AB495" t="s">
        <v>27</v>
      </c>
      <c r="AC495" t="s">
        <v>27</v>
      </c>
      <c r="AD495">
        <v>7.0000000298023196E-2</v>
      </c>
      <c r="AE495" t="s">
        <v>27</v>
      </c>
      <c r="AF495" t="s">
        <v>27</v>
      </c>
      <c r="AG495">
        <v>31751000</v>
      </c>
      <c r="AH495">
        <v>31.3831977844238</v>
      </c>
      <c r="AI495">
        <v>0.55428397655487105</v>
      </c>
    </row>
    <row r="496" spans="1:35">
      <c r="A496">
        <f t="shared" si="64"/>
        <v>0</v>
      </c>
      <c r="B496">
        <f t="shared" si="65"/>
        <v>0</v>
      </c>
      <c r="C496">
        <f t="shared" si="66"/>
        <v>1</v>
      </c>
      <c r="D496">
        <f t="shared" si="67"/>
        <v>0</v>
      </c>
      <c r="E496">
        <f t="shared" si="68"/>
        <v>0</v>
      </c>
      <c r="F496">
        <f t="shared" si="69"/>
        <v>0</v>
      </c>
      <c r="G496">
        <f t="shared" si="70"/>
        <v>0</v>
      </c>
      <c r="H496">
        <v>0</v>
      </c>
      <c r="I496">
        <f t="shared" si="71"/>
        <v>0</v>
      </c>
      <c r="J496">
        <v>0</v>
      </c>
      <c r="K496" t="s">
        <v>2410</v>
      </c>
      <c r="L496" t="s">
        <v>2411</v>
      </c>
      <c r="M496" t="s">
        <v>27</v>
      </c>
      <c r="N496" t="s">
        <v>27</v>
      </c>
      <c r="O496">
        <v>11.95</v>
      </c>
      <c r="P496" t="s">
        <v>27</v>
      </c>
      <c r="Q496" t="s">
        <v>27</v>
      </c>
      <c r="R496">
        <v>30</v>
      </c>
      <c r="S496">
        <v>78.5</v>
      </c>
      <c r="T496">
        <v>0</v>
      </c>
      <c r="U496">
        <v>94.461006164550795</v>
      </c>
      <c r="V496">
        <v>19071000</v>
      </c>
      <c r="W496">
        <v>-7.5084700584411603</v>
      </c>
      <c r="X496">
        <v>-3</v>
      </c>
      <c r="Y496">
        <v>0.79162698984146096</v>
      </c>
      <c r="Z496">
        <v>2.8546330928802499</v>
      </c>
      <c r="AA496">
        <v>38573000</v>
      </c>
      <c r="AB496" t="s">
        <v>27</v>
      </c>
      <c r="AC496" t="s">
        <v>27</v>
      </c>
      <c r="AD496">
        <v>-3.5099999904632599</v>
      </c>
      <c r="AE496">
        <v>89.643127441406307</v>
      </c>
      <c r="AF496">
        <v>1.8980680355319199</v>
      </c>
      <c r="AG496">
        <v>53617000</v>
      </c>
      <c r="AH496">
        <v>0</v>
      </c>
      <c r="AI496">
        <v>-25.904819488525401</v>
      </c>
    </row>
    <row r="497" spans="1:35">
      <c r="A497">
        <f t="shared" si="64"/>
        <v>1</v>
      </c>
      <c r="B497">
        <f t="shared" si="65"/>
        <v>1</v>
      </c>
      <c r="C497">
        <f t="shared" si="66"/>
        <v>0</v>
      </c>
      <c r="D497">
        <f t="shared" si="67"/>
        <v>0</v>
      </c>
      <c r="E497">
        <f t="shared" si="68"/>
        <v>0</v>
      </c>
      <c r="F497">
        <f t="shared" si="69"/>
        <v>0</v>
      </c>
      <c r="G497">
        <f t="shared" si="70"/>
        <v>0</v>
      </c>
      <c r="H497">
        <v>0</v>
      </c>
      <c r="I497">
        <f t="shared" si="71"/>
        <v>0</v>
      </c>
      <c r="J497">
        <v>0</v>
      </c>
      <c r="K497" t="s">
        <v>2412</v>
      </c>
      <c r="L497" t="s">
        <v>2413</v>
      </c>
      <c r="M497" t="s">
        <v>27</v>
      </c>
      <c r="N497" t="s">
        <v>27</v>
      </c>
      <c r="O497">
        <v>6.49</v>
      </c>
      <c r="P497" t="s">
        <v>27</v>
      </c>
      <c r="Q497" t="s">
        <v>27</v>
      </c>
      <c r="R497">
        <v>15.060000419616699</v>
      </c>
      <c r="S497">
        <v>15</v>
      </c>
      <c r="T497">
        <v>7.4280001223087297E-2</v>
      </c>
      <c r="U497">
        <v>43.880104064941399</v>
      </c>
      <c r="V497">
        <v>-285000</v>
      </c>
      <c r="W497">
        <v>-10.547755241394</v>
      </c>
      <c r="X497">
        <v>-0.109999999403954</v>
      </c>
      <c r="Y497" t="s">
        <v>27</v>
      </c>
      <c r="Z497">
        <v>-0.581959009170532</v>
      </c>
      <c r="AA497">
        <v>32587002</v>
      </c>
      <c r="AB497" t="s">
        <v>27</v>
      </c>
      <c r="AC497" t="s">
        <v>27</v>
      </c>
      <c r="AD497">
        <v>-0.140000000596046</v>
      </c>
      <c r="AE497">
        <v>38.355426788330099</v>
      </c>
      <c r="AF497" t="s">
        <v>27</v>
      </c>
      <c r="AG497">
        <v>33085000</v>
      </c>
      <c r="AH497">
        <v>3.1794000416994102E-2</v>
      </c>
      <c r="AI497">
        <v>-4.15777587890625</v>
      </c>
    </row>
    <row r="498" spans="1:35">
      <c r="A498">
        <f t="shared" si="64"/>
        <v>1</v>
      </c>
      <c r="B498">
        <f t="shared" si="65"/>
        <v>1</v>
      </c>
      <c r="C498">
        <f t="shared" si="66"/>
        <v>0</v>
      </c>
      <c r="D498">
        <f t="shared" si="67"/>
        <v>0</v>
      </c>
      <c r="E498">
        <f t="shared" si="68"/>
        <v>0</v>
      </c>
      <c r="F498">
        <f t="shared" si="69"/>
        <v>0</v>
      </c>
      <c r="G498">
        <f t="shared" si="70"/>
        <v>0</v>
      </c>
      <c r="H498">
        <v>0</v>
      </c>
      <c r="I498">
        <f t="shared" si="71"/>
        <v>0</v>
      </c>
      <c r="J498">
        <v>0</v>
      </c>
      <c r="K498" t="s">
        <v>2414</v>
      </c>
      <c r="L498" t="s">
        <v>2415</v>
      </c>
      <c r="M498" t="s">
        <v>27</v>
      </c>
      <c r="N498" t="s">
        <v>27</v>
      </c>
      <c r="O498">
        <v>2.64</v>
      </c>
      <c r="P498" t="s">
        <v>27</v>
      </c>
      <c r="Q498" t="s">
        <v>27</v>
      </c>
      <c r="R498">
        <v>3.1600000858306898</v>
      </c>
      <c r="S498">
        <v>8.25</v>
      </c>
      <c r="T498">
        <v>1.90364694595337</v>
      </c>
      <c r="U498">
        <v>26.734891891479499</v>
      </c>
      <c r="V498">
        <v>-4276000</v>
      </c>
      <c r="W498">
        <v>-62.201675415039098</v>
      </c>
      <c r="X498">
        <v>0</v>
      </c>
      <c r="Y498">
        <v>-0.57384002208709695</v>
      </c>
      <c r="Z498">
        <v>-51.481479644775398</v>
      </c>
      <c r="AA498">
        <v>51297632</v>
      </c>
      <c r="AB498" t="s">
        <v>27</v>
      </c>
      <c r="AC498" t="s">
        <v>27</v>
      </c>
      <c r="AD498">
        <v>-0.129999995231628</v>
      </c>
      <c r="AE498">
        <v>16.035087585449201</v>
      </c>
      <c r="AF498" t="s">
        <v>27</v>
      </c>
      <c r="AG498">
        <v>52532000</v>
      </c>
      <c r="AH498">
        <v>0.51827502250671398</v>
      </c>
      <c r="AI498">
        <v>-4.1750159263610804</v>
      </c>
    </row>
    <row r="499" spans="1:35">
      <c r="A499">
        <f t="shared" si="64"/>
        <v>0</v>
      </c>
      <c r="B499">
        <f t="shared" si="65"/>
        <v>0</v>
      </c>
      <c r="C499">
        <f t="shared" si="66"/>
        <v>0</v>
      </c>
      <c r="D499">
        <f t="shared" si="67"/>
        <v>0</v>
      </c>
      <c r="E499">
        <f t="shared" si="68"/>
        <v>0</v>
      </c>
      <c r="F499">
        <f t="shared" si="69"/>
        <v>1</v>
      </c>
      <c r="G499">
        <f t="shared" si="70"/>
        <v>1</v>
      </c>
      <c r="H499">
        <v>0</v>
      </c>
      <c r="I499">
        <f t="shared" si="71"/>
        <v>0</v>
      </c>
      <c r="J499">
        <v>0</v>
      </c>
      <c r="K499" t="s">
        <v>2416</v>
      </c>
      <c r="L499" t="s">
        <v>2417</v>
      </c>
      <c r="M499" t="s">
        <v>27</v>
      </c>
      <c r="N499" t="s">
        <v>27</v>
      </c>
      <c r="O499">
        <v>4.01</v>
      </c>
      <c r="P499">
        <v>10.559190750122101</v>
      </c>
      <c r="Q499" t="s">
        <v>27</v>
      </c>
      <c r="R499">
        <v>9.1800003051757795</v>
      </c>
      <c r="S499">
        <v>11.125</v>
      </c>
      <c r="T499">
        <v>0</v>
      </c>
      <c r="U499">
        <v>71.827613830566406</v>
      </c>
      <c r="V499">
        <v>-310000.0625</v>
      </c>
      <c r="W499">
        <v>21.619930267333999</v>
      </c>
      <c r="X499">
        <v>-2.9999999329447701E-2</v>
      </c>
      <c r="Y499">
        <v>2.4842109680175799</v>
      </c>
      <c r="Z499">
        <v>4</v>
      </c>
      <c r="AA499">
        <v>29197000</v>
      </c>
      <c r="AB499" t="s">
        <v>38</v>
      </c>
      <c r="AC499" t="s">
        <v>113</v>
      </c>
      <c r="AD499">
        <v>-0.10000000149011599</v>
      </c>
      <c r="AE499">
        <v>73.616462707519503</v>
      </c>
      <c r="AF499">
        <v>87.461219514498595</v>
      </c>
      <c r="AG499">
        <v>29458000</v>
      </c>
      <c r="AH499">
        <v>0</v>
      </c>
      <c r="AI499">
        <v>3.1034889221191402</v>
      </c>
    </row>
    <row r="500" spans="1:35">
      <c r="A500">
        <f t="shared" si="64"/>
        <v>0</v>
      </c>
      <c r="B500">
        <f t="shared" si="65"/>
        <v>0</v>
      </c>
      <c r="C500">
        <f t="shared" si="66"/>
        <v>1</v>
      </c>
      <c r="D500">
        <f t="shared" si="67"/>
        <v>0</v>
      </c>
      <c r="E500">
        <f t="shared" si="68"/>
        <v>1</v>
      </c>
      <c r="F500">
        <f t="shared" si="69"/>
        <v>0</v>
      </c>
      <c r="G500">
        <f t="shared" si="70"/>
        <v>0</v>
      </c>
      <c r="H500">
        <v>0</v>
      </c>
      <c r="I500">
        <f t="shared" si="71"/>
        <v>0</v>
      </c>
      <c r="J500">
        <v>0</v>
      </c>
      <c r="K500" t="s">
        <v>2418</v>
      </c>
      <c r="L500" t="s">
        <v>2419</v>
      </c>
      <c r="M500" t="s">
        <v>27</v>
      </c>
      <c r="N500" t="s">
        <v>27</v>
      </c>
      <c r="O500">
        <v>19.690000000000001</v>
      </c>
      <c r="P500" t="s">
        <v>27</v>
      </c>
      <c r="Q500" t="s">
        <v>27</v>
      </c>
      <c r="R500">
        <v>20.450000762939499</v>
      </c>
      <c r="S500" t="s">
        <v>27</v>
      </c>
      <c r="T500" t="s">
        <v>27</v>
      </c>
      <c r="U500" t="s">
        <v>27</v>
      </c>
      <c r="V500" t="s">
        <v>27</v>
      </c>
      <c r="W500" t="s">
        <v>27</v>
      </c>
      <c r="X500" t="s">
        <v>27</v>
      </c>
      <c r="Y500" t="s">
        <v>27</v>
      </c>
      <c r="Z500" t="s">
        <v>27</v>
      </c>
      <c r="AA500" t="s">
        <v>27</v>
      </c>
      <c r="AB500" t="s">
        <v>27</v>
      </c>
      <c r="AC500" t="s">
        <v>27</v>
      </c>
      <c r="AD500" t="s">
        <v>27</v>
      </c>
      <c r="AE500" t="s">
        <v>27</v>
      </c>
      <c r="AF500">
        <v>81.906167841695606</v>
      </c>
      <c r="AG500" t="s">
        <v>27</v>
      </c>
      <c r="AH500" t="s">
        <v>27</v>
      </c>
      <c r="AI500">
        <v>-63.682411193847699</v>
      </c>
    </row>
    <row r="501" spans="1:35">
      <c r="A501">
        <f t="shared" si="64"/>
        <v>1</v>
      </c>
      <c r="B501">
        <f t="shared" si="65"/>
        <v>0</v>
      </c>
      <c r="C501">
        <f t="shared" si="66"/>
        <v>0</v>
      </c>
      <c r="D501">
        <f t="shared" si="67"/>
        <v>1</v>
      </c>
      <c r="E501">
        <f t="shared" si="68"/>
        <v>0</v>
      </c>
      <c r="F501">
        <f t="shared" si="69"/>
        <v>0</v>
      </c>
      <c r="G501">
        <f t="shared" si="70"/>
        <v>0</v>
      </c>
      <c r="H501">
        <v>0</v>
      </c>
      <c r="I501">
        <f t="shared" si="71"/>
        <v>0</v>
      </c>
      <c r="J501">
        <v>0</v>
      </c>
      <c r="K501" t="s">
        <v>2420</v>
      </c>
      <c r="L501" t="s">
        <v>2421</v>
      </c>
      <c r="M501" t="s">
        <v>27</v>
      </c>
      <c r="N501" t="s">
        <v>27</v>
      </c>
      <c r="O501">
        <v>43.37</v>
      </c>
      <c r="P501" t="s">
        <v>27</v>
      </c>
      <c r="Q501" t="s">
        <v>27</v>
      </c>
      <c r="R501">
        <v>41.610000610351598</v>
      </c>
      <c r="S501">
        <v>32.625</v>
      </c>
      <c r="T501">
        <v>3.1757740974426301</v>
      </c>
      <c r="U501" t="s">
        <v>27</v>
      </c>
      <c r="V501">
        <v>-2550000</v>
      </c>
      <c r="W501">
        <v>-17.730604171752901</v>
      </c>
      <c r="X501">
        <v>-0.5</v>
      </c>
      <c r="Y501">
        <v>-2.6888890266418501</v>
      </c>
      <c r="Z501">
        <v>-3.6539659500122101</v>
      </c>
      <c r="AA501">
        <v>22062000</v>
      </c>
      <c r="AB501" t="s">
        <v>73</v>
      </c>
      <c r="AC501" t="s">
        <v>141</v>
      </c>
      <c r="AD501">
        <v>0.10000000149011599</v>
      </c>
      <c r="AE501" t="s">
        <v>27</v>
      </c>
      <c r="AF501" t="s">
        <v>27</v>
      </c>
      <c r="AG501">
        <v>26188000</v>
      </c>
      <c r="AH501">
        <v>2.0994191169738801</v>
      </c>
      <c r="AI501">
        <v>-19.518672943115199</v>
      </c>
    </row>
    <row r="502" spans="1:35">
      <c r="A502">
        <f t="shared" si="64"/>
        <v>0</v>
      </c>
      <c r="B502">
        <f t="shared" si="65"/>
        <v>1</v>
      </c>
      <c r="C502">
        <f t="shared" si="66"/>
        <v>0</v>
      </c>
      <c r="D502">
        <f t="shared" si="67"/>
        <v>0</v>
      </c>
      <c r="E502">
        <f t="shared" si="68"/>
        <v>0</v>
      </c>
      <c r="F502">
        <f t="shared" si="69"/>
        <v>0</v>
      </c>
      <c r="G502">
        <f t="shared" si="70"/>
        <v>0</v>
      </c>
      <c r="H502">
        <v>0</v>
      </c>
      <c r="I502">
        <f t="shared" si="71"/>
        <v>0</v>
      </c>
      <c r="J502">
        <v>0</v>
      </c>
      <c r="K502" t="s">
        <v>2422</v>
      </c>
      <c r="L502" t="s">
        <v>2423</v>
      </c>
      <c r="M502" t="s">
        <v>27</v>
      </c>
      <c r="N502" t="s">
        <v>27</v>
      </c>
      <c r="O502">
        <v>3.62</v>
      </c>
      <c r="P502" t="s">
        <v>27</v>
      </c>
      <c r="Q502" t="s">
        <v>27</v>
      </c>
      <c r="R502">
        <v>15.1499996185303</v>
      </c>
      <c r="S502">
        <v>31.9375</v>
      </c>
      <c r="T502">
        <v>1.3185659646987899</v>
      </c>
      <c r="U502" t="s">
        <v>27</v>
      </c>
      <c r="V502">
        <v>-9697000</v>
      </c>
      <c r="W502">
        <v>-15.0744543075562</v>
      </c>
      <c r="X502">
        <v>7.0000000298023196E-2</v>
      </c>
      <c r="Y502">
        <v>-2.1847391128539999</v>
      </c>
      <c r="Z502">
        <v>-8.0438756942749006</v>
      </c>
      <c r="AA502">
        <v>17361000</v>
      </c>
      <c r="AB502" t="s">
        <v>27</v>
      </c>
      <c r="AC502" t="s">
        <v>27</v>
      </c>
      <c r="AD502">
        <v>-0.37999999523162797</v>
      </c>
      <c r="AE502" t="s">
        <v>27</v>
      </c>
      <c r="AF502" t="s">
        <v>27</v>
      </c>
      <c r="AG502">
        <v>17609000</v>
      </c>
      <c r="AH502">
        <v>3.9949219226837198</v>
      </c>
      <c r="AI502">
        <v>-13.1824026107788</v>
      </c>
    </row>
    <row r="503" spans="1:35">
      <c r="A503">
        <f t="shared" si="64"/>
        <v>0</v>
      </c>
      <c r="B503">
        <f t="shared" si="65"/>
        <v>0</v>
      </c>
      <c r="C503">
        <f t="shared" si="66"/>
        <v>1</v>
      </c>
      <c r="D503">
        <f t="shared" si="67"/>
        <v>1</v>
      </c>
      <c r="E503">
        <f t="shared" si="68"/>
        <v>0</v>
      </c>
      <c r="F503">
        <f t="shared" si="69"/>
        <v>0</v>
      </c>
      <c r="G503">
        <f t="shared" si="70"/>
        <v>0</v>
      </c>
      <c r="H503">
        <v>0</v>
      </c>
      <c r="I503">
        <f t="shared" si="71"/>
        <v>1</v>
      </c>
      <c r="J503">
        <v>0</v>
      </c>
      <c r="K503" t="s">
        <v>2424</v>
      </c>
      <c r="L503" t="s">
        <v>2425</v>
      </c>
      <c r="M503" t="s">
        <v>27</v>
      </c>
      <c r="N503" t="s">
        <v>27</v>
      </c>
      <c r="O503">
        <v>28.52</v>
      </c>
      <c r="P503">
        <v>1.3072329759597801</v>
      </c>
      <c r="Q503" t="s">
        <v>27</v>
      </c>
      <c r="R503">
        <v>13.930687904357899</v>
      </c>
      <c r="S503">
        <v>9.625</v>
      </c>
      <c r="T503">
        <v>73.981552124023395</v>
      </c>
      <c r="U503" t="s">
        <v>27</v>
      </c>
      <c r="V503">
        <v>34036000</v>
      </c>
      <c r="W503">
        <v>5.3087940216064498</v>
      </c>
      <c r="X503">
        <v>0.270000010728836</v>
      </c>
      <c r="Y503">
        <v>3.01075291633606</v>
      </c>
      <c r="Z503">
        <v>-6.02040815353394</v>
      </c>
      <c r="AA503">
        <v>14783000</v>
      </c>
      <c r="AB503" t="s">
        <v>27</v>
      </c>
      <c r="AC503" t="s">
        <v>27</v>
      </c>
      <c r="AD503">
        <v>0.99000000953674305</v>
      </c>
      <c r="AE503" t="s">
        <v>27</v>
      </c>
      <c r="AF503">
        <v>5.4635753351353804</v>
      </c>
      <c r="AG503">
        <v>16721001</v>
      </c>
      <c r="AH503">
        <v>79.274284362792997</v>
      </c>
      <c r="AI503">
        <v>-2.7074379920959499</v>
      </c>
    </row>
    <row r="504" spans="1:35">
      <c r="A504">
        <f t="shared" si="64"/>
        <v>0</v>
      </c>
      <c r="B504">
        <f t="shared" si="65"/>
        <v>0</v>
      </c>
      <c r="C504">
        <f t="shared" si="66"/>
        <v>1</v>
      </c>
      <c r="D504">
        <f t="shared" si="67"/>
        <v>0</v>
      </c>
      <c r="E504">
        <f t="shared" si="68"/>
        <v>1</v>
      </c>
      <c r="F504">
        <f t="shared" si="69"/>
        <v>1</v>
      </c>
      <c r="G504">
        <f t="shared" si="70"/>
        <v>0</v>
      </c>
      <c r="H504">
        <v>0</v>
      </c>
      <c r="I504">
        <f t="shared" si="71"/>
        <v>0</v>
      </c>
      <c r="J504">
        <v>0</v>
      </c>
      <c r="K504" t="s">
        <v>2434</v>
      </c>
      <c r="L504" t="s">
        <v>2435</v>
      </c>
      <c r="M504" t="s">
        <v>27</v>
      </c>
      <c r="N504" t="s">
        <v>27</v>
      </c>
      <c r="O504">
        <v>3.41</v>
      </c>
      <c r="P504" t="s">
        <v>27</v>
      </c>
      <c r="Q504" t="s">
        <v>27</v>
      </c>
      <c r="R504">
        <v>7.0999999046325701</v>
      </c>
      <c r="S504">
        <v>50.3125</v>
      </c>
      <c r="T504" t="s">
        <v>27</v>
      </c>
      <c r="U504" t="s">
        <v>27</v>
      </c>
      <c r="V504" t="s">
        <v>27</v>
      </c>
      <c r="W504" t="s">
        <v>27</v>
      </c>
      <c r="X504" t="s">
        <v>27</v>
      </c>
      <c r="Y504" t="s">
        <v>27</v>
      </c>
      <c r="Z504" t="s">
        <v>27</v>
      </c>
      <c r="AA504" t="s">
        <v>27</v>
      </c>
      <c r="AB504" t="s">
        <v>27</v>
      </c>
      <c r="AC504" t="s">
        <v>27</v>
      </c>
      <c r="AD504" t="s">
        <v>27</v>
      </c>
      <c r="AE504" t="s">
        <v>27</v>
      </c>
      <c r="AF504" t="s">
        <v>27</v>
      </c>
      <c r="AG504" t="s">
        <v>27</v>
      </c>
      <c r="AH504" t="s">
        <v>27</v>
      </c>
      <c r="AI504" t="s">
        <v>27</v>
      </c>
    </row>
    <row r="505" spans="1:35">
      <c r="A505">
        <f t="shared" si="64"/>
        <v>0</v>
      </c>
      <c r="B505">
        <f t="shared" si="65"/>
        <v>1</v>
      </c>
      <c r="C505">
        <f t="shared" si="66"/>
        <v>0</v>
      </c>
      <c r="D505">
        <f t="shared" si="67"/>
        <v>0</v>
      </c>
      <c r="E505">
        <f t="shared" si="68"/>
        <v>0</v>
      </c>
      <c r="F505">
        <f t="shared" si="69"/>
        <v>0</v>
      </c>
      <c r="G505">
        <f t="shared" si="70"/>
        <v>0</v>
      </c>
      <c r="H505">
        <v>0</v>
      </c>
      <c r="I505">
        <f t="shared" si="71"/>
        <v>0</v>
      </c>
      <c r="J505">
        <v>0</v>
      </c>
      <c r="K505" t="s">
        <v>2436</v>
      </c>
      <c r="L505" t="s">
        <v>2437</v>
      </c>
      <c r="M505" t="s">
        <v>27</v>
      </c>
      <c r="N505" t="s">
        <v>27</v>
      </c>
      <c r="O505">
        <v>1.1990000000000001</v>
      </c>
      <c r="P505" t="s">
        <v>27</v>
      </c>
      <c r="Q505" t="s">
        <v>27</v>
      </c>
      <c r="R505">
        <v>2.1800000667571999</v>
      </c>
      <c r="S505">
        <v>13</v>
      </c>
      <c r="T505">
        <v>9.2001523971557599</v>
      </c>
      <c r="U505">
        <v>25.131553649902301</v>
      </c>
      <c r="V505">
        <v>-24381000</v>
      </c>
      <c r="W505">
        <v>-112.189331054688</v>
      </c>
      <c r="X505">
        <v>-0.15999999642372101</v>
      </c>
      <c r="Y505">
        <v>-1.13421595096588</v>
      </c>
      <c r="Z505">
        <v>-31.3738307952881</v>
      </c>
      <c r="AA505">
        <v>83781000</v>
      </c>
      <c r="AB505" t="s">
        <v>27</v>
      </c>
      <c r="AC505" t="s">
        <v>27</v>
      </c>
      <c r="AD505">
        <v>-0.31999999284744302</v>
      </c>
      <c r="AE505">
        <v>13.0161390304565</v>
      </c>
      <c r="AF505" t="s">
        <v>27</v>
      </c>
      <c r="AG505">
        <v>85559000</v>
      </c>
      <c r="AH505">
        <v>32.457328796386697</v>
      </c>
      <c r="AI505">
        <v>-27.5379123687744</v>
      </c>
    </row>
    <row r="506" spans="1:35">
      <c r="A506">
        <f t="shared" si="64"/>
        <v>0</v>
      </c>
      <c r="B506">
        <f t="shared" si="65"/>
        <v>0</v>
      </c>
      <c r="C506">
        <f t="shared" si="66"/>
        <v>0</v>
      </c>
      <c r="D506">
        <f t="shared" si="67"/>
        <v>0</v>
      </c>
      <c r="E506">
        <f t="shared" si="68"/>
        <v>0</v>
      </c>
      <c r="F506">
        <f t="shared" si="69"/>
        <v>0</v>
      </c>
      <c r="G506">
        <f t="shared" si="70"/>
        <v>1</v>
      </c>
      <c r="H506">
        <v>0</v>
      </c>
      <c r="I506">
        <f t="shared" si="71"/>
        <v>0</v>
      </c>
      <c r="J506">
        <v>0</v>
      </c>
      <c r="K506" t="s">
        <v>2438</v>
      </c>
      <c r="L506" t="s">
        <v>2439</v>
      </c>
      <c r="M506" t="s">
        <v>27</v>
      </c>
      <c r="N506" t="s">
        <v>27</v>
      </c>
      <c r="O506">
        <v>5.25</v>
      </c>
      <c r="P506" t="s">
        <v>27</v>
      </c>
      <c r="Q506" t="s">
        <v>27</v>
      </c>
      <c r="R506">
        <v>6.3200001716613796</v>
      </c>
      <c r="S506">
        <v>20.75</v>
      </c>
      <c r="T506">
        <v>59.282238006591797</v>
      </c>
      <c r="U506">
        <v>20.3412055969238</v>
      </c>
      <c r="V506">
        <v>-162946000</v>
      </c>
      <c r="W506">
        <v>-17.801048278808601</v>
      </c>
      <c r="X506">
        <v>-0.25</v>
      </c>
      <c r="Y506" t="s">
        <v>27</v>
      </c>
      <c r="Z506">
        <v>-17.682020187377901</v>
      </c>
      <c r="AA506">
        <v>244026992</v>
      </c>
      <c r="AB506" t="s">
        <v>27</v>
      </c>
      <c r="AC506" t="s">
        <v>27</v>
      </c>
      <c r="AD506">
        <v>-0.31000000238418601</v>
      </c>
      <c r="AE506">
        <v>34.331512451171903</v>
      </c>
      <c r="AF506" t="s">
        <v>27</v>
      </c>
      <c r="AG506">
        <v>244520992</v>
      </c>
      <c r="AH506">
        <v>67.308639526367202</v>
      </c>
      <c r="AI506">
        <v>-18.881853103637699</v>
      </c>
    </row>
    <row r="507" spans="1:35">
      <c r="A507">
        <f t="shared" si="64"/>
        <v>0</v>
      </c>
      <c r="B507">
        <f t="shared" si="65"/>
        <v>0</v>
      </c>
      <c r="C507">
        <f t="shared" si="66"/>
        <v>0</v>
      </c>
      <c r="D507">
        <f t="shared" si="67"/>
        <v>0</v>
      </c>
      <c r="E507">
        <f t="shared" si="68"/>
        <v>0</v>
      </c>
      <c r="F507">
        <f t="shared" si="69"/>
        <v>0</v>
      </c>
      <c r="G507">
        <f t="shared" si="70"/>
        <v>0</v>
      </c>
      <c r="H507">
        <v>0</v>
      </c>
      <c r="I507">
        <f t="shared" si="71"/>
        <v>0</v>
      </c>
      <c r="J507">
        <v>0</v>
      </c>
      <c r="K507" t="s">
        <v>2440</v>
      </c>
      <c r="L507" t="s">
        <v>2441</v>
      </c>
      <c r="M507" t="s">
        <v>27</v>
      </c>
      <c r="N507" t="s">
        <v>27</v>
      </c>
      <c r="O507">
        <v>1.72</v>
      </c>
      <c r="P507" t="s">
        <v>27</v>
      </c>
      <c r="Q507" t="s">
        <v>27</v>
      </c>
      <c r="R507">
        <v>4.0999999046325701</v>
      </c>
      <c r="S507">
        <v>5.125</v>
      </c>
      <c r="T507">
        <v>0.168253004550934</v>
      </c>
      <c r="U507">
        <v>73.121208190917997</v>
      </c>
      <c r="V507">
        <v>-4312000</v>
      </c>
      <c r="W507">
        <v>-14.2217617034912</v>
      </c>
      <c r="X507">
        <v>-0.20999999344348899</v>
      </c>
      <c r="Y507">
        <v>-13.1023616790771</v>
      </c>
      <c r="Z507">
        <v>-22.406639099121101</v>
      </c>
      <c r="AA507">
        <v>55600000</v>
      </c>
      <c r="AB507" t="s">
        <v>38</v>
      </c>
      <c r="AC507" t="s">
        <v>157</v>
      </c>
      <c r="AD507">
        <v>-0.68999999761581399</v>
      </c>
      <c r="AE507">
        <v>-5.7734050750732404</v>
      </c>
      <c r="AF507" t="s">
        <v>27</v>
      </c>
      <c r="AG507">
        <v>56160000</v>
      </c>
      <c r="AH507">
        <v>1.0987459421157799</v>
      </c>
      <c r="AI507">
        <v>-29.482862472534201</v>
      </c>
    </row>
    <row r="508" spans="1:35">
      <c r="A508">
        <f t="shared" si="64"/>
        <v>0</v>
      </c>
      <c r="B508">
        <f t="shared" si="65"/>
        <v>0</v>
      </c>
      <c r="C508">
        <f t="shared" si="66"/>
        <v>1</v>
      </c>
      <c r="D508">
        <f t="shared" si="67"/>
        <v>0</v>
      </c>
      <c r="E508">
        <f t="shared" si="68"/>
        <v>0</v>
      </c>
      <c r="F508">
        <f t="shared" si="69"/>
        <v>1</v>
      </c>
      <c r="G508">
        <f t="shared" si="70"/>
        <v>1</v>
      </c>
      <c r="H508">
        <v>0</v>
      </c>
      <c r="I508">
        <f t="shared" si="71"/>
        <v>0</v>
      </c>
      <c r="J508">
        <v>0</v>
      </c>
      <c r="K508" t="s">
        <v>2458</v>
      </c>
      <c r="L508" t="s">
        <v>2459</v>
      </c>
      <c r="M508" t="s">
        <v>27</v>
      </c>
      <c r="N508" t="s">
        <v>27</v>
      </c>
      <c r="O508">
        <v>5.25</v>
      </c>
      <c r="P508">
        <v>0.25652599334716802</v>
      </c>
      <c r="Q508" t="s">
        <v>27</v>
      </c>
      <c r="R508">
        <v>20.700000762939499</v>
      </c>
      <c r="S508">
        <v>22.350000381469702</v>
      </c>
      <c r="T508">
        <v>42.0827026367188</v>
      </c>
      <c r="U508">
        <v>13.796710014343301</v>
      </c>
      <c r="V508">
        <v>9537001</v>
      </c>
      <c r="W508">
        <v>2.4188079833984402</v>
      </c>
      <c r="X508">
        <v>0.36000001430511502</v>
      </c>
      <c r="Y508">
        <v>9.2307691574096697</v>
      </c>
      <c r="Z508">
        <v>9.4090909957885707</v>
      </c>
      <c r="AA508">
        <v>23118892</v>
      </c>
      <c r="AB508" t="s">
        <v>27</v>
      </c>
      <c r="AC508" t="s">
        <v>27</v>
      </c>
      <c r="AD508">
        <v>0.36000001430511502</v>
      </c>
      <c r="AE508">
        <v>41.533714294433601</v>
      </c>
      <c r="AF508">
        <v>12.5312492011013</v>
      </c>
      <c r="AG508">
        <v>23717000</v>
      </c>
      <c r="AH508">
        <v>52.047737121582003</v>
      </c>
      <c r="AI508">
        <v>2.0413889884948699</v>
      </c>
    </row>
    <row r="509" spans="1:35">
      <c r="A509">
        <f t="shared" si="64"/>
        <v>0</v>
      </c>
      <c r="B509">
        <f t="shared" si="65"/>
        <v>0</v>
      </c>
      <c r="C509">
        <f t="shared" si="66"/>
        <v>0</v>
      </c>
      <c r="D509">
        <f t="shared" si="67"/>
        <v>0</v>
      </c>
      <c r="E509">
        <f t="shared" si="68"/>
        <v>0</v>
      </c>
      <c r="F509">
        <f t="shared" si="69"/>
        <v>0</v>
      </c>
      <c r="G509">
        <f t="shared" si="70"/>
        <v>0</v>
      </c>
      <c r="H509">
        <v>0</v>
      </c>
      <c r="I509">
        <f t="shared" si="71"/>
        <v>0</v>
      </c>
      <c r="J509">
        <v>0</v>
      </c>
      <c r="K509" t="s">
        <v>2460</v>
      </c>
      <c r="L509" t="s">
        <v>2461</v>
      </c>
      <c r="M509" t="s">
        <v>27</v>
      </c>
      <c r="N509" t="s">
        <v>27</v>
      </c>
      <c r="O509">
        <v>1.982</v>
      </c>
      <c r="P509">
        <v>-2.0474419593811</v>
      </c>
      <c r="Q509" t="s">
        <v>27</v>
      </c>
      <c r="R509">
        <v>10.449999809265099</v>
      </c>
      <c r="S509">
        <v>9.1875</v>
      </c>
      <c r="T509">
        <v>0</v>
      </c>
      <c r="U509">
        <v>83.038894653320298</v>
      </c>
      <c r="V509">
        <v>-4270000</v>
      </c>
      <c r="W509">
        <v>13.2285614013672</v>
      </c>
      <c r="X509">
        <v>-5.9999998658895499E-2</v>
      </c>
      <c r="Y509">
        <v>0.51665002107620195</v>
      </c>
      <c r="Z509">
        <v>-0.81632602214813199</v>
      </c>
      <c r="AA509">
        <v>20209000</v>
      </c>
      <c r="AB509" t="s">
        <v>27</v>
      </c>
      <c r="AC509" t="s">
        <v>27</v>
      </c>
      <c r="AD509">
        <v>-7.9999998211860698E-2</v>
      </c>
      <c r="AE509">
        <v>81.180641174316406</v>
      </c>
      <c r="AF509" t="s">
        <v>27</v>
      </c>
      <c r="AG509">
        <v>19717000</v>
      </c>
      <c r="AH509">
        <v>0</v>
      </c>
      <c r="AI509">
        <v>-8.8120260238647496</v>
      </c>
    </row>
    <row r="510" spans="1:35">
      <c r="A510">
        <f t="shared" si="64"/>
        <v>0</v>
      </c>
      <c r="B510">
        <f t="shared" si="65"/>
        <v>0</v>
      </c>
      <c r="C510">
        <f t="shared" si="66"/>
        <v>1</v>
      </c>
      <c r="D510">
        <f t="shared" si="67"/>
        <v>0</v>
      </c>
      <c r="E510">
        <f t="shared" si="68"/>
        <v>1</v>
      </c>
      <c r="F510">
        <f t="shared" si="69"/>
        <v>1</v>
      </c>
      <c r="G510">
        <f t="shared" si="70"/>
        <v>0</v>
      </c>
      <c r="H510">
        <v>0</v>
      </c>
      <c r="I510">
        <f t="shared" si="71"/>
        <v>1</v>
      </c>
      <c r="J510">
        <v>0</v>
      </c>
      <c r="K510" t="s">
        <v>2462</v>
      </c>
      <c r="L510" t="s">
        <v>2463</v>
      </c>
      <c r="M510" t="s">
        <v>27</v>
      </c>
      <c r="N510" t="s">
        <v>27</v>
      </c>
      <c r="O510">
        <v>34.950000000000003</v>
      </c>
      <c r="P510" t="s">
        <v>27</v>
      </c>
      <c r="Q510" t="s">
        <v>27</v>
      </c>
      <c r="R510">
        <v>16.700000762939499</v>
      </c>
      <c r="S510">
        <v>5.53999996185303</v>
      </c>
      <c r="T510" t="s">
        <v>27</v>
      </c>
      <c r="U510" t="s">
        <v>27</v>
      </c>
      <c r="V510" t="s">
        <v>27</v>
      </c>
      <c r="W510" t="s">
        <v>27</v>
      </c>
      <c r="X510" t="s">
        <v>27</v>
      </c>
      <c r="Y510" t="s">
        <v>27</v>
      </c>
      <c r="Z510" t="s">
        <v>27</v>
      </c>
      <c r="AA510" t="s">
        <v>27</v>
      </c>
      <c r="AB510" t="s">
        <v>38</v>
      </c>
      <c r="AC510" t="s">
        <v>157</v>
      </c>
      <c r="AD510" t="s">
        <v>27</v>
      </c>
      <c r="AE510" t="s">
        <v>27</v>
      </c>
      <c r="AF510" t="s">
        <v>27</v>
      </c>
      <c r="AG510" t="s">
        <v>27</v>
      </c>
      <c r="AH510" t="s">
        <v>27</v>
      </c>
      <c r="AI510" t="s">
        <v>27</v>
      </c>
    </row>
    <row r="511" spans="1:35">
      <c r="A511">
        <f t="shared" si="64"/>
        <v>0</v>
      </c>
      <c r="B511">
        <f t="shared" si="65"/>
        <v>0</v>
      </c>
      <c r="C511">
        <f t="shared" si="66"/>
        <v>1</v>
      </c>
      <c r="D511">
        <f t="shared" si="67"/>
        <v>0</v>
      </c>
      <c r="E511">
        <f t="shared" si="68"/>
        <v>0</v>
      </c>
      <c r="F511">
        <f t="shared" si="69"/>
        <v>0</v>
      </c>
      <c r="G511">
        <f t="shared" si="70"/>
        <v>0</v>
      </c>
      <c r="H511">
        <v>0</v>
      </c>
      <c r="I511">
        <f t="shared" si="71"/>
        <v>0</v>
      </c>
      <c r="J511">
        <v>0</v>
      </c>
      <c r="K511" t="s">
        <v>2464</v>
      </c>
      <c r="L511" t="s">
        <v>2465</v>
      </c>
      <c r="M511" t="s">
        <v>27</v>
      </c>
      <c r="N511" t="s">
        <v>27</v>
      </c>
      <c r="O511">
        <v>3.24</v>
      </c>
      <c r="P511">
        <v>0.70917898416519198</v>
      </c>
      <c r="Q511" t="s">
        <v>27</v>
      </c>
      <c r="R511">
        <v>5.2300000190734899</v>
      </c>
      <c r="S511">
        <v>8.625</v>
      </c>
      <c r="T511">
        <v>0</v>
      </c>
      <c r="U511">
        <v>70.765098571777301</v>
      </c>
      <c r="V511">
        <v>22153000</v>
      </c>
      <c r="W511">
        <v>2.70722508430481</v>
      </c>
      <c r="X511">
        <v>-0.109999999403954</v>
      </c>
      <c r="Y511">
        <v>2</v>
      </c>
      <c r="Z511">
        <v>1.12994301319122</v>
      </c>
      <c r="AA511">
        <v>327618016</v>
      </c>
      <c r="AB511" t="s">
        <v>27</v>
      </c>
      <c r="AC511" t="s">
        <v>27</v>
      </c>
      <c r="AD511">
        <v>-0.259999990463257</v>
      </c>
      <c r="AE511">
        <v>60.498329162597699</v>
      </c>
      <c r="AF511">
        <v>5.4823370769081601</v>
      </c>
      <c r="AG511">
        <v>362340992</v>
      </c>
      <c r="AH511">
        <v>0</v>
      </c>
      <c r="AI511">
        <v>-15.0908975601196</v>
      </c>
    </row>
    <row r="512" spans="1:35">
      <c r="A512">
        <f t="shared" si="64"/>
        <v>1</v>
      </c>
      <c r="B512">
        <f t="shared" si="65"/>
        <v>1</v>
      </c>
      <c r="C512">
        <f t="shared" si="66"/>
        <v>1</v>
      </c>
      <c r="D512">
        <f t="shared" si="67"/>
        <v>0</v>
      </c>
      <c r="E512">
        <f t="shared" si="68"/>
        <v>0</v>
      </c>
      <c r="F512">
        <f t="shared" si="69"/>
        <v>1</v>
      </c>
      <c r="G512">
        <f t="shared" si="70"/>
        <v>0</v>
      </c>
      <c r="H512">
        <v>0</v>
      </c>
      <c r="I512">
        <f t="shared" si="71"/>
        <v>0</v>
      </c>
      <c r="J512">
        <v>0</v>
      </c>
      <c r="K512" t="s">
        <v>2466</v>
      </c>
      <c r="L512" t="s">
        <v>2467</v>
      </c>
      <c r="M512" t="s">
        <v>27</v>
      </c>
      <c r="N512" t="s">
        <v>27</v>
      </c>
      <c r="O512">
        <v>7.75</v>
      </c>
      <c r="P512" t="s">
        <v>27</v>
      </c>
      <c r="Q512" t="s">
        <v>27</v>
      </c>
      <c r="R512">
        <v>16.329999923706101</v>
      </c>
      <c r="S512">
        <v>40.0625</v>
      </c>
      <c r="T512">
        <v>0.98385298252105702</v>
      </c>
      <c r="U512">
        <v>55.854160308837898</v>
      </c>
      <c r="V512">
        <v>5019000</v>
      </c>
      <c r="W512">
        <v>21.5572319030762</v>
      </c>
      <c r="X512">
        <v>0.15999999642372101</v>
      </c>
      <c r="Y512">
        <v>1.6842110157012899</v>
      </c>
      <c r="Z512">
        <v>4.4198889732360804</v>
      </c>
      <c r="AA512">
        <v>22090000</v>
      </c>
      <c r="AB512" t="s">
        <v>27</v>
      </c>
      <c r="AC512" t="s">
        <v>27</v>
      </c>
      <c r="AD512">
        <v>0.109999999403954</v>
      </c>
      <c r="AE512">
        <v>52.109970092773402</v>
      </c>
      <c r="AF512">
        <v>12.478480694143199</v>
      </c>
      <c r="AG512">
        <v>22435000</v>
      </c>
      <c r="AH512">
        <v>0.23178699612617501</v>
      </c>
      <c r="AI512">
        <v>24.402339935302699</v>
      </c>
    </row>
    <row r="513" spans="1:35">
      <c r="A513">
        <f t="shared" si="64"/>
        <v>0</v>
      </c>
      <c r="B513">
        <f t="shared" si="65"/>
        <v>1</v>
      </c>
      <c r="C513">
        <f t="shared" si="66"/>
        <v>1</v>
      </c>
      <c r="D513">
        <f t="shared" si="67"/>
        <v>1</v>
      </c>
      <c r="E513">
        <f t="shared" si="68"/>
        <v>0</v>
      </c>
      <c r="F513">
        <f t="shared" si="69"/>
        <v>0</v>
      </c>
      <c r="G513">
        <f t="shared" si="70"/>
        <v>1</v>
      </c>
      <c r="H513">
        <v>0</v>
      </c>
      <c r="I513">
        <f t="shared" si="71"/>
        <v>0</v>
      </c>
      <c r="J513">
        <v>0</v>
      </c>
      <c r="K513" t="s">
        <v>2468</v>
      </c>
      <c r="L513" t="s">
        <v>2469</v>
      </c>
      <c r="M513" t="s">
        <v>27</v>
      </c>
      <c r="N513" t="s">
        <v>27</v>
      </c>
      <c r="O513">
        <v>6.72</v>
      </c>
      <c r="P513" t="s">
        <v>27</v>
      </c>
      <c r="Q513" t="s">
        <v>27</v>
      </c>
      <c r="R513">
        <v>8.2899999618530291</v>
      </c>
      <c r="S513">
        <v>10.800000190734901</v>
      </c>
      <c r="T513">
        <v>21.1368198394775</v>
      </c>
      <c r="U513">
        <v>3.6268999576568599</v>
      </c>
      <c r="V513">
        <v>385999.96875</v>
      </c>
      <c r="W513">
        <v>-12.7803707122803</v>
      </c>
      <c r="X513">
        <v>-0.18999999761581399</v>
      </c>
      <c r="Y513">
        <v>-8.0716419219970703</v>
      </c>
      <c r="Z513">
        <v>8.3823528289794904</v>
      </c>
      <c r="AA513">
        <v>22008000</v>
      </c>
      <c r="AB513" t="s">
        <v>27</v>
      </c>
      <c r="AC513" t="s">
        <v>27</v>
      </c>
      <c r="AD513">
        <v>-1.9999999552965199E-2</v>
      </c>
      <c r="AE513">
        <v>6.4074621200561497</v>
      </c>
      <c r="AF513" t="s">
        <v>27</v>
      </c>
      <c r="AG513">
        <v>20646000</v>
      </c>
      <c r="AH513">
        <v>23.484128952026399</v>
      </c>
      <c r="AI513">
        <v>-6.5525407791137704</v>
      </c>
    </row>
    <row r="514" spans="1:35">
      <c r="A514">
        <f t="shared" si="64"/>
        <v>0</v>
      </c>
      <c r="B514">
        <f t="shared" si="65"/>
        <v>0</v>
      </c>
      <c r="C514">
        <f t="shared" si="66"/>
        <v>0</v>
      </c>
      <c r="D514">
        <f t="shared" si="67"/>
        <v>1</v>
      </c>
      <c r="E514">
        <f t="shared" si="68"/>
        <v>0</v>
      </c>
      <c r="F514">
        <f t="shared" si="69"/>
        <v>1</v>
      </c>
      <c r="G514">
        <f t="shared" si="70"/>
        <v>1</v>
      </c>
      <c r="H514">
        <v>0</v>
      </c>
      <c r="I514">
        <f t="shared" si="71"/>
        <v>0</v>
      </c>
      <c r="J514">
        <v>0</v>
      </c>
      <c r="K514" t="s">
        <v>2470</v>
      </c>
      <c r="L514" t="s">
        <v>2471</v>
      </c>
      <c r="M514" t="s">
        <v>27</v>
      </c>
      <c r="N514" t="s">
        <v>27</v>
      </c>
      <c r="O514">
        <v>5.4189999999999996</v>
      </c>
      <c r="P514" t="s">
        <v>27</v>
      </c>
      <c r="Q514" t="s">
        <v>27</v>
      </c>
      <c r="R514">
        <v>9.75</v>
      </c>
      <c r="S514">
        <v>12.9375</v>
      </c>
      <c r="T514">
        <v>25.620691299438501</v>
      </c>
      <c r="U514">
        <v>22.008581161498999</v>
      </c>
      <c r="V514">
        <v>-5513000</v>
      </c>
      <c r="W514">
        <v>15.878690719604499</v>
      </c>
      <c r="X514">
        <v>0.33999999364217098</v>
      </c>
      <c r="Y514" t="s">
        <v>27</v>
      </c>
      <c r="Z514" t="s">
        <v>27</v>
      </c>
      <c r="AA514">
        <v>15028500</v>
      </c>
      <c r="AB514" t="s">
        <v>27</v>
      </c>
      <c r="AC514" t="s">
        <v>27</v>
      </c>
      <c r="AD514">
        <v>0.40999999642372098</v>
      </c>
      <c r="AE514">
        <v>22.755649566650401</v>
      </c>
      <c r="AF514" t="s">
        <v>27</v>
      </c>
      <c r="AG514">
        <v>16502001</v>
      </c>
      <c r="AH514">
        <v>34.297565460205099</v>
      </c>
      <c r="AI514">
        <v>9.8902940750122106</v>
      </c>
    </row>
    <row r="515" spans="1:35">
      <c r="A515">
        <f t="shared" si="64"/>
        <v>1</v>
      </c>
      <c r="B515">
        <f t="shared" si="65"/>
        <v>0</v>
      </c>
      <c r="C515">
        <f t="shared" si="66"/>
        <v>1</v>
      </c>
      <c r="D515">
        <f t="shared" si="67"/>
        <v>1</v>
      </c>
      <c r="E515">
        <f t="shared" si="68"/>
        <v>0</v>
      </c>
      <c r="F515">
        <f t="shared" si="69"/>
        <v>0</v>
      </c>
      <c r="G515">
        <f t="shared" si="70"/>
        <v>1</v>
      </c>
      <c r="H515">
        <v>0</v>
      </c>
      <c r="I515">
        <f t="shared" si="71"/>
        <v>1</v>
      </c>
      <c r="J515">
        <v>0</v>
      </c>
      <c r="K515" t="s">
        <v>2474</v>
      </c>
      <c r="L515" t="s">
        <v>2475</v>
      </c>
      <c r="M515" t="s">
        <v>27</v>
      </c>
      <c r="N515" t="s">
        <v>27</v>
      </c>
      <c r="O515">
        <v>4.72</v>
      </c>
      <c r="P515" t="s">
        <v>27</v>
      </c>
      <c r="Q515" t="s">
        <v>27</v>
      </c>
      <c r="R515">
        <v>4.1799998283386204</v>
      </c>
      <c r="S515">
        <v>1.5</v>
      </c>
      <c r="T515">
        <v>3.5780560970306401</v>
      </c>
      <c r="U515">
        <v>78.281272888183594</v>
      </c>
      <c r="V515">
        <v>1873000.125</v>
      </c>
      <c r="W515">
        <v>-9.4066095352172905</v>
      </c>
      <c r="X515">
        <v>-0.15000000596046401</v>
      </c>
      <c r="Y515">
        <v>-12.549019813537599</v>
      </c>
      <c r="Z515">
        <v>8.5106382369995099</v>
      </c>
      <c r="AA515">
        <v>45979400</v>
      </c>
      <c r="AB515" t="s">
        <v>38</v>
      </c>
      <c r="AC515" t="s">
        <v>89</v>
      </c>
      <c r="AD515">
        <v>-5.9999998658895499E-2</v>
      </c>
      <c r="AE515">
        <v>79.503105163574205</v>
      </c>
      <c r="AF515">
        <v>15.783435212714201</v>
      </c>
      <c r="AG515">
        <v>50312000</v>
      </c>
      <c r="AH515">
        <v>0</v>
      </c>
      <c r="AI515">
        <v>-76.366317749023395</v>
      </c>
    </row>
    <row r="516" spans="1:35">
      <c r="A516">
        <f t="shared" si="64"/>
        <v>1</v>
      </c>
      <c r="B516">
        <f t="shared" si="65"/>
        <v>1</v>
      </c>
      <c r="C516">
        <f t="shared" si="66"/>
        <v>0</v>
      </c>
      <c r="D516">
        <f t="shared" si="67"/>
        <v>0</v>
      </c>
      <c r="E516">
        <f t="shared" si="68"/>
        <v>0</v>
      </c>
      <c r="F516">
        <f t="shared" si="69"/>
        <v>0</v>
      </c>
      <c r="G516">
        <f t="shared" si="70"/>
        <v>0</v>
      </c>
      <c r="H516">
        <v>0</v>
      </c>
      <c r="I516">
        <f t="shared" si="71"/>
        <v>0</v>
      </c>
      <c r="J516">
        <v>0</v>
      </c>
      <c r="K516" t="s">
        <v>2476</v>
      </c>
      <c r="L516" t="s">
        <v>2477</v>
      </c>
      <c r="M516" t="s">
        <v>27</v>
      </c>
      <c r="N516" t="s">
        <v>27</v>
      </c>
      <c r="O516">
        <v>2.5499999999999998</v>
      </c>
      <c r="P516" t="s">
        <v>27</v>
      </c>
      <c r="Q516" t="s">
        <v>27</v>
      </c>
      <c r="R516">
        <v>7.8899998664856001</v>
      </c>
      <c r="S516">
        <v>37.5625</v>
      </c>
      <c r="T516">
        <v>0.100897997617722</v>
      </c>
      <c r="U516">
        <v>78.596130371093807</v>
      </c>
      <c r="V516">
        <v>-7544000</v>
      </c>
      <c r="W516">
        <v>-49.9830932617188</v>
      </c>
      <c r="X516">
        <v>-0.15000000596046401</v>
      </c>
      <c r="Y516" t="s">
        <v>27</v>
      </c>
      <c r="Z516">
        <v>-16.307693481445298</v>
      </c>
      <c r="AA516">
        <v>31742000</v>
      </c>
      <c r="AB516" t="s">
        <v>27</v>
      </c>
      <c r="AC516" t="s">
        <v>27</v>
      </c>
      <c r="AD516">
        <v>-0.34999999403953602</v>
      </c>
      <c r="AE516">
        <v>61.856006622314503</v>
      </c>
      <c r="AF516" t="s">
        <v>27</v>
      </c>
      <c r="AG516">
        <v>32879002</v>
      </c>
      <c r="AH516">
        <v>0</v>
      </c>
      <c r="AI516">
        <v>-14.0959587097168</v>
      </c>
    </row>
    <row r="517" spans="1:35">
      <c r="A517">
        <f t="shared" si="64"/>
        <v>0</v>
      </c>
      <c r="B517">
        <f t="shared" si="65"/>
        <v>1</v>
      </c>
      <c r="C517">
        <f t="shared" si="66"/>
        <v>1</v>
      </c>
      <c r="D517">
        <f t="shared" si="67"/>
        <v>1</v>
      </c>
      <c r="E517">
        <f t="shared" si="68"/>
        <v>0</v>
      </c>
      <c r="F517">
        <f t="shared" si="69"/>
        <v>0</v>
      </c>
      <c r="G517">
        <f t="shared" si="70"/>
        <v>1</v>
      </c>
      <c r="H517">
        <v>0</v>
      </c>
      <c r="I517">
        <f t="shared" si="71"/>
        <v>0</v>
      </c>
      <c r="J517">
        <v>0</v>
      </c>
      <c r="K517" t="s">
        <v>2482</v>
      </c>
      <c r="L517" t="s">
        <v>2483</v>
      </c>
      <c r="M517" t="s">
        <v>27</v>
      </c>
      <c r="N517" t="s">
        <v>27</v>
      </c>
      <c r="O517">
        <v>6.9</v>
      </c>
      <c r="P517" t="s">
        <v>27</v>
      </c>
      <c r="Q517" t="s">
        <v>27</v>
      </c>
      <c r="R517">
        <v>14.5100002288818</v>
      </c>
      <c r="S517">
        <v>25.625</v>
      </c>
      <c r="T517">
        <v>0</v>
      </c>
      <c r="U517">
        <v>88.878440856933594</v>
      </c>
      <c r="V517">
        <v>3742000</v>
      </c>
      <c r="W517">
        <v>-37.753261566162102</v>
      </c>
      <c r="X517">
        <v>-0.5</v>
      </c>
      <c r="Y517" t="s">
        <v>27</v>
      </c>
      <c r="Z517">
        <v>0.51136398315429699</v>
      </c>
      <c r="AA517">
        <v>32834000</v>
      </c>
      <c r="AB517" t="s">
        <v>27</v>
      </c>
      <c r="AC517" t="s">
        <v>27</v>
      </c>
      <c r="AD517">
        <v>-0.28000000119209301</v>
      </c>
      <c r="AE517">
        <v>92.661262512207003</v>
      </c>
      <c r="AF517">
        <v>23.557451438259001</v>
      </c>
      <c r="AG517">
        <v>33551998</v>
      </c>
      <c r="AH517">
        <v>0</v>
      </c>
      <c r="AI517">
        <v>-23.588853836059599</v>
      </c>
    </row>
    <row r="518" spans="1:35">
      <c r="A518">
        <f t="shared" si="64"/>
        <v>1</v>
      </c>
      <c r="B518">
        <f t="shared" si="65"/>
        <v>0</v>
      </c>
      <c r="C518">
        <f t="shared" si="66"/>
        <v>0</v>
      </c>
      <c r="D518">
        <f t="shared" si="67"/>
        <v>1</v>
      </c>
      <c r="E518">
        <f t="shared" si="68"/>
        <v>0</v>
      </c>
      <c r="F518">
        <f t="shared" si="69"/>
        <v>0</v>
      </c>
      <c r="G518">
        <f t="shared" si="70"/>
        <v>1</v>
      </c>
      <c r="H518">
        <v>0</v>
      </c>
      <c r="I518">
        <f t="shared" si="71"/>
        <v>0</v>
      </c>
      <c r="J518">
        <v>0</v>
      </c>
      <c r="K518" t="s">
        <v>2484</v>
      </c>
      <c r="L518" t="s">
        <v>2485</v>
      </c>
      <c r="M518" t="s">
        <v>27</v>
      </c>
      <c r="N518" t="s">
        <v>27</v>
      </c>
      <c r="O518">
        <v>4.6399999999999997</v>
      </c>
      <c r="P518" t="s">
        <v>27</v>
      </c>
      <c r="Q518" t="s">
        <v>27</v>
      </c>
      <c r="R518">
        <v>15.9899997711182</v>
      </c>
      <c r="S518">
        <v>14.6099996566772</v>
      </c>
      <c r="T518">
        <v>49.872844696044901</v>
      </c>
      <c r="U518">
        <v>14.4393873214722</v>
      </c>
      <c r="V518">
        <v>-698753024</v>
      </c>
      <c r="W518" t="s">
        <v>27</v>
      </c>
      <c r="X518">
        <v>-0.25</v>
      </c>
      <c r="Y518">
        <v>-3.1077339649200399</v>
      </c>
      <c r="Z518">
        <v>-0.46357598900795</v>
      </c>
      <c r="AA518">
        <v>78450968</v>
      </c>
      <c r="AB518" t="s">
        <v>27</v>
      </c>
      <c r="AC518" t="s">
        <v>27</v>
      </c>
      <c r="AD518">
        <v>0.88999998569488503</v>
      </c>
      <c r="AE518">
        <v>15.5733375549316</v>
      </c>
      <c r="AF518" t="s">
        <v>27</v>
      </c>
      <c r="AG518">
        <v>102090000</v>
      </c>
      <c r="AH518">
        <v>37.771785736083999</v>
      </c>
      <c r="AI518">
        <v>-0.31938099861144997</v>
      </c>
    </row>
    <row r="519" spans="1:35">
      <c r="A519">
        <f t="shared" si="64"/>
        <v>1</v>
      </c>
      <c r="B519">
        <f t="shared" si="65"/>
        <v>0</v>
      </c>
      <c r="C519">
        <f t="shared" si="66"/>
        <v>1</v>
      </c>
      <c r="D519">
        <f t="shared" si="67"/>
        <v>0</v>
      </c>
      <c r="E519">
        <f t="shared" si="68"/>
        <v>0</v>
      </c>
      <c r="F519">
        <f t="shared" si="69"/>
        <v>0</v>
      </c>
      <c r="G519">
        <f t="shared" si="70"/>
        <v>0</v>
      </c>
      <c r="H519">
        <v>0</v>
      </c>
      <c r="I519">
        <f t="shared" si="71"/>
        <v>0</v>
      </c>
      <c r="J519">
        <v>0</v>
      </c>
      <c r="K519" t="s">
        <v>2488</v>
      </c>
      <c r="L519" t="s">
        <v>2489</v>
      </c>
      <c r="M519" t="s">
        <v>27</v>
      </c>
      <c r="N519" t="s">
        <v>27</v>
      </c>
      <c r="O519">
        <v>18.46</v>
      </c>
      <c r="P519">
        <v>23.297416687011701</v>
      </c>
      <c r="Q519" t="s">
        <v>27</v>
      </c>
      <c r="R519">
        <v>18.0100002288818</v>
      </c>
      <c r="S519">
        <v>17.889999389648398</v>
      </c>
      <c r="T519">
        <v>1.1875150203704801</v>
      </c>
      <c r="U519" t="s">
        <v>27</v>
      </c>
      <c r="V519">
        <v>1108000</v>
      </c>
      <c r="W519">
        <v>2.1962709426879901</v>
      </c>
      <c r="X519">
        <v>-0.30000001192092901</v>
      </c>
      <c r="Y519">
        <v>0.334728002548218</v>
      </c>
      <c r="Z519">
        <v>-11.214953422546399</v>
      </c>
      <c r="AA519">
        <v>9158000</v>
      </c>
      <c r="AB519" t="s">
        <v>27</v>
      </c>
      <c r="AC519" t="s">
        <v>27</v>
      </c>
      <c r="AD519">
        <v>-1.87000000476837</v>
      </c>
      <c r="AE519" t="s">
        <v>27</v>
      </c>
      <c r="AF519" t="s">
        <v>27</v>
      </c>
      <c r="AG519">
        <v>9261000</v>
      </c>
      <c r="AH519">
        <v>0.44395801424980202</v>
      </c>
      <c r="AI519">
        <v>-0.74119299650192305</v>
      </c>
    </row>
    <row r="520" spans="1:35">
      <c r="A520">
        <f t="shared" si="64"/>
        <v>1</v>
      </c>
      <c r="B520">
        <f t="shared" si="65"/>
        <v>1</v>
      </c>
      <c r="C520">
        <f t="shared" si="66"/>
        <v>1</v>
      </c>
      <c r="D520">
        <f t="shared" si="67"/>
        <v>0</v>
      </c>
      <c r="E520">
        <f t="shared" si="68"/>
        <v>0</v>
      </c>
      <c r="F520">
        <f t="shared" si="69"/>
        <v>0</v>
      </c>
      <c r="G520">
        <f t="shared" si="70"/>
        <v>0</v>
      </c>
      <c r="H520">
        <v>0</v>
      </c>
      <c r="I520">
        <f t="shared" si="71"/>
        <v>0</v>
      </c>
      <c r="J520">
        <v>0</v>
      </c>
      <c r="K520" t="s">
        <v>2492</v>
      </c>
      <c r="L520" t="s">
        <v>2493</v>
      </c>
      <c r="M520" t="s">
        <v>27</v>
      </c>
      <c r="N520" t="s">
        <v>27</v>
      </c>
      <c r="O520">
        <v>3.25</v>
      </c>
      <c r="P520" t="s">
        <v>27</v>
      </c>
      <c r="Q520" t="s">
        <v>27</v>
      </c>
      <c r="R520">
        <v>16.25</v>
      </c>
      <c r="S520">
        <v>8.125</v>
      </c>
      <c r="T520">
        <v>8.0699997488409302E-4</v>
      </c>
      <c r="U520">
        <v>50.919822692871101</v>
      </c>
      <c r="V520">
        <v>3347000</v>
      </c>
      <c r="W520">
        <v>-14.9290962219238</v>
      </c>
      <c r="X520">
        <v>1.9999999552965199E-2</v>
      </c>
      <c r="Y520">
        <v>-1.38812804222107</v>
      </c>
      <c r="Z520">
        <v>-1.1538460254669201</v>
      </c>
      <c r="AA520">
        <v>54204000</v>
      </c>
      <c r="AB520" t="s">
        <v>27</v>
      </c>
      <c r="AC520" t="s">
        <v>27</v>
      </c>
      <c r="AD520">
        <v>-0.109999999403954</v>
      </c>
      <c r="AE520">
        <v>48.776309967041001</v>
      </c>
      <c r="AF520" t="s">
        <v>27</v>
      </c>
      <c r="AG520">
        <v>54763000</v>
      </c>
      <c r="AH520">
        <v>0</v>
      </c>
      <c r="AI520">
        <v>-13.903445243835399</v>
      </c>
    </row>
    <row r="521" spans="1:35">
      <c r="A521">
        <f t="shared" si="64"/>
        <v>0</v>
      </c>
      <c r="B521">
        <f t="shared" si="65"/>
        <v>0</v>
      </c>
      <c r="C521">
        <f t="shared" si="66"/>
        <v>1</v>
      </c>
      <c r="D521">
        <f t="shared" si="67"/>
        <v>0</v>
      </c>
      <c r="E521">
        <f t="shared" si="68"/>
        <v>1</v>
      </c>
      <c r="F521">
        <f t="shared" si="69"/>
        <v>1</v>
      </c>
      <c r="G521">
        <f t="shared" si="70"/>
        <v>0</v>
      </c>
      <c r="H521">
        <v>0</v>
      </c>
      <c r="I521">
        <f t="shared" si="71"/>
        <v>1</v>
      </c>
      <c r="J521">
        <v>0</v>
      </c>
      <c r="K521" t="s">
        <v>2496</v>
      </c>
      <c r="L521" t="s">
        <v>2497</v>
      </c>
      <c r="M521" t="s">
        <v>27</v>
      </c>
      <c r="N521" t="s">
        <v>27</v>
      </c>
      <c r="O521">
        <v>19.2</v>
      </c>
      <c r="P521" t="s">
        <v>27</v>
      </c>
      <c r="Q521" t="s">
        <v>27</v>
      </c>
      <c r="R521">
        <v>16.4799995422363</v>
      </c>
      <c r="S521">
        <v>0.25</v>
      </c>
      <c r="T521" t="s">
        <v>27</v>
      </c>
      <c r="U521" t="s">
        <v>27</v>
      </c>
      <c r="V521" t="s">
        <v>27</v>
      </c>
      <c r="W521" t="s">
        <v>27</v>
      </c>
      <c r="X521" t="s">
        <v>27</v>
      </c>
      <c r="Y521" t="s">
        <v>27</v>
      </c>
      <c r="Z521" t="s">
        <v>27</v>
      </c>
      <c r="AA521" t="s">
        <v>27</v>
      </c>
      <c r="AB521" t="s">
        <v>27</v>
      </c>
      <c r="AC521" t="s">
        <v>27</v>
      </c>
      <c r="AD521" t="s">
        <v>27</v>
      </c>
      <c r="AE521" t="s">
        <v>27</v>
      </c>
      <c r="AF521" t="s">
        <v>27</v>
      </c>
      <c r="AG521" t="s">
        <v>27</v>
      </c>
      <c r="AH521" t="s">
        <v>27</v>
      </c>
      <c r="AI521">
        <v>13.2776527404785</v>
      </c>
    </row>
    <row r="522" spans="1:35">
      <c r="A522">
        <f t="shared" si="64"/>
        <v>0</v>
      </c>
      <c r="B522">
        <f t="shared" si="65"/>
        <v>0</v>
      </c>
      <c r="C522">
        <f t="shared" si="66"/>
        <v>0</v>
      </c>
      <c r="D522">
        <f t="shared" si="67"/>
        <v>1</v>
      </c>
      <c r="E522">
        <f t="shared" si="68"/>
        <v>0</v>
      </c>
      <c r="F522">
        <f t="shared" si="69"/>
        <v>0</v>
      </c>
      <c r="G522">
        <f t="shared" si="70"/>
        <v>0</v>
      </c>
      <c r="H522">
        <v>0</v>
      </c>
      <c r="I522">
        <f t="shared" si="71"/>
        <v>0</v>
      </c>
      <c r="J522">
        <v>0</v>
      </c>
      <c r="K522" t="s">
        <v>2502</v>
      </c>
      <c r="L522" t="s">
        <v>2503</v>
      </c>
      <c r="M522" t="s">
        <v>27</v>
      </c>
      <c r="N522" t="s">
        <v>27</v>
      </c>
      <c r="O522">
        <v>0.94</v>
      </c>
      <c r="P522" t="s">
        <v>27</v>
      </c>
      <c r="Q522" t="s">
        <v>27</v>
      </c>
      <c r="R522">
        <v>4.6500000953674299</v>
      </c>
      <c r="S522">
        <v>64.625</v>
      </c>
      <c r="T522">
        <v>1.12387895584106</v>
      </c>
      <c r="U522">
        <v>44.617023468017599</v>
      </c>
      <c r="V522">
        <v>-7001000</v>
      </c>
      <c r="W522">
        <v>-27.151466369628899</v>
      </c>
      <c r="X522">
        <v>-0.46000000834464999</v>
      </c>
      <c r="Y522">
        <v>-1.1236219406127901</v>
      </c>
      <c r="Z522">
        <v>-2.7027029991149898</v>
      </c>
      <c r="AA522">
        <v>65165000</v>
      </c>
      <c r="AB522" t="s">
        <v>27</v>
      </c>
      <c r="AC522" t="s">
        <v>27</v>
      </c>
      <c r="AD522">
        <v>-0.30000001192092901</v>
      </c>
      <c r="AE522">
        <v>-31.944828033447301</v>
      </c>
      <c r="AF522" t="s">
        <v>27</v>
      </c>
      <c r="AG522">
        <v>66444000</v>
      </c>
      <c r="AH522">
        <v>9.5591583251953107</v>
      </c>
      <c r="AI522">
        <v>-41.464061737060497</v>
      </c>
    </row>
    <row r="523" spans="1:35">
      <c r="A523">
        <f t="shared" si="64"/>
        <v>1</v>
      </c>
      <c r="B523">
        <f t="shared" si="65"/>
        <v>0</v>
      </c>
      <c r="C523">
        <f t="shared" si="66"/>
        <v>0</v>
      </c>
      <c r="D523">
        <f t="shared" si="67"/>
        <v>0</v>
      </c>
      <c r="E523">
        <f t="shared" si="68"/>
        <v>0</v>
      </c>
      <c r="F523">
        <f t="shared" si="69"/>
        <v>0</v>
      </c>
      <c r="G523">
        <f t="shared" si="70"/>
        <v>0</v>
      </c>
      <c r="H523">
        <v>0</v>
      </c>
      <c r="I523">
        <f t="shared" si="71"/>
        <v>0</v>
      </c>
      <c r="J523">
        <v>0</v>
      </c>
      <c r="K523" t="s">
        <v>2504</v>
      </c>
      <c r="L523" t="s">
        <v>2505</v>
      </c>
      <c r="M523" t="s">
        <v>27</v>
      </c>
      <c r="N523" t="s">
        <v>27</v>
      </c>
      <c r="O523">
        <v>3.26</v>
      </c>
      <c r="P523" t="s">
        <v>27</v>
      </c>
      <c r="Q523" t="s">
        <v>27</v>
      </c>
      <c r="R523">
        <v>3.4500000476837198</v>
      </c>
      <c r="S523">
        <v>60.1875</v>
      </c>
      <c r="T523">
        <v>7.5638003647327395E-2</v>
      </c>
      <c r="U523">
        <v>22.480903625488299</v>
      </c>
      <c r="V523">
        <v>-25333000</v>
      </c>
      <c r="W523" t="s">
        <v>27</v>
      </c>
      <c r="X523">
        <v>-0.119999997317791</v>
      </c>
      <c r="Y523" t="s">
        <v>27</v>
      </c>
      <c r="Z523">
        <v>-12.074302673339799</v>
      </c>
      <c r="AA523">
        <v>63912000</v>
      </c>
      <c r="AB523" t="s">
        <v>27</v>
      </c>
      <c r="AC523" t="s">
        <v>27</v>
      </c>
      <c r="AD523">
        <v>-0.43000000715255698</v>
      </c>
      <c r="AE523">
        <v>-6.5917391777038601</v>
      </c>
      <c r="AF523" t="s">
        <v>27</v>
      </c>
      <c r="AG523">
        <v>75924000</v>
      </c>
      <c r="AH523">
        <v>4.1602998971939101E-2</v>
      </c>
      <c r="AI523">
        <v>-11.1409797668457</v>
      </c>
    </row>
    <row r="524" spans="1:35">
      <c r="A524">
        <f t="shared" si="64"/>
        <v>0</v>
      </c>
      <c r="B524">
        <f t="shared" si="65"/>
        <v>0</v>
      </c>
      <c r="C524">
        <f t="shared" si="66"/>
        <v>0</v>
      </c>
      <c r="D524">
        <f t="shared" si="67"/>
        <v>0</v>
      </c>
      <c r="E524">
        <f t="shared" si="68"/>
        <v>0</v>
      </c>
      <c r="F524">
        <f t="shared" si="69"/>
        <v>1</v>
      </c>
      <c r="G524">
        <f t="shared" si="70"/>
        <v>0</v>
      </c>
      <c r="H524">
        <v>0</v>
      </c>
      <c r="I524">
        <f t="shared" si="71"/>
        <v>0</v>
      </c>
      <c r="J524">
        <v>0</v>
      </c>
      <c r="K524" t="s">
        <v>2508</v>
      </c>
      <c r="L524" t="s">
        <v>2509</v>
      </c>
      <c r="M524" t="s">
        <v>27</v>
      </c>
      <c r="N524" t="s">
        <v>27</v>
      </c>
      <c r="O524">
        <v>2.89</v>
      </c>
      <c r="P524" t="s">
        <v>27</v>
      </c>
      <c r="Q524" t="s">
        <v>27</v>
      </c>
      <c r="R524">
        <v>8.3000001907348597</v>
      </c>
      <c r="S524">
        <v>7.5</v>
      </c>
      <c r="T524">
        <v>14.5927286148071</v>
      </c>
      <c r="U524" t="s">
        <v>27</v>
      </c>
      <c r="V524">
        <v>-18009000</v>
      </c>
      <c r="W524">
        <v>0.60017102956771895</v>
      </c>
      <c r="X524">
        <v>-9.9999997764825804E-3</v>
      </c>
      <c r="Y524">
        <v>-6.6382980346679696</v>
      </c>
      <c r="Z524">
        <v>-22.255201339721701</v>
      </c>
      <c r="AA524">
        <v>67152000</v>
      </c>
      <c r="AB524" t="s">
        <v>34</v>
      </c>
      <c r="AC524" t="s">
        <v>458</v>
      </c>
      <c r="AD524">
        <v>-1.08000004291534</v>
      </c>
      <c r="AE524" t="s">
        <v>27</v>
      </c>
      <c r="AF524" t="s">
        <v>27</v>
      </c>
      <c r="AG524">
        <v>67283000</v>
      </c>
      <c r="AH524">
        <v>22.8099975585938</v>
      </c>
      <c r="AI524">
        <v>7.9260997474193601E-2</v>
      </c>
    </row>
    <row r="525" spans="1:35">
      <c r="A525">
        <f t="shared" si="64"/>
        <v>1</v>
      </c>
      <c r="B525">
        <f t="shared" si="65"/>
        <v>1</v>
      </c>
      <c r="C525">
        <f t="shared" si="66"/>
        <v>1</v>
      </c>
      <c r="D525">
        <f t="shared" si="67"/>
        <v>0</v>
      </c>
      <c r="E525">
        <f t="shared" si="68"/>
        <v>1</v>
      </c>
      <c r="F525">
        <f t="shared" si="69"/>
        <v>1</v>
      </c>
      <c r="G525">
        <f t="shared" si="70"/>
        <v>0</v>
      </c>
      <c r="H525">
        <v>0</v>
      </c>
      <c r="I525">
        <f t="shared" si="71"/>
        <v>1</v>
      </c>
      <c r="J525">
        <v>0</v>
      </c>
      <c r="K525" t="s">
        <v>2510</v>
      </c>
      <c r="L525" t="s">
        <v>2511</v>
      </c>
      <c r="M525" t="s">
        <v>27</v>
      </c>
      <c r="N525" t="s">
        <v>27</v>
      </c>
      <c r="O525">
        <v>34.4</v>
      </c>
      <c r="P525" t="s">
        <v>27</v>
      </c>
      <c r="Q525" t="s">
        <v>27</v>
      </c>
      <c r="R525">
        <v>26.700000762939499</v>
      </c>
      <c r="S525" t="s">
        <v>27</v>
      </c>
      <c r="T525" t="s">
        <v>27</v>
      </c>
      <c r="U525" t="s">
        <v>27</v>
      </c>
      <c r="V525">
        <v>5705000</v>
      </c>
      <c r="W525">
        <v>-8.0729513168334996</v>
      </c>
      <c r="X525" t="s">
        <v>27</v>
      </c>
      <c r="Y525" t="s">
        <v>27</v>
      </c>
      <c r="Z525" t="s">
        <v>27</v>
      </c>
      <c r="AA525" t="s">
        <v>27</v>
      </c>
      <c r="AB525" t="s">
        <v>27</v>
      </c>
      <c r="AC525" t="s">
        <v>27</v>
      </c>
      <c r="AD525">
        <v>1.5900000333786</v>
      </c>
      <c r="AE525">
        <v>53.278850555419901</v>
      </c>
      <c r="AF525" t="s">
        <v>27</v>
      </c>
      <c r="AG525" t="s">
        <v>27</v>
      </c>
      <c r="AH525">
        <v>25.8175163269043</v>
      </c>
      <c r="AI525">
        <v>8.7381658554077095</v>
      </c>
    </row>
    <row r="526" spans="1:35">
      <c r="A526">
        <f t="shared" si="64"/>
        <v>1</v>
      </c>
      <c r="B526">
        <f t="shared" si="65"/>
        <v>0</v>
      </c>
      <c r="C526">
        <f t="shared" si="66"/>
        <v>1</v>
      </c>
      <c r="D526">
        <f t="shared" si="67"/>
        <v>0</v>
      </c>
      <c r="E526">
        <f t="shared" si="68"/>
        <v>0</v>
      </c>
      <c r="F526">
        <f t="shared" si="69"/>
        <v>1</v>
      </c>
      <c r="G526">
        <f t="shared" si="70"/>
        <v>0</v>
      </c>
      <c r="H526">
        <v>0</v>
      </c>
      <c r="I526">
        <f t="shared" si="71"/>
        <v>0</v>
      </c>
      <c r="J526">
        <v>0</v>
      </c>
      <c r="K526" t="s">
        <v>2512</v>
      </c>
      <c r="L526" t="s">
        <v>2513</v>
      </c>
      <c r="M526" t="s">
        <v>27</v>
      </c>
      <c r="N526" t="s">
        <v>27</v>
      </c>
      <c r="O526">
        <v>17.03</v>
      </c>
      <c r="P526" t="s">
        <v>27</v>
      </c>
      <c r="Q526" t="s">
        <v>27</v>
      </c>
      <c r="R526">
        <v>16.219999313354499</v>
      </c>
      <c r="S526" t="s">
        <v>27</v>
      </c>
      <c r="T526" t="s">
        <v>27</v>
      </c>
      <c r="U526" t="s">
        <v>27</v>
      </c>
      <c r="V526" t="s">
        <v>27</v>
      </c>
      <c r="W526" t="s">
        <v>27</v>
      </c>
      <c r="X526">
        <v>0.30000001192092901</v>
      </c>
      <c r="Y526" t="s">
        <v>27</v>
      </c>
      <c r="Z526">
        <v>1.3778100013732899</v>
      </c>
      <c r="AA526" t="s">
        <v>27</v>
      </c>
      <c r="AB526" t="s">
        <v>27</v>
      </c>
      <c r="AC526" t="s">
        <v>27</v>
      </c>
      <c r="AD526">
        <v>-0.64999997615814198</v>
      </c>
      <c r="AE526" t="s">
        <v>27</v>
      </c>
      <c r="AF526" t="s">
        <v>27</v>
      </c>
      <c r="AG526">
        <v>65142996</v>
      </c>
      <c r="AH526">
        <v>4.3043270111084002</v>
      </c>
      <c r="AI526">
        <v>1.3149060010910001</v>
      </c>
    </row>
    <row r="527" spans="1:35">
      <c r="A527">
        <f t="shared" si="64"/>
        <v>1</v>
      </c>
      <c r="B527">
        <f t="shared" si="65"/>
        <v>0</v>
      </c>
      <c r="C527">
        <f t="shared" si="66"/>
        <v>1</v>
      </c>
      <c r="D527">
        <f t="shared" si="67"/>
        <v>0</v>
      </c>
      <c r="E527">
        <f t="shared" si="68"/>
        <v>0</v>
      </c>
      <c r="F527">
        <f t="shared" si="69"/>
        <v>0</v>
      </c>
      <c r="G527">
        <f t="shared" si="70"/>
        <v>0</v>
      </c>
      <c r="H527">
        <v>0</v>
      </c>
      <c r="I527">
        <f t="shared" si="71"/>
        <v>1</v>
      </c>
      <c r="J527">
        <v>0</v>
      </c>
      <c r="K527" t="s">
        <v>2514</v>
      </c>
      <c r="L527" t="s">
        <v>2515</v>
      </c>
      <c r="M527" t="s">
        <v>27</v>
      </c>
      <c r="N527" t="s">
        <v>27</v>
      </c>
      <c r="O527">
        <v>4.9000000000000004</v>
      </c>
      <c r="P527" t="s">
        <v>27</v>
      </c>
      <c r="Q527" t="s">
        <v>27</v>
      </c>
      <c r="R527">
        <v>4.1500000953674299</v>
      </c>
      <c r="S527">
        <v>3.71000003814697</v>
      </c>
      <c r="T527">
        <v>8.0495862960815394</v>
      </c>
      <c r="U527">
        <v>24.379035949706999</v>
      </c>
      <c r="V527">
        <v>106108000</v>
      </c>
      <c r="W527">
        <v>0.44523400068283098</v>
      </c>
      <c r="X527">
        <v>-0.20000000298023199</v>
      </c>
      <c r="Y527">
        <v>-7.1578950881957999</v>
      </c>
      <c r="Z527">
        <v>-23.920265197753899</v>
      </c>
      <c r="AA527">
        <v>113017000</v>
      </c>
      <c r="AB527" t="s">
        <v>27</v>
      </c>
      <c r="AC527" t="s">
        <v>27</v>
      </c>
      <c r="AD527">
        <v>-0.230000004172325</v>
      </c>
      <c r="AE527">
        <v>23.829238891601602</v>
      </c>
      <c r="AF527">
        <v>10.221425710493399</v>
      </c>
      <c r="AG527">
        <v>113346344</v>
      </c>
      <c r="AH527">
        <v>7.0672841072082502</v>
      </c>
      <c r="AI527">
        <v>-5.8255248069763201</v>
      </c>
    </row>
    <row r="528" spans="1:35">
      <c r="A528">
        <f t="shared" si="64"/>
        <v>1</v>
      </c>
      <c r="B528">
        <f t="shared" si="65"/>
        <v>0</v>
      </c>
      <c r="C528">
        <f t="shared" si="66"/>
        <v>1</v>
      </c>
      <c r="D528">
        <f t="shared" si="67"/>
        <v>1</v>
      </c>
      <c r="E528">
        <f t="shared" si="68"/>
        <v>0</v>
      </c>
      <c r="F528">
        <f t="shared" si="69"/>
        <v>1</v>
      </c>
      <c r="G528">
        <f t="shared" si="70"/>
        <v>0</v>
      </c>
      <c r="H528">
        <v>0</v>
      </c>
      <c r="I528">
        <f t="shared" si="71"/>
        <v>1</v>
      </c>
      <c r="J528">
        <v>0</v>
      </c>
      <c r="K528" t="s">
        <v>2518</v>
      </c>
      <c r="L528" t="s">
        <v>2519</v>
      </c>
      <c r="M528" t="s">
        <v>27</v>
      </c>
      <c r="N528" t="s">
        <v>27</v>
      </c>
      <c r="O528">
        <v>21.68</v>
      </c>
      <c r="P528" t="s">
        <v>27</v>
      </c>
      <c r="Q528" t="s">
        <v>27</v>
      </c>
      <c r="R528">
        <v>15.199999722567499</v>
      </c>
      <c r="S528">
        <v>10.254545731978</v>
      </c>
      <c r="T528" t="s">
        <v>27</v>
      </c>
      <c r="U528" t="s">
        <v>27</v>
      </c>
      <c r="V528">
        <v>59084000</v>
      </c>
      <c r="W528">
        <v>1.14022099971771</v>
      </c>
      <c r="X528">
        <v>-0.14545454762198701</v>
      </c>
      <c r="Y528">
        <v>4.5806450843811</v>
      </c>
      <c r="Z528">
        <v>6.5012412071228001</v>
      </c>
      <c r="AA528" t="s">
        <v>27</v>
      </c>
      <c r="AB528" t="s">
        <v>34</v>
      </c>
      <c r="AC528" t="s">
        <v>35</v>
      </c>
      <c r="AD528">
        <v>0.34909090128811898</v>
      </c>
      <c r="AE528" t="s">
        <v>27</v>
      </c>
      <c r="AF528" t="s">
        <v>27</v>
      </c>
      <c r="AG528">
        <v>19108764.125</v>
      </c>
      <c r="AH528">
        <v>51.319099426269503</v>
      </c>
      <c r="AI528">
        <v>0.43540701270103499</v>
      </c>
    </row>
    <row r="529" spans="1:35">
      <c r="A529">
        <f t="shared" si="64"/>
        <v>1</v>
      </c>
      <c r="B529">
        <f t="shared" si="65"/>
        <v>0</v>
      </c>
      <c r="C529">
        <f t="shared" si="66"/>
        <v>1</v>
      </c>
      <c r="D529">
        <f t="shared" si="67"/>
        <v>1</v>
      </c>
      <c r="E529">
        <f t="shared" si="68"/>
        <v>0</v>
      </c>
      <c r="F529">
        <f t="shared" si="69"/>
        <v>0</v>
      </c>
      <c r="G529">
        <f t="shared" si="70"/>
        <v>0</v>
      </c>
      <c r="H529">
        <v>0</v>
      </c>
      <c r="I529">
        <f t="shared" si="71"/>
        <v>0</v>
      </c>
      <c r="J529">
        <v>0</v>
      </c>
      <c r="K529" t="s">
        <v>2520</v>
      </c>
      <c r="L529" t="s">
        <v>2521</v>
      </c>
      <c r="M529" t="s">
        <v>27</v>
      </c>
      <c r="N529" t="s">
        <v>27</v>
      </c>
      <c r="O529">
        <v>12.18</v>
      </c>
      <c r="P529" t="s">
        <v>27</v>
      </c>
      <c r="Q529" t="s">
        <v>27</v>
      </c>
      <c r="R529">
        <v>16.579999923706101</v>
      </c>
      <c r="S529">
        <v>10.375</v>
      </c>
      <c r="T529">
        <v>4.9471960067748997</v>
      </c>
      <c r="U529" t="s">
        <v>27</v>
      </c>
      <c r="V529">
        <v>47656000</v>
      </c>
      <c r="W529">
        <v>2.46027803421021</v>
      </c>
      <c r="X529">
        <v>0.239999994635582</v>
      </c>
      <c r="Y529">
        <v>-4.5083742141723597</v>
      </c>
      <c r="Z529">
        <v>-4.3956890106201199</v>
      </c>
      <c r="AA529">
        <v>60074000</v>
      </c>
      <c r="AB529" t="s">
        <v>27</v>
      </c>
      <c r="AC529" t="s">
        <v>27</v>
      </c>
      <c r="AD529">
        <v>0.74000000953674305</v>
      </c>
      <c r="AE529" t="s">
        <v>27</v>
      </c>
      <c r="AF529" t="s">
        <v>27</v>
      </c>
      <c r="AG529">
        <v>60077000</v>
      </c>
      <c r="AH529">
        <v>4.6011309623718297</v>
      </c>
      <c r="AI529">
        <v>-1.76780498027802</v>
      </c>
    </row>
    <row r="530" spans="1:35">
      <c r="A530">
        <f t="shared" si="64"/>
        <v>1</v>
      </c>
      <c r="B530">
        <f t="shared" si="65"/>
        <v>0</v>
      </c>
      <c r="C530">
        <f t="shared" si="66"/>
        <v>1</v>
      </c>
      <c r="D530">
        <f t="shared" si="67"/>
        <v>0</v>
      </c>
      <c r="E530">
        <f t="shared" si="68"/>
        <v>0</v>
      </c>
      <c r="F530">
        <f t="shared" si="69"/>
        <v>1</v>
      </c>
      <c r="G530">
        <f t="shared" si="70"/>
        <v>0</v>
      </c>
      <c r="H530">
        <v>0</v>
      </c>
      <c r="I530">
        <f t="shared" si="71"/>
        <v>1</v>
      </c>
      <c r="J530">
        <v>0</v>
      </c>
      <c r="K530" t="s">
        <v>2522</v>
      </c>
      <c r="L530" t="s">
        <v>2523</v>
      </c>
      <c r="M530" t="s">
        <v>27</v>
      </c>
      <c r="N530" t="s">
        <v>27</v>
      </c>
      <c r="O530">
        <v>12</v>
      </c>
      <c r="P530" t="s">
        <v>27</v>
      </c>
      <c r="Q530" t="s">
        <v>27</v>
      </c>
      <c r="R530">
        <v>7.5</v>
      </c>
      <c r="S530" t="s">
        <v>27</v>
      </c>
      <c r="T530" t="s">
        <v>27</v>
      </c>
      <c r="U530" t="s">
        <v>27</v>
      </c>
      <c r="V530">
        <v>11934999</v>
      </c>
      <c r="W530" t="s">
        <v>27</v>
      </c>
      <c r="X530" t="s">
        <v>27</v>
      </c>
      <c r="Y530" t="s">
        <v>27</v>
      </c>
      <c r="Z530" t="s">
        <v>27</v>
      </c>
      <c r="AA530" t="s">
        <v>27</v>
      </c>
      <c r="AB530" t="s">
        <v>328</v>
      </c>
      <c r="AC530" t="s">
        <v>403</v>
      </c>
      <c r="AD530">
        <v>0.20999999344348899</v>
      </c>
      <c r="AE530">
        <v>16.091291427612301</v>
      </c>
      <c r="AF530">
        <v>8.9277380842324892</v>
      </c>
      <c r="AG530">
        <v>48232000</v>
      </c>
      <c r="AH530">
        <v>17.864673614501999</v>
      </c>
      <c r="AI530">
        <v>0.40842700004577598</v>
      </c>
    </row>
    <row r="531" spans="1:35">
      <c r="A531">
        <f t="shared" si="64"/>
        <v>1</v>
      </c>
      <c r="B531">
        <f t="shared" si="65"/>
        <v>0</v>
      </c>
      <c r="C531">
        <f t="shared" si="66"/>
        <v>0</v>
      </c>
      <c r="D531">
        <f t="shared" si="67"/>
        <v>0</v>
      </c>
      <c r="E531">
        <f t="shared" si="68"/>
        <v>0</v>
      </c>
      <c r="F531">
        <f t="shared" si="69"/>
        <v>1</v>
      </c>
      <c r="G531">
        <f t="shared" si="70"/>
        <v>0</v>
      </c>
      <c r="H531">
        <v>0</v>
      </c>
      <c r="I531">
        <f t="shared" si="71"/>
        <v>0</v>
      </c>
      <c r="J531">
        <v>0</v>
      </c>
      <c r="K531" t="s">
        <v>2524</v>
      </c>
      <c r="L531" t="s">
        <v>2525</v>
      </c>
      <c r="M531" t="s">
        <v>27</v>
      </c>
      <c r="N531" t="s">
        <v>27</v>
      </c>
      <c r="O531">
        <v>5.66</v>
      </c>
      <c r="P531">
        <v>4.6175160408020002</v>
      </c>
      <c r="Q531" t="s">
        <v>27</v>
      </c>
      <c r="R531">
        <v>8.0900001525878906</v>
      </c>
      <c r="S531">
        <v>4.5999999046325701</v>
      </c>
      <c r="T531">
        <v>43.099178314208999</v>
      </c>
      <c r="U531">
        <v>6.2893052101135298</v>
      </c>
      <c r="V531">
        <v>-19406000</v>
      </c>
      <c r="W531">
        <v>4.1583890914917001</v>
      </c>
      <c r="X531">
        <v>7.0000000298023196E-2</v>
      </c>
      <c r="Y531">
        <v>10.8333330154419</v>
      </c>
      <c r="Z531">
        <v>-0.256410002708435</v>
      </c>
      <c r="AA531">
        <v>15328000</v>
      </c>
      <c r="AB531" t="s">
        <v>27</v>
      </c>
      <c r="AC531" t="s">
        <v>27</v>
      </c>
      <c r="AD531">
        <v>9.9999997764825804E-3</v>
      </c>
      <c r="AE531">
        <v>5.8970007896423304</v>
      </c>
      <c r="AF531">
        <v>5.0898183703089401</v>
      </c>
      <c r="AG531">
        <v>14748000</v>
      </c>
      <c r="AH531">
        <v>33.905677795410199</v>
      </c>
      <c r="AI531">
        <v>5.7914000004530002E-2</v>
      </c>
    </row>
    <row r="532" spans="1:35">
      <c r="A532">
        <f t="shared" si="64"/>
        <v>1</v>
      </c>
      <c r="B532">
        <f t="shared" si="65"/>
        <v>0</v>
      </c>
      <c r="C532">
        <f t="shared" si="66"/>
        <v>1</v>
      </c>
      <c r="D532">
        <f t="shared" si="67"/>
        <v>1</v>
      </c>
      <c r="E532">
        <f t="shared" si="68"/>
        <v>0</v>
      </c>
      <c r="F532">
        <f t="shared" si="69"/>
        <v>0</v>
      </c>
      <c r="G532">
        <f t="shared" si="70"/>
        <v>0</v>
      </c>
      <c r="H532">
        <v>0</v>
      </c>
      <c r="I532">
        <f t="shared" si="71"/>
        <v>0</v>
      </c>
      <c r="J532">
        <v>0</v>
      </c>
      <c r="K532" t="s">
        <v>2534</v>
      </c>
      <c r="L532" t="s">
        <v>2535</v>
      </c>
      <c r="M532" t="s">
        <v>27</v>
      </c>
      <c r="N532" t="s">
        <v>27</v>
      </c>
      <c r="O532">
        <v>2.74</v>
      </c>
      <c r="P532" t="s">
        <v>27</v>
      </c>
      <c r="Q532" t="s">
        <v>27</v>
      </c>
      <c r="R532">
        <v>4.4099998474121103</v>
      </c>
      <c r="S532">
        <v>4.5199999809265101</v>
      </c>
      <c r="T532">
        <v>47.514068603515597</v>
      </c>
      <c r="U532" t="s">
        <v>27</v>
      </c>
      <c r="V532">
        <v>7448000</v>
      </c>
      <c r="W532">
        <v>1.92240798473358</v>
      </c>
      <c r="X532">
        <v>-3.5299999713897701</v>
      </c>
      <c r="Y532">
        <v>-27.797979354858398</v>
      </c>
      <c r="Z532">
        <v>0.92307698726654097</v>
      </c>
      <c r="AA532">
        <v>20025200</v>
      </c>
      <c r="AB532" t="s">
        <v>83</v>
      </c>
      <c r="AC532" t="s">
        <v>84</v>
      </c>
      <c r="AD532">
        <v>-0.34000000357627902</v>
      </c>
      <c r="AE532" t="s">
        <v>27</v>
      </c>
      <c r="AF532" t="s">
        <v>27</v>
      </c>
      <c r="AG532">
        <v>20076024</v>
      </c>
      <c r="AH532">
        <v>46.752262115478501</v>
      </c>
      <c r="AI532">
        <v>-5.05090379714966</v>
      </c>
    </row>
    <row r="533" spans="1:35">
      <c r="A533">
        <f t="shared" si="64"/>
        <v>0</v>
      </c>
      <c r="B533">
        <f t="shared" si="65"/>
        <v>0</v>
      </c>
      <c r="C533">
        <f t="shared" si="66"/>
        <v>1</v>
      </c>
      <c r="D533">
        <f t="shared" si="67"/>
        <v>0</v>
      </c>
      <c r="E533">
        <f t="shared" si="68"/>
        <v>1</v>
      </c>
      <c r="F533">
        <f t="shared" si="69"/>
        <v>0</v>
      </c>
      <c r="G533">
        <f t="shared" si="70"/>
        <v>0</v>
      </c>
      <c r="H533">
        <v>0</v>
      </c>
      <c r="I533">
        <f t="shared" si="71"/>
        <v>0</v>
      </c>
      <c r="J533">
        <v>0</v>
      </c>
      <c r="K533" t="s">
        <v>2536</v>
      </c>
      <c r="L533" t="s">
        <v>2537</v>
      </c>
      <c r="M533" t="s">
        <v>27</v>
      </c>
      <c r="N533" t="s">
        <v>27</v>
      </c>
      <c r="O533">
        <v>2.52</v>
      </c>
      <c r="P533" t="s">
        <v>27</v>
      </c>
      <c r="Q533" t="s">
        <v>27</v>
      </c>
      <c r="R533">
        <v>7.8699998855590803</v>
      </c>
      <c r="S533" t="s">
        <v>27</v>
      </c>
      <c r="T533" t="s">
        <v>27</v>
      </c>
      <c r="U533" t="s">
        <v>27</v>
      </c>
      <c r="V533" t="s">
        <v>27</v>
      </c>
      <c r="W533" t="s">
        <v>27</v>
      </c>
      <c r="X533" t="s">
        <v>27</v>
      </c>
      <c r="Y533" t="s">
        <v>27</v>
      </c>
      <c r="Z533" t="s">
        <v>27</v>
      </c>
      <c r="AA533" t="s">
        <v>27</v>
      </c>
      <c r="AB533" t="s">
        <v>73</v>
      </c>
      <c r="AC533" t="s">
        <v>220</v>
      </c>
      <c r="AD533" t="s">
        <v>27</v>
      </c>
      <c r="AE533" t="s">
        <v>27</v>
      </c>
      <c r="AF533" t="s">
        <v>27</v>
      </c>
      <c r="AG533" t="s">
        <v>27</v>
      </c>
      <c r="AH533" t="s">
        <v>27</v>
      </c>
      <c r="AI533">
        <v>-62.931552886962898</v>
      </c>
    </row>
    <row r="534" spans="1:35">
      <c r="A534">
        <f t="shared" si="64"/>
        <v>0</v>
      </c>
      <c r="B534">
        <f t="shared" si="65"/>
        <v>0</v>
      </c>
      <c r="C534">
        <f t="shared" si="66"/>
        <v>0</v>
      </c>
      <c r="D534">
        <f t="shared" si="67"/>
        <v>0</v>
      </c>
      <c r="E534">
        <f t="shared" si="68"/>
        <v>0</v>
      </c>
      <c r="F534">
        <f t="shared" si="69"/>
        <v>0</v>
      </c>
      <c r="G534">
        <f t="shared" si="70"/>
        <v>1</v>
      </c>
      <c r="H534">
        <v>0</v>
      </c>
      <c r="I534">
        <f t="shared" si="71"/>
        <v>1</v>
      </c>
      <c r="J534">
        <v>0</v>
      </c>
      <c r="K534" t="s">
        <v>2538</v>
      </c>
      <c r="L534" t="s">
        <v>2539</v>
      </c>
      <c r="M534" t="s">
        <v>27</v>
      </c>
      <c r="N534" t="s">
        <v>27</v>
      </c>
      <c r="O534">
        <v>13.63</v>
      </c>
      <c r="P534" t="s">
        <v>27</v>
      </c>
      <c r="Q534" t="s">
        <v>27</v>
      </c>
      <c r="R534">
        <v>10.25</v>
      </c>
      <c r="S534">
        <v>4.875</v>
      </c>
      <c r="T534">
        <v>0</v>
      </c>
      <c r="U534">
        <v>29.567581176757798</v>
      </c>
      <c r="V534">
        <v>-1246000</v>
      </c>
      <c r="W534">
        <v>18.6729640960693</v>
      </c>
      <c r="X534">
        <v>0.10000000149011599</v>
      </c>
      <c r="Y534" t="s">
        <v>27</v>
      </c>
      <c r="Z534">
        <v>0.32786899805068997</v>
      </c>
      <c r="AA534">
        <v>21885000</v>
      </c>
      <c r="AB534" t="s">
        <v>38</v>
      </c>
      <c r="AC534" t="s">
        <v>118</v>
      </c>
      <c r="AD534">
        <v>-0.17000000178813901</v>
      </c>
      <c r="AE534">
        <v>38.108440399169901</v>
      </c>
      <c r="AF534">
        <v>33.305650403380703</v>
      </c>
      <c r="AG534">
        <v>22104000</v>
      </c>
      <c r="AH534">
        <v>0</v>
      </c>
      <c r="AI534">
        <v>-22.0248699188232</v>
      </c>
    </row>
    <row r="535" spans="1:35">
      <c r="A535">
        <f t="shared" si="64"/>
        <v>0</v>
      </c>
      <c r="B535">
        <f t="shared" si="65"/>
        <v>0</v>
      </c>
      <c r="C535">
        <f t="shared" si="66"/>
        <v>1</v>
      </c>
      <c r="D535">
        <f t="shared" si="67"/>
        <v>1</v>
      </c>
      <c r="E535">
        <f t="shared" si="68"/>
        <v>0</v>
      </c>
      <c r="F535">
        <f t="shared" si="69"/>
        <v>1</v>
      </c>
      <c r="G535">
        <f t="shared" si="70"/>
        <v>1</v>
      </c>
      <c r="H535">
        <v>0</v>
      </c>
      <c r="I535">
        <f t="shared" si="71"/>
        <v>0</v>
      </c>
      <c r="J535">
        <v>0</v>
      </c>
      <c r="K535" t="s">
        <v>2540</v>
      </c>
      <c r="L535" t="s">
        <v>2541</v>
      </c>
      <c r="M535" t="s">
        <v>27</v>
      </c>
      <c r="N535" t="s">
        <v>27</v>
      </c>
      <c r="O535">
        <v>3.5</v>
      </c>
      <c r="P535" t="s">
        <v>27</v>
      </c>
      <c r="Q535" t="s">
        <v>27</v>
      </c>
      <c r="R535">
        <v>7.25</v>
      </c>
      <c r="S535">
        <v>6.5</v>
      </c>
      <c r="T535">
        <v>26.2329502105713</v>
      </c>
      <c r="U535">
        <v>21.189409255981399</v>
      </c>
      <c r="V535">
        <v>5899999.5</v>
      </c>
      <c r="W535">
        <v>5.1916689872741699</v>
      </c>
      <c r="X535">
        <v>9.9999997764825804E-3</v>
      </c>
      <c r="Y535" t="s">
        <v>27</v>
      </c>
      <c r="Z535" t="s">
        <v>27</v>
      </c>
      <c r="AA535">
        <v>39800000</v>
      </c>
      <c r="AB535" t="s">
        <v>52</v>
      </c>
      <c r="AC535" t="s">
        <v>53</v>
      </c>
      <c r="AD535">
        <v>5.9999998658895499E-2</v>
      </c>
      <c r="AE535">
        <v>22.561277389526399</v>
      </c>
      <c r="AF535">
        <v>4.8021281927710797</v>
      </c>
      <c r="AG535">
        <v>39600000</v>
      </c>
      <c r="AH535">
        <v>29.77272605896</v>
      </c>
      <c r="AI535">
        <v>0.64233601093292203</v>
      </c>
    </row>
    <row r="536" spans="1:35">
      <c r="A536">
        <f t="shared" si="64"/>
        <v>0</v>
      </c>
      <c r="B536">
        <f t="shared" si="65"/>
        <v>0</v>
      </c>
      <c r="C536">
        <f t="shared" si="66"/>
        <v>0</v>
      </c>
      <c r="D536">
        <f t="shared" si="67"/>
        <v>0</v>
      </c>
      <c r="E536">
        <f t="shared" si="68"/>
        <v>0</v>
      </c>
      <c r="F536">
        <f t="shared" si="69"/>
        <v>1</v>
      </c>
      <c r="G536">
        <f t="shared" si="70"/>
        <v>0</v>
      </c>
      <c r="H536">
        <v>0</v>
      </c>
      <c r="I536">
        <f t="shared" si="71"/>
        <v>0</v>
      </c>
      <c r="J536">
        <v>0</v>
      </c>
      <c r="K536" t="s">
        <v>2544</v>
      </c>
      <c r="L536" t="s">
        <v>2545</v>
      </c>
      <c r="M536" t="s">
        <v>27</v>
      </c>
      <c r="N536" t="s">
        <v>27</v>
      </c>
      <c r="O536">
        <v>1.28</v>
      </c>
      <c r="P536" t="s">
        <v>27</v>
      </c>
      <c r="Q536" t="s">
        <v>27</v>
      </c>
      <c r="R536">
        <v>3.0999999046325701</v>
      </c>
      <c r="S536">
        <v>7.375</v>
      </c>
      <c r="T536">
        <v>62.975658416747997</v>
      </c>
      <c r="U536">
        <v>35.714286804199197</v>
      </c>
      <c r="V536">
        <v>-65900000</v>
      </c>
      <c r="W536" t="s">
        <v>27</v>
      </c>
      <c r="X536">
        <v>0.17000000178813901</v>
      </c>
      <c r="Y536" t="s">
        <v>27</v>
      </c>
      <c r="Z536" t="s">
        <v>27</v>
      </c>
      <c r="AA536">
        <v>171716000</v>
      </c>
      <c r="AB536" t="s">
        <v>38</v>
      </c>
      <c r="AC536" t="s">
        <v>118</v>
      </c>
      <c r="AD536">
        <v>-0.46999999880790699</v>
      </c>
      <c r="AE536">
        <v>13.0922231674194</v>
      </c>
      <c r="AF536" t="s">
        <v>27</v>
      </c>
      <c r="AG536">
        <v>174220000</v>
      </c>
      <c r="AH536">
        <v>74.0235595703125</v>
      </c>
      <c r="AI536">
        <v>3.9068078994750999</v>
      </c>
    </row>
    <row r="537" spans="1:35">
      <c r="A537">
        <f t="shared" si="64"/>
        <v>1</v>
      </c>
      <c r="B537">
        <f t="shared" si="65"/>
        <v>1</v>
      </c>
      <c r="C537">
        <f t="shared" si="66"/>
        <v>0</v>
      </c>
      <c r="D537">
        <f t="shared" si="67"/>
        <v>0</v>
      </c>
      <c r="E537">
        <f t="shared" si="68"/>
        <v>0</v>
      </c>
      <c r="F537">
        <f t="shared" si="69"/>
        <v>0</v>
      </c>
      <c r="G537">
        <f t="shared" si="70"/>
        <v>0</v>
      </c>
      <c r="H537">
        <v>0</v>
      </c>
      <c r="I537">
        <f t="shared" si="71"/>
        <v>0</v>
      </c>
      <c r="J537">
        <v>0</v>
      </c>
      <c r="K537" t="s">
        <v>2550</v>
      </c>
      <c r="L537" t="s">
        <v>2551</v>
      </c>
      <c r="M537" t="s">
        <v>27</v>
      </c>
      <c r="N537" t="s">
        <v>27</v>
      </c>
      <c r="O537">
        <v>5</v>
      </c>
      <c r="P537" t="s">
        <v>27</v>
      </c>
      <c r="Q537" t="s">
        <v>27</v>
      </c>
      <c r="R537">
        <v>4.9899997711181596</v>
      </c>
      <c r="S537">
        <v>11.6875</v>
      </c>
      <c r="T537">
        <v>1.7227599620819101</v>
      </c>
      <c r="U537" t="s">
        <v>27</v>
      </c>
      <c r="V537">
        <v>-8217000</v>
      </c>
      <c r="W537">
        <v>-50.316989898681598</v>
      </c>
      <c r="X537">
        <v>-0.270000010728836</v>
      </c>
      <c r="Y537">
        <v>-1.7461930513382</v>
      </c>
      <c r="Z537">
        <v>-33.333332061767599</v>
      </c>
      <c r="AA537">
        <v>14486000</v>
      </c>
      <c r="AB537" t="s">
        <v>27</v>
      </c>
      <c r="AC537" t="s">
        <v>27</v>
      </c>
      <c r="AD537">
        <v>-0.37000000476837203</v>
      </c>
      <c r="AE537" t="s">
        <v>27</v>
      </c>
      <c r="AF537" t="s">
        <v>27</v>
      </c>
      <c r="AG537">
        <v>18510000</v>
      </c>
      <c r="AH537">
        <v>0</v>
      </c>
      <c r="AI537">
        <v>-13.570424079895</v>
      </c>
    </row>
    <row r="538" spans="1:35">
      <c r="A538">
        <f t="shared" si="64"/>
        <v>1</v>
      </c>
      <c r="B538">
        <f t="shared" si="65"/>
        <v>0</v>
      </c>
      <c r="C538">
        <f t="shared" si="66"/>
        <v>0</v>
      </c>
      <c r="D538">
        <f t="shared" si="67"/>
        <v>0</v>
      </c>
      <c r="E538">
        <f t="shared" si="68"/>
        <v>0</v>
      </c>
      <c r="F538">
        <f t="shared" si="69"/>
        <v>0</v>
      </c>
      <c r="G538">
        <f t="shared" si="70"/>
        <v>0</v>
      </c>
      <c r="H538">
        <v>0</v>
      </c>
      <c r="I538">
        <f t="shared" si="71"/>
        <v>0</v>
      </c>
      <c r="J538">
        <v>0</v>
      </c>
      <c r="K538" t="s">
        <v>2552</v>
      </c>
      <c r="L538" t="s">
        <v>2553</v>
      </c>
      <c r="M538" t="s">
        <v>27</v>
      </c>
      <c r="N538" t="s">
        <v>27</v>
      </c>
      <c r="O538">
        <v>1.19</v>
      </c>
      <c r="P538" t="s">
        <v>27</v>
      </c>
      <c r="Q538" t="s">
        <v>27</v>
      </c>
      <c r="R538">
        <v>4.1999998092651403</v>
      </c>
      <c r="S538">
        <v>16</v>
      </c>
      <c r="T538">
        <v>8.4049291610717791</v>
      </c>
      <c r="U538">
        <v>77.790664672851605</v>
      </c>
      <c r="V538">
        <v>-7745000</v>
      </c>
      <c r="W538">
        <v>-0.92819100618362405</v>
      </c>
      <c r="X538">
        <v>-1.9999999552965199E-2</v>
      </c>
      <c r="Y538">
        <v>0.36363598704338101</v>
      </c>
      <c r="Z538">
        <v>-35.263160705566399</v>
      </c>
      <c r="AA538">
        <v>36855000</v>
      </c>
      <c r="AB538" t="s">
        <v>27</v>
      </c>
      <c r="AC538" t="s">
        <v>27</v>
      </c>
      <c r="AD538">
        <v>-1.37000000476837</v>
      </c>
      <c r="AE538">
        <v>58.6843452453613</v>
      </c>
      <c r="AF538">
        <v>78.594149019607798</v>
      </c>
      <c r="AG538">
        <v>41012000</v>
      </c>
      <c r="AH538">
        <v>0.61380600929260298</v>
      </c>
      <c r="AI538">
        <v>-5.1706728935241699</v>
      </c>
    </row>
    <row r="539" spans="1:35">
      <c r="A539">
        <f t="shared" si="64"/>
        <v>1</v>
      </c>
      <c r="B539">
        <f t="shared" si="65"/>
        <v>1</v>
      </c>
      <c r="C539">
        <f t="shared" si="66"/>
        <v>0</v>
      </c>
      <c r="D539">
        <f t="shared" si="67"/>
        <v>1</v>
      </c>
      <c r="E539">
        <f t="shared" si="68"/>
        <v>0</v>
      </c>
      <c r="F539">
        <f t="shared" si="69"/>
        <v>0</v>
      </c>
      <c r="G539">
        <f t="shared" si="70"/>
        <v>0</v>
      </c>
      <c r="H539">
        <v>0</v>
      </c>
      <c r="I539">
        <f t="shared" si="71"/>
        <v>0</v>
      </c>
      <c r="J539">
        <v>0</v>
      </c>
      <c r="K539" t="s">
        <v>2554</v>
      </c>
      <c r="L539" t="s">
        <v>2555</v>
      </c>
      <c r="M539" t="s">
        <v>27</v>
      </c>
      <c r="N539" t="s">
        <v>27</v>
      </c>
      <c r="O539">
        <v>0.88</v>
      </c>
      <c r="P539" t="s">
        <v>27</v>
      </c>
      <c r="Q539" t="s">
        <v>27</v>
      </c>
      <c r="R539">
        <v>2.2799999713897701</v>
      </c>
      <c r="S539">
        <v>19.9375</v>
      </c>
      <c r="T539">
        <v>36.26318359375</v>
      </c>
      <c r="U539">
        <v>23.825016021728501</v>
      </c>
      <c r="V539">
        <v>-7475000</v>
      </c>
      <c r="W539">
        <v>-46.267757415771499</v>
      </c>
      <c r="X539">
        <v>-0.40000000596046398</v>
      </c>
      <c r="Y539" t="s">
        <v>27</v>
      </c>
      <c r="Z539">
        <v>-27.27272605896</v>
      </c>
      <c r="AA539">
        <v>157390000</v>
      </c>
      <c r="AB539" t="s">
        <v>38</v>
      </c>
      <c r="AC539" t="s">
        <v>113</v>
      </c>
      <c r="AD539">
        <v>-0.28000000119209301</v>
      </c>
      <c r="AE539">
        <v>-119.53874969482401</v>
      </c>
      <c r="AF539" t="s">
        <v>27</v>
      </c>
      <c r="AG539">
        <v>159641008</v>
      </c>
      <c r="AH539">
        <v>3.1530470848083501</v>
      </c>
      <c r="AI539">
        <v>-33.222965240478501</v>
      </c>
    </row>
    <row r="540" spans="1:35">
      <c r="A540">
        <f t="shared" si="64"/>
        <v>1</v>
      </c>
      <c r="B540">
        <f t="shared" si="65"/>
        <v>0</v>
      </c>
      <c r="C540">
        <f t="shared" si="66"/>
        <v>1</v>
      </c>
      <c r="D540">
        <f t="shared" si="67"/>
        <v>0</v>
      </c>
      <c r="E540">
        <f t="shared" si="68"/>
        <v>0</v>
      </c>
      <c r="F540">
        <f t="shared" si="69"/>
        <v>1</v>
      </c>
      <c r="G540">
        <f t="shared" si="70"/>
        <v>0</v>
      </c>
      <c r="H540">
        <v>0</v>
      </c>
      <c r="I540">
        <f t="shared" si="71"/>
        <v>0</v>
      </c>
      <c r="J540">
        <v>0</v>
      </c>
      <c r="K540" t="s">
        <v>2558</v>
      </c>
      <c r="L540" t="s">
        <v>2559</v>
      </c>
      <c r="M540" t="s">
        <v>27</v>
      </c>
      <c r="N540" t="s">
        <v>27</v>
      </c>
      <c r="O540">
        <v>1.1200000000000001</v>
      </c>
      <c r="P540" t="s">
        <v>27</v>
      </c>
      <c r="Q540" t="s">
        <v>27</v>
      </c>
      <c r="R540">
        <v>2.9800000190734899</v>
      </c>
      <c r="S540">
        <v>16.9375</v>
      </c>
      <c r="T540" t="s">
        <v>27</v>
      </c>
      <c r="U540" t="s">
        <v>27</v>
      </c>
      <c r="V540">
        <v>2542000</v>
      </c>
      <c r="W540">
        <v>59.090644836425803</v>
      </c>
      <c r="X540" t="s">
        <v>27</v>
      </c>
      <c r="Y540" t="s">
        <v>27</v>
      </c>
      <c r="Z540">
        <v>10.3448276519775</v>
      </c>
      <c r="AA540" t="s">
        <v>27</v>
      </c>
      <c r="AB540" t="s">
        <v>27</v>
      </c>
      <c r="AC540" t="s">
        <v>27</v>
      </c>
      <c r="AD540">
        <v>-2.9999999329447701E-2</v>
      </c>
      <c r="AE540">
        <v>-33.418621063232401</v>
      </c>
      <c r="AF540" t="s">
        <v>27</v>
      </c>
      <c r="AG540">
        <v>108007000</v>
      </c>
      <c r="AH540">
        <v>1.1240140199661299</v>
      </c>
      <c r="AI540">
        <v>20.083236694335898</v>
      </c>
    </row>
    <row r="541" spans="1:35">
      <c r="A541">
        <f t="shared" si="64"/>
        <v>0</v>
      </c>
      <c r="B541">
        <f t="shared" si="65"/>
        <v>0</v>
      </c>
      <c r="C541">
        <f t="shared" si="66"/>
        <v>0</v>
      </c>
      <c r="D541">
        <f t="shared" si="67"/>
        <v>1</v>
      </c>
      <c r="E541">
        <f t="shared" si="68"/>
        <v>0</v>
      </c>
      <c r="F541">
        <f t="shared" si="69"/>
        <v>0</v>
      </c>
      <c r="G541">
        <f t="shared" si="70"/>
        <v>1</v>
      </c>
      <c r="H541">
        <v>0</v>
      </c>
      <c r="I541">
        <f t="shared" si="71"/>
        <v>1</v>
      </c>
      <c r="J541">
        <v>0</v>
      </c>
      <c r="K541" t="s">
        <v>2562</v>
      </c>
      <c r="L541" t="s">
        <v>2563</v>
      </c>
      <c r="M541" t="s">
        <v>27</v>
      </c>
      <c r="N541" t="s">
        <v>27</v>
      </c>
      <c r="O541">
        <v>7.85</v>
      </c>
      <c r="P541" t="s">
        <v>27</v>
      </c>
      <c r="Q541" t="s">
        <v>27</v>
      </c>
      <c r="R541">
        <v>5.68137502670288</v>
      </c>
      <c r="S541">
        <v>9.75</v>
      </c>
      <c r="T541">
        <v>0</v>
      </c>
      <c r="U541">
        <v>57.123981475830099</v>
      </c>
      <c r="V541">
        <v>-2433000</v>
      </c>
      <c r="W541">
        <v>-21.173997879028299</v>
      </c>
      <c r="X541">
        <v>-0.21999999880790699</v>
      </c>
      <c r="Y541" t="s">
        <v>27</v>
      </c>
      <c r="Z541">
        <v>-0.292683005332947</v>
      </c>
      <c r="AA541">
        <v>16709000</v>
      </c>
      <c r="AB541" t="s">
        <v>73</v>
      </c>
      <c r="AC541" t="s">
        <v>74</v>
      </c>
      <c r="AD541">
        <v>0</v>
      </c>
      <c r="AE541">
        <v>66.589141845703097</v>
      </c>
      <c r="AF541" t="s">
        <v>27</v>
      </c>
      <c r="AG541">
        <v>37195800</v>
      </c>
      <c r="AH541">
        <v>12.809027671814</v>
      </c>
      <c r="AI541">
        <v>-37.886039733886697</v>
      </c>
    </row>
    <row r="542" spans="1:35">
      <c r="A542">
        <f t="shared" si="64"/>
        <v>1</v>
      </c>
      <c r="B542">
        <f t="shared" si="65"/>
        <v>0</v>
      </c>
      <c r="C542">
        <f t="shared" si="66"/>
        <v>0</v>
      </c>
      <c r="D542">
        <f t="shared" si="67"/>
        <v>1</v>
      </c>
      <c r="E542">
        <f t="shared" si="68"/>
        <v>0</v>
      </c>
      <c r="F542">
        <f t="shared" si="69"/>
        <v>0</v>
      </c>
      <c r="G542">
        <f t="shared" si="70"/>
        <v>1</v>
      </c>
      <c r="H542">
        <v>0</v>
      </c>
      <c r="I542">
        <f t="shared" si="71"/>
        <v>0</v>
      </c>
      <c r="J542">
        <v>0</v>
      </c>
      <c r="K542" t="s">
        <v>2564</v>
      </c>
      <c r="L542" t="s">
        <v>2565</v>
      </c>
      <c r="M542" t="s">
        <v>27</v>
      </c>
      <c r="N542" t="s">
        <v>27</v>
      </c>
      <c r="O542">
        <v>5.45</v>
      </c>
      <c r="P542" t="s">
        <v>27</v>
      </c>
      <c r="Q542" t="s">
        <v>27</v>
      </c>
      <c r="R542">
        <v>5.4000000953674299</v>
      </c>
      <c r="S542">
        <v>7.8000001907348597</v>
      </c>
      <c r="T542">
        <v>40.418788909912102</v>
      </c>
      <c r="U542">
        <v>-6.1194181442260698</v>
      </c>
      <c r="V542">
        <v>-58673000</v>
      </c>
      <c r="W542">
        <v>-12.5081739425659</v>
      </c>
      <c r="X542">
        <v>-3.2300000190734899</v>
      </c>
      <c r="Y542">
        <v>-55.044776916503899</v>
      </c>
      <c r="Z542">
        <v>-177.47253417968801</v>
      </c>
      <c r="AA542">
        <v>37524000</v>
      </c>
      <c r="AB542" t="s">
        <v>61</v>
      </c>
      <c r="AC542" t="s">
        <v>65</v>
      </c>
      <c r="AD542">
        <v>0.15000000596046401</v>
      </c>
      <c r="AE542">
        <v>13.396624565124499</v>
      </c>
      <c r="AF542">
        <v>19.931008423269301</v>
      </c>
      <c r="AG542">
        <v>38558000</v>
      </c>
      <c r="AH542">
        <v>24.6147346496582</v>
      </c>
      <c r="AI542">
        <v>-35.421566009521499</v>
      </c>
    </row>
    <row r="543" spans="1:35">
      <c r="A543">
        <f t="shared" si="64"/>
        <v>1</v>
      </c>
      <c r="B543">
        <f t="shared" si="65"/>
        <v>0</v>
      </c>
      <c r="C543">
        <f t="shared" si="66"/>
        <v>1</v>
      </c>
      <c r="D543">
        <f t="shared" si="67"/>
        <v>1</v>
      </c>
      <c r="E543">
        <f t="shared" si="68"/>
        <v>0</v>
      </c>
      <c r="F543">
        <f t="shared" si="69"/>
        <v>1</v>
      </c>
      <c r="G543">
        <f t="shared" si="70"/>
        <v>0</v>
      </c>
      <c r="H543">
        <v>0</v>
      </c>
      <c r="I543">
        <f t="shared" si="71"/>
        <v>0</v>
      </c>
      <c r="J543">
        <v>0</v>
      </c>
      <c r="K543" t="s">
        <v>2566</v>
      </c>
      <c r="L543" t="s">
        <v>2567</v>
      </c>
      <c r="M543" t="s">
        <v>27</v>
      </c>
      <c r="N543" t="s">
        <v>27</v>
      </c>
      <c r="O543">
        <v>6.45</v>
      </c>
      <c r="P543" t="s">
        <v>27</v>
      </c>
      <c r="Q543" t="s">
        <v>27</v>
      </c>
      <c r="R543">
        <v>15.7799997329712</v>
      </c>
      <c r="S543">
        <v>24</v>
      </c>
      <c r="T543">
        <v>11.149977684021</v>
      </c>
      <c r="U543" t="s">
        <v>27</v>
      </c>
      <c r="V543">
        <v>7264000</v>
      </c>
      <c r="W543" t="s">
        <v>27</v>
      </c>
      <c r="X543">
        <v>-0.28999999165535001</v>
      </c>
      <c r="Y543" t="s">
        <v>27</v>
      </c>
      <c r="Z543" t="s">
        <v>27</v>
      </c>
      <c r="AA543">
        <v>20006000</v>
      </c>
      <c r="AB543" t="s">
        <v>73</v>
      </c>
      <c r="AC543" t="s">
        <v>413</v>
      </c>
      <c r="AD543">
        <v>-0.20999999344348899</v>
      </c>
      <c r="AE543" t="s">
        <v>27</v>
      </c>
      <c r="AF543" t="s">
        <v>27</v>
      </c>
      <c r="AG543">
        <v>26112000</v>
      </c>
      <c r="AH543">
        <v>1.02440798282623</v>
      </c>
      <c r="AI543" t="s">
        <v>27</v>
      </c>
    </row>
    <row r="544" spans="1:35">
      <c r="A544">
        <f t="shared" si="64"/>
        <v>1</v>
      </c>
      <c r="B544">
        <f t="shared" si="65"/>
        <v>1</v>
      </c>
      <c r="C544">
        <f t="shared" si="66"/>
        <v>0</v>
      </c>
      <c r="D544">
        <f t="shared" si="67"/>
        <v>1</v>
      </c>
      <c r="E544">
        <f t="shared" si="68"/>
        <v>0</v>
      </c>
      <c r="F544">
        <f t="shared" si="69"/>
        <v>0</v>
      </c>
      <c r="G544">
        <f t="shared" si="70"/>
        <v>0</v>
      </c>
      <c r="H544">
        <v>0</v>
      </c>
      <c r="I544">
        <f t="shared" si="71"/>
        <v>0</v>
      </c>
      <c r="J544">
        <v>0</v>
      </c>
      <c r="K544" t="s">
        <v>2572</v>
      </c>
      <c r="L544" t="s">
        <v>2573</v>
      </c>
      <c r="M544" t="s">
        <v>27</v>
      </c>
      <c r="N544" t="s">
        <v>27</v>
      </c>
      <c r="O544">
        <v>15.228999999999999</v>
      </c>
      <c r="P544" t="s">
        <v>27</v>
      </c>
      <c r="Q544" t="s">
        <v>27</v>
      </c>
      <c r="R544">
        <v>40.090000152587898</v>
      </c>
      <c r="S544">
        <v>64.015625</v>
      </c>
      <c r="T544">
        <v>0.31157100200653098</v>
      </c>
      <c r="U544" t="s">
        <v>27</v>
      </c>
      <c r="V544">
        <v>-9385445</v>
      </c>
      <c r="W544">
        <v>-22.270778656005898</v>
      </c>
      <c r="X544">
        <v>-0.43999999761581399</v>
      </c>
      <c r="Y544">
        <v>-1.11428594589233</v>
      </c>
      <c r="Z544">
        <v>-1.4461539983749401</v>
      </c>
      <c r="AA544">
        <v>27342000</v>
      </c>
      <c r="AB544" t="s">
        <v>27</v>
      </c>
      <c r="AC544" t="s">
        <v>27</v>
      </c>
      <c r="AD544">
        <v>-0.41999998688697798</v>
      </c>
      <c r="AE544" t="s">
        <v>27</v>
      </c>
      <c r="AF544" t="s">
        <v>27</v>
      </c>
      <c r="AG544">
        <v>34961000</v>
      </c>
      <c r="AH544">
        <v>2.7548000216484101E-2</v>
      </c>
      <c r="AI544">
        <v>-6.8709177970886204</v>
      </c>
    </row>
    <row r="545" spans="1:35">
      <c r="A545">
        <f t="shared" si="64"/>
        <v>1</v>
      </c>
      <c r="B545">
        <f t="shared" si="65"/>
        <v>0</v>
      </c>
      <c r="C545">
        <f t="shared" si="66"/>
        <v>1</v>
      </c>
      <c r="D545">
        <f t="shared" si="67"/>
        <v>0</v>
      </c>
      <c r="E545">
        <f t="shared" si="68"/>
        <v>0</v>
      </c>
      <c r="F545">
        <f t="shared" si="69"/>
        <v>1</v>
      </c>
      <c r="G545">
        <f t="shared" si="70"/>
        <v>0</v>
      </c>
      <c r="H545">
        <v>0</v>
      </c>
      <c r="I545">
        <f t="shared" si="71"/>
        <v>0</v>
      </c>
      <c r="J545">
        <v>0</v>
      </c>
      <c r="K545" t="s">
        <v>2576</v>
      </c>
      <c r="L545" t="s">
        <v>2577</v>
      </c>
      <c r="M545" t="s">
        <v>27</v>
      </c>
      <c r="N545" t="s">
        <v>27</v>
      </c>
      <c r="O545">
        <v>3.0310000000000001</v>
      </c>
      <c r="P545" t="s">
        <v>27</v>
      </c>
      <c r="Q545" t="s">
        <v>27</v>
      </c>
      <c r="R545">
        <v>6.1599998474121103</v>
      </c>
      <c r="S545">
        <v>7.3125</v>
      </c>
      <c r="T545" t="s">
        <v>27</v>
      </c>
      <c r="U545" t="s">
        <v>27</v>
      </c>
      <c r="V545">
        <v>1030000</v>
      </c>
      <c r="W545" t="s">
        <v>27</v>
      </c>
      <c r="X545" t="s">
        <v>27</v>
      </c>
      <c r="Y545" t="s">
        <v>27</v>
      </c>
      <c r="Z545" t="s">
        <v>27</v>
      </c>
      <c r="AA545" t="s">
        <v>27</v>
      </c>
      <c r="AB545" t="s">
        <v>27</v>
      </c>
      <c r="AC545" t="s">
        <v>27</v>
      </c>
      <c r="AD545">
        <v>-7.0000000298023196E-2</v>
      </c>
      <c r="AE545">
        <v>44.382209777832003</v>
      </c>
      <c r="AF545" t="s">
        <v>27</v>
      </c>
      <c r="AG545">
        <v>19812000</v>
      </c>
      <c r="AH545">
        <v>1.0859299898147601</v>
      </c>
      <c r="AI545" t="s">
        <v>27</v>
      </c>
    </row>
    <row r="546" spans="1:35">
      <c r="A546">
        <f t="shared" si="64"/>
        <v>1</v>
      </c>
      <c r="B546">
        <f t="shared" si="65"/>
        <v>1</v>
      </c>
      <c r="C546">
        <f t="shared" si="66"/>
        <v>1</v>
      </c>
      <c r="D546">
        <f t="shared" si="67"/>
        <v>1</v>
      </c>
      <c r="E546">
        <f t="shared" si="68"/>
        <v>0</v>
      </c>
      <c r="F546">
        <f t="shared" si="69"/>
        <v>0</v>
      </c>
      <c r="G546">
        <f t="shared" si="70"/>
        <v>0</v>
      </c>
      <c r="H546">
        <v>0</v>
      </c>
      <c r="I546">
        <f t="shared" si="71"/>
        <v>0</v>
      </c>
      <c r="J546">
        <v>0</v>
      </c>
      <c r="K546" t="s">
        <v>2580</v>
      </c>
      <c r="L546" t="s">
        <v>2581</v>
      </c>
      <c r="M546" t="s">
        <v>27</v>
      </c>
      <c r="N546" t="s">
        <v>27</v>
      </c>
      <c r="O546">
        <v>19.45</v>
      </c>
      <c r="P546" t="s">
        <v>27</v>
      </c>
      <c r="Q546" t="s">
        <v>27</v>
      </c>
      <c r="R546">
        <v>30.034999847412099</v>
      </c>
      <c r="S546">
        <v>16.8125</v>
      </c>
      <c r="T546">
        <v>39.273235321044901</v>
      </c>
      <c r="U546" t="s">
        <v>27</v>
      </c>
      <c r="V546">
        <v>12510000</v>
      </c>
      <c r="W546">
        <v>-16.3020133972168</v>
      </c>
      <c r="X546">
        <v>-0.28999999165535001</v>
      </c>
      <c r="Y546">
        <v>-6.3410139083862296</v>
      </c>
      <c r="Z546" t="s">
        <v>27</v>
      </c>
      <c r="AA546">
        <v>20317000</v>
      </c>
      <c r="AB546" t="s">
        <v>30</v>
      </c>
      <c r="AC546" t="s">
        <v>68</v>
      </c>
      <c r="AD546">
        <v>7.0000000298023196E-2</v>
      </c>
      <c r="AE546" t="s">
        <v>27</v>
      </c>
      <c r="AF546">
        <v>8.1931953629334995</v>
      </c>
      <c r="AG546">
        <v>21307000</v>
      </c>
      <c r="AH546">
        <v>38.636390686035199</v>
      </c>
      <c r="AI546">
        <v>-14.209637641906699</v>
      </c>
    </row>
    <row r="547" spans="1:35">
      <c r="A547">
        <f t="shared" si="64"/>
        <v>0</v>
      </c>
      <c r="B547">
        <f t="shared" si="65"/>
        <v>0</v>
      </c>
      <c r="C547">
        <f t="shared" si="66"/>
        <v>0</v>
      </c>
      <c r="D547">
        <f t="shared" si="67"/>
        <v>0</v>
      </c>
      <c r="E547">
        <f t="shared" si="68"/>
        <v>0</v>
      </c>
      <c r="F547">
        <f t="shared" si="69"/>
        <v>1</v>
      </c>
      <c r="G547">
        <f t="shared" si="70"/>
        <v>0</v>
      </c>
      <c r="H547">
        <v>0</v>
      </c>
      <c r="I547">
        <f t="shared" si="71"/>
        <v>0</v>
      </c>
      <c r="J547">
        <v>0</v>
      </c>
      <c r="K547" t="s">
        <v>2582</v>
      </c>
      <c r="L547" t="s">
        <v>2583</v>
      </c>
      <c r="M547" t="s">
        <v>27</v>
      </c>
      <c r="N547" t="s">
        <v>27</v>
      </c>
      <c r="O547">
        <v>15.73</v>
      </c>
      <c r="P547" t="s">
        <v>27</v>
      </c>
      <c r="Q547" t="s">
        <v>27</v>
      </c>
      <c r="R547">
        <v>15.810000419616699</v>
      </c>
      <c r="S547">
        <v>12.5</v>
      </c>
      <c r="T547">
        <v>0</v>
      </c>
      <c r="U547">
        <v>22.124198913574201</v>
      </c>
      <c r="V547">
        <v>-2976000.5</v>
      </c>
      <c r="W547">
        <v>18.460729598998999</v>
      </c>
      <c r="X547">
        <v>2.9999999329447701E-2</v>
      </c>
      <c r="Y547" t="s">
        <v>27</v>
      </c>
      <c r="Z547" t="s">
        <v>27</v>
      </c>
      <c r="AA547">
        <v>10270000</v>
      </c>
      <c r="AB547" t="s">
        <v>38</v>
      </c>
      <c r="AC547" t="s">
        <v>39</v>
      </c>
      <c r="AD547">
        <v>-0.140000000596046</v>
      </c>
      <c r="AE547">
        <v>19.834072113037099</v>
      </c>
      <c r="AF547" t="s">
        <v>27</v>
      </c>
      <c r="AG547">
        <v>10513000</v>
      </c>
      <c r="AH547">
        <v>0</v>
      </c>
      <c r="AI547">
        <v>9.1134920120239293</v>
      </c>
    </row>
    <row r="548" spans="1:35">
      <c r="A548">
        <f t="shared" si="64"/>
        <v>1</v>
      </c>
      <c r="B548">
        <f t="shared" si="65"/>
        <v>0</v>
      </c>
      <c r="C548">
        <f t="shared" si="66"/>
        <v>1</v>
      </c>
      <c r="D548">
        <f t="shared" si="67"/>
        <v>1</v>
      </c>
      <c r="E548">
        <f t="shared" si="68"/>
        <v>0</v>
      </c>
      <c r="F548">
        <f t="shared" si="69"/>
        <v>0</v>
      </c>
      <c r="G548">
        <f t="shared" si="70"/>
        <v>1</v>
      </c>
      <c r="H548">
        <v>0</v>
      </c>
      <c r="I548">
        <f t="shared" si="71"/>
        <v>0</v>
      </c>
      <c r="J548">
        <v>0</v>
      </c>
      <c r="K548" t="s">
        <v>2586</v>
      </c>
      <c r="L548" t="s">
        <v>2587</v>
      </c>
      <c r="M548" t="s">
        <v>27</v>
      </c>
      <c r="N548" t="s">
        <v>27</v>
      </c>
      <c r="O548">
        <v>23.23</v>
      </c>
      <c r="P548" t="s">
        <v>27</v>
      </c>
      <c r="Q548" t="s">
        <v>27</v>
      </c>
      <c r="R548">
        <v>36.580001831054702</v>
      </c>
      <c r="S548">
        <v>15</v>
      </c>
      <c r="T548">
        <v>0.223893001675606</v>
      </c>
      <c r="U548">
        <v>86.786430358886705</v>
      </c>
      <c r="V548">
        <v>8668000</v>
      </c>
      <c r="W548">
        <v>-39.151466369628899</v>
      </c>
      <c r="X548">
        <v>-0.93999999761581399</v>
      </c>
      <c r="Y548">
        <v>-4.9696969985961896</v>
      </c>
      <c r="Z548">
        <v>-2.3904380798339799</v>
      </c>
      <c r="AA548">
        <v>52241000</v>
      </c>
      <c r="AB548" t="s">
        <v>27</v>
      </c>
      <c r="AC548" t="s">
        <v>27</v>
      </c>
      <c r="AD548">
        <v>0.15999999642372101</v>
      </c>
      <c r="AE548">
        <v>91.657821655273395</v>
      </c>
      <c r="AF548">
        <v>9.9918527473091192</v>
      </c>
      <c r="AG548">
        <v>57272000</v>
      </c>
      <c r="AH548">
        <v>8.96129980683327E-2</v>
      </c>
      <c r="AI548">
        <v>-365.54428100585898</v>
      </c>
    </row>
    <row r="549" spans="1:35">
      <c r="A549">
        <f t="shared" si="64"/>
        <v>0</v>
      </c>
      <c r="B549">
        <f t="shared" si="65"/>
        <v>1</v>
      </c>
      <c r="C549">
        <f t="shared" si="66"/>
        <v>0</v>
      </c>
      <c r="D549">
        <f t="shared" si="67"/>
        <v>1</v>
      </c>
      <c r="E549">
        <f t="shared" si="68"/>
        <v>0</v>
      </c>
      <c r="F549">
        <f t="shared" si="69"/>
        <v>0</v>
      </c>
      <c r="G549">
        <f t="shared" si="70"/>
        <v>1</v>
      </c>
      <c r="H549">
        <v>0</v>
      </c>
      <c r="I549">
        <f t="shared" si="71"/>
        <v>0</v>
      </c>
      <c r="J549">
        <v>0</v>
      </c>
      <c r="K549" t="s">
        <v>2592</v>
      </c>
      <c r="L549" t="s">
        <v>2593</v>
      </c>
      <c r="M549" t="s">
        <v>27</v>
      </c>
      <c r="N549" t="s">
        <v>27</v>
      </c>
      <c r="O549">
        <v>1.55</v>
      </c>
      <c r="P549" t="s">
        <v>27</v>
      </c>
      <c r="Q549" t="s">
        <v>27</v>
      </c>
      <c r="R549">
        <v>4.5799999237060502</v>
      </c>
      <c r="S549">
        <v>23.75</v>
      </c>
      <c r="T549">
        <v>0</v>
      </c>
      <c r="U549">
        <v>-55.249439239502003</v>
      </c>
      <c r="V549">
        <v>-13861000</v>
      </c>
      <c r="W549">
        <v>-53.478912353515597</v>
      </c>
      <c r="X549">
        <v>-0.34999999403953602</v>
      </c>
      <c r="Y549" t="s">
        <v>27</v>
      </c>
      <c r="Z549">
        <v>-13.5728540420532</v>
      </c>
      <c r="AA549">
        <v>38809000</v>
      </c>
      <c r="AB549" t="s">
        <v>61</v>
      </c>
      <c r="AC549" t="s">
        <v>106</v>
      </c>
      <c r="AD549">
        <v>-0.18000000715255701</v>
      </c>
      <c r="AE549">
        <v>-10.7091226577759</v>
      </c>
      <c r="AF549" t="s">
        <v>27</v>
      </c>
      <c r="AG549">
        <v>40531000</v>
      </c>
      <c r="AH549">
        <v>0</v>
      </c>
      <c r="AI549">
        <v>-25.0452575683594</v>
      </c>
    </row>
    <row r="550" spans="1:35">
      <c r="A550">
        <f t="shared" si="64"/>
        <v>1</v>
      </c>
      <c r="B550">
        <f t="shared" si="65"/>
        <v>0</v>
      </c>
      <c r="C550">
        <f t="shared" si="66"/>
        <v>1</v>
      </c>
      <c r="D550">
        <f t="shared" si="67"/>
        <v>0</v>
      </c>
      <c r="E550">
        <f t="shared" si="68"/>
        <v>0</v>
      </c>
      <c r="F550">
        <f t="shared" si="69"/>
        <v>1</v>
      </c>
      <c r="G550">
        <f t="shared" si="70"/>
        <v>0</v>
      </c>
      <c r="H550">
        <v>0</v>
      </c>
      <c r="I550">
        <f t="shared" si="71"/>
        <v>1</v>
      </c>
      <c r="J550">
        <v>0</v>
      </c>
      <c r="K550" t="s">
        <v>2600</v>
      </c>
      <c r="L550" t="s">
        <v>2601</v>
      </c>
      <c r="M550" t="s">
        <v>27</v>
      </c>
      <c r="N550" t="s">
        <v>27</v>
      </c>
      <c r="O550">
        <v>11.97</v>
      </c>
      <c r="P550" t="s">
        <v>27</v>
      </c>
      <c r="Q550" t="s">
        <v>27</v>
      </c>
      <c r="R550">
        <v>9.2751119818006202</v>
      </c>
      <c r="S550">
        <v>8.8271103896103895</v>
      </c>
      <c r="T550" t="s">
        <v>27</v>
      </c>
      <c r="U550" t="s">
        <v>27</v>
      </c>
      <c r="V550">
        <v>3142000</v>
      </c>
      <c r="W550" t="s">
        <v>27</v>
      </c>
      <c r="X550">
        <v>0.34090908026540401</v>
      </c>
      <c r="Y550" t="s">
        <v>27</v>
      </c>
      <c r="Z550">
        <v>11.981131553649901</v>
      </c>
      <c r="AA550" t="s">
        <v>27</v>
      </c>
      <c r="AB550" t="s">
        <v>27</v>
      </c>
      <c r="AC550" t="s">
        <v>27</v>
      </c>
      <c r="AD550">
        <v>0.28571427932807397</v>
      </c>
      <c r="AE550" t="s">
        <v>27</v>
      </c>
      <c r="AF550" t="s">
        <v>27</v>
      </c>
      <c r="AG550">
        <v>10604160</v>
      </c>
      <c r="AH550">
        <v>0</v>
      </c>
      <c r="AI550">
        <v>1.8313490152359</v>
      </c>
    </row>
    <row r="551" spans="1:35">
      <c r="A551">
        <f t="shared" si="64"/>
        <v>1</v>
      </c>
      <c r="B551">
        <f t="shared" si="65"/>
        <v>1</v>
      </c>
      <c r="C551">
        <f t="shared" si="66"/>
        <v>1</v>
      </c>
      <c r="D551">
        <f t="shared" si="67"/>
        <v>0</v>
      </c>
      <c r="E551">
        <f t="shared" si="68"/>
        <v>0</v>
      </c>
      <c r="F551">
        <f t="shared" si="69"/>
        <v>1</v>
      </c>
      <c r="G551">
        <f t="shared" si="70"/>
        <v>1</v>
      </c>
      <c r="H551">
        <v>0</v>
      </c>
      <c r="I551">
        <f t="shared" si="71"/>
        <v>1</v>
      </c>
      <c r="J551">
        <v>0</v>
      </c>
      <c r="K551" t="s">
        <v>2604</v>
      </c>
      <c r="L551" t="s">
        <v>2605</v>
      </c>
      <c r="M551" t="s">
        <v>27</v>
      </c>
      <c r="N551" t="s">
        <v>27</v>
      </c>
      <c r="O551">
        <v>7.99</v>
      </c>
      <c r="P551" t="s">
        <v>27</v>
      </c>
      <c r="Q551" t="s">
        <v>27</v>
      </c>
      <c r="R551">
        <v>6.96000003814697</v>
      </c>
      <c r="S551">
        <v>18.25</v>
      </c>
      <c r="T551">
        <v>3.2851419448852499</v>
      </c>
      <c r="U551">
        <v>68.636993408203097</v>
      </c>
      <c r="V551">
        <v>1770000</v>
      </c>
      <c r="W551">
        <v>-27.3005676269531</v>
      </c>
      <c r="X551">
        <v>-3.9999999105930301E-2</v>
      </c>
      <c r="Y551" t="s">
        <v>27</v>
      </c>
      <c r="Z551">
        <v>-4.07523488998413</v>
      </c>
      <c r="AA551">
        <v>29399000</v>
      </c>
      <c r="AB551" t="s">
        <v>27</v>
      </c>
      <c r="AC551" t="s">
        <v>27</v>
      </c>
      <c r="AD551">
        <v>-1.83000004291534</v>
      </c>
      <c r="AE551">
        <v>71.101760864257798</v>
      </c>
      <c r="AF551">
        <v>70.063821402290898</v>
      </c>
      <c r="AG551">
        <v>29916000</v>
      </c>
      <c r="AH551">
        <v>2.9953150749206499</v>
      </c>
      <c r="AI551" t="s">
        <v>27</v>
      </c>
    </row>
    <row r="552" spans="1:35">
      <c r="A552">
        <f t="shared" si="64"/>
        <v>0</v>
      </c>
      <c r="B552">
        <f t="shared" si="65"/>
        <v>1</v>
      </c>
      <c r="C552">
        <f t="shared" si="66"/>
        <v>0</v>
      </c>
      <c r="D552">
        <f t="shared" si="67"/>
        <v>1</v>
      </c>
      <c r="E552">
        <f t="shared" si="68"/>
        <v>0</v>
      </c>
      <c r="F552">
        <f t="shared" si="69"/>
        <v>0</v>
      </c>
      <c r="G552">
        <f t="shared" si="70"/>
        <v>0</v>
      </c>
      <c r="H552">
        <v>0</v>
      </c>
      <c r="I552">
        <f t="shared" si="71"/>
        <v>0</v>
      </c>
      <c r="J552">
        <v>0</v>
      </c>
      <c r="K552" t="s">
        <v>2608</v>
      </c>
      <c r="L552" t="s">
        <v>2609</v>
      </c>
      <c r="M552" t="s">
        <v>27</v>
      </c>
      <c r="N552" t="s">
        <v>27</v>
      </c>
      <c r="O552">
        <v>2.6320000000000001</v>
      </c>
      <c r="P552" t="s">
        <v>27</v>
      </c>
      <c r="Q552" t="s">
        <v>27</v>
      </c>
      <c r="R552">
        <v>7.7399997711181596</v>
      </c>
      <c r="S552">
        <v>14.125</v>
      </c>
      <c r="T552">
        <v>0</v>
      </c>
      <c r="U552" t="s">
        <v>27</v>
      </c>
      <c r="V552">
        <v>-3244000</v>
      </c>
      <c r="W552">
        <v>-76.110816955566406</v>
      </c>
      <c r="X552">
        <v>-0.259999990463257</v>
      </c>
      <c r="Y552" t="s">
        <v>27</v>
      </c>
      <c r="Z552">
        <v>-6.42857122421265</v>
      </c>
      <c r="AA552">
        <v>26718000</v>
      </c>
      <c r="AB552" t="s">
        <v>73</v>
      </c>
      <c r="AC552" t="s">
        <v>413</v>
      </c>
      <c r="AD552">
        <v>-0.129999995231628</v>
      </c>
      <c r="AE552" t="s">
        <v>27</v>
      </c>
      <c r="AF552" t="s">
        <v>27</v>
      </c>
      <c r="AG552">
        <v>26828000</v>
      </c>
      <c r="AH552">
        <v>0</v>
      </c>
      <c r="AI552">
        <v>-38.592231750488303</v>
      </c>
    </row>
    <row r="553" spans="1:35">
      <c r="A553">
        <f t="shared" ref="A553:A613" si="72">IF(AH553&lt;T553,1,0)</f>
        <v>0</v>
      </c>
      <c r="B553">
        <f t="shared" ref="B553:B613" si="73">IF(AI553&gt;W553,1,0)</f>
        <v>0</v>
      </c>
      <c r="C553">
        <f t="shared" ref="C553:C613" si="74">IF(V553&gt;0,1,0)</f>
        <v>0</v>
      </c>
      <c r="D553">
        <f t="shared" ref="D553:D613" si="75">IF(AD553&gt;X553,1,0)</f>
        <v>1</v>
      </c>
      <c r="E553">
        <f t="shared" ref="E553:E613" si="76">IF(AA553=AG553,1,0)</f>
        <v>0</v>
      </c>
      <c r="F553">
        <f t="shared" ref="F553:F613" si="77">IF(AI553&gt;0,1,0)</f>
        <v>0</v>
      </c>
      <c r="G553">
        <f t="shared" ref="G553:G613" si="78">IF(AE553&gt;U553,1,0)</f>
        <v>1</v>
      </c>
      <c r="H553">
        <v>0</v>
      </c>
      <c r="I553">
        <f t="shared" ref="I553:I613" si="79">IF(((O553-R553)/R553)&gt;0.075,1,0)</f>
        <v>0</v>
      </c>
      <c r="J553">
        <v>0</v>
      </c>
      <c r="K553" t="s">
        <v>2612</v>
      </c>
      <c r="L553" t="s">
        <v>2613</v>
      </c>
      <c r="M553" t="s">
        <v>27</v>
      </c>
      <c r="N553" t="s">
        <v>27</v>
      </c>
      <c r="O553">
        <v>15.51</v>
      </c>
      <c r="P553">
        <v>5.6268558502197301</v>
      </c>
      <c r="Q553" t="s">
        <v>27</v>
      </c>
      <c r="R553">
        <v>74.800000190734906</v>
      </c>
      <c r="S553">
        <v>542.5</v>
      </c>
      <c r="T553">
        <v>0</v>
      </c>
      <c r="U553">
        <v>32.533363342285199</v>
      </c>
      <c r="V553">
        <v>-7143000</v>
      </c>
      <c r="W553">
        <v>6.3989500999450701</v>
      </c>
      <c r="X553">
        <v>0</v>
      </c>
      <c r="Y553">
        <v>0.77241402864456199</v>
      </c>
      <c r="Z553">
        <v>-10.535117149353001</v>
      </c>
      <c r="AA553">
        <v>28325699.199999999</v>
      </c>
      <c r="AB553" t="s">
        <v>27</v>
      </c>
      <c r="AC553" t="s">
        <v>27</v>
      </c>
      <c r="AD553">
        <v>9.9999997764825793E-2</v>
      </c>
      <c r="AE553">
        <v>38.884197235107401</v>
      </c>
      <c r="AF553" t="s">
        <v>27</v>
      </c>
      <c r="AG553">
        <v>28887648</v>
      </c>
      <c r="AH553">
        <v>4.83835697174072</v>
      </c>
      <c r="AI553">
        <v>-27.634580612182599</v>
      </c>
    </row>
    <row r="554" spans="1:35">
      <c r="A554">
        <f t="shared" si="72"/>
        <v>0</v>
      </c>
      <c r="B554">
        <f t="shared" si="73"/>
        <v>0</v>
      </c>
      <c r="C554">
        <f t="shared" si="74"/>
        <v>1</v>
      </c>
      <c r="D554">
        <f t="shared" si="75"/>
        <v>0</v>
      </c>
      <c r="E554">
        <f t="shared" si="76"/>
        <v>1</v>
      </c>
      <c r="F554">
        <f t="shared" si="77"/>
        <v>1</v>
      </c>
      <c r="G554">
        <f t="shared" si="78"/>
        <v>0</v>
      </c>
      <c r="H554">
        <v>0</v>
      </c>
      <c r="I554">
        <f t="shared" si="79"/>
        <v>1</v>
      </c>
      <c r="J554">
        <v>0</v>
      </c>
      <c r="K554" t="s">
        <v>2616</v>
      </c>
      <c r="L554" t="s">
        <v>2617</v>
      </c>
      <c r="M554" t="s">
        <v>27</v>
      </c>
      <c r="N554" t="s">
        <v>27</v>
      </c>
      <c r="O554">
        <v>36.6</v>
      </c>
      <c r="P554" t="s">
        <v>27</v>
      </c>
      <c r="Q554" t="s">
        <v>27</v>
      </c>
      <c r="R554">
        <v>28.680000305175799</v>
      </c>
      <c r="S554">
        <v>22.4799995422363</v>
      </c>
      <c r="T554" t="s">
        <v>27</v>
      </c>
      <c r="U554" t="s">
        <v>27</v>
      </c>
      <c r="V554" t="s">
        <v>27</v>
      </c>
      <c r="W554" t="s">
        <v>27</v>
      </c>
      <c r="X554" t="s">
        <v>27</v>
      </c>
      <c r="Y554" t="s">
        <v>27</v>
      </c>
      <c r="Z554" t="s">
        <v>27</v>
      </c>
      <c r="AA554" t="s">
        <v>27</v>
      </c>
      <c r="AB554" t="s">
        <v>27</v>
      </c>
      <c r="AC554" t="s">
        <v>27</v>
      </c>
      <c r="AD554" t="s">
        <v>27</v>
      </c>
      <c r="AE554" t="s">
        <v>27</v>
      </c>
      <c r="AF554">
        <v>15.5494954711505</v>
      </c>
      <c r="AG554" t="s">
        <v>27</v>
      </c>
      <c r="AH554" t="s">
        <v>27</v>
      </c>
      <c r="AI554" t="s">
        <v>27</v>
      </c>
    </row>
    <row r="555" spans="1:35">
      <c r="A555">
        <f t="shared" si="72"/>
        <v>0</v>
      </c>
      <c r="B555">
        <f t="shared" si="73"/>
        <v>1</v>
      </c>
      <c r="C555">
        <f t="shared" si="74"/>
        <v>1</v>
      </c>
      <c r="D555">
        <f t="shared" si="75"/>
        <v>0</v>
      </c>
      <c r="E555">
        <f t="shared" si="76"/>
        <v>0</v>
      </c>
      <c r="F555">
        <f t="shared" si="77"/>
        <v>1</v>
      </c>
      <c r="G555">
        <f t="shared" si="78"/>
        <v>1</v>
      </c>
      <c r="H555">
        <v>0</v>
      </c>
      <c r="I555">
        <f t="shared" si="79"/>
        <v>0</v>
      </c>
      <c r="J555">
        <v>0</v>
      </c>
      <c r="K555" t="s">
        <v>2618</v>
      </c>
      <c r="L555" t="s">
        <v>2619</v>
      </c>
      <c r="M555" t="s">
        <v>27</v>
      </c>
      <c r="N555" t="s">
        <v>27</v>
      </c>
      <c r="O555">
        <v>29.42</v>
      </c>
      <c r="P555" t="s">
        <v>27</v>
      </c>
      <c r="Q555" t="s">
        <v>27</v>
      </c>
      <c r="R555">
        <v>31.25</v>
      </c>
      <c r="S555">
        <v>10.875</v>
      </c>
      <c r="T555">
        <v>0</v>
      </c>
      <c r="U555">
        <v>64.488960266113295</v>
      </c>
      <c r="V555">
        <v>716000</v>
      </c>
      <c r="W555">
        <v>-0.514209985733032</v>
      </c>
      <c r="X555">
        <v>6.4999997615814195E-2</v>
      </c>
      <c r="Y555">
        <v>3.64071893692017</v>
      </c>
      <c r="Z555">
        <v>1.8206160068512001</v>
      </c>
      <c r="AA555">
        <v>25829688</v>
      </c>
      <c r="AB555" t="s">
        <v>30</v>
      </c>
      <c r="AC555" t="s">
        <v>223</v>
      </c>
      <c r="AD555">
        <v>5.4999999701976797E-2</v>
      </c>
      <c r="AE555">
        <v>64.536888122558594</v>
      </c>
      <c r="AF555" t="s">
        <v>27</v>
      </c>
      <c r="AG555">
        <v>28179094</v>
      </c>
      <c r="AH555" t="s">
        <v>27</v>
      </c>
      <c r="AI555">
        <v>6.7611160278320304</v>
      </c>
    </row>
    <row r="556" spans="1:35">
      <c r="A556">
        <f t="shared" si="72"/>
        <v>0</v>
      </c>
      <c r="B556">
        <f t="shared" si="73"/>
        <v>0</v>
      </c>
      <c r="C556">
        <f t="shared" si="74"/>
        <v>1</v>
      </c>
      <c r="D556">
        <f t="shared" si="75"/>
        <v>1</v>
      </c>
      <c r="E556">
        <f t="shared" si="76"/>
        <v>0</v>
      </c>
      <c r="F556">
        <f t="shared" si="77"/>
        <v>0</v>
      </c>
      <c r="G556">
        <f t="shared" si="78"/>
        <v>1</v>
      </c>
      <c r="H556">
        <v>0</v>
      </c>
      <c r="I556">
        <f t="shared" si="79"/>
        <v>0</v>
      </c>
      <c r="J556">
        <v>0</v>
      </c>
      <c r="K556" t="s">
        <v>2624</v>
      </c>
      <c r="L556" t="s">
        <v>2625</v>
      </c>
      <c r="M556" t="s">
        <v>27</v>
      </c>
      <c r="N556" t="s">
        <v>27</v>
      </c>
      <c r="O556">
        <v>1.0900000000000001</v>
      </c>
      <c r="P556" t="s">
        <v>27</v>
      </c>
      <c r="Q556" t="s">
        <v>27</v>
      </c>
      <c r="R556">
        <v>5.9000000953674299</v>
      </c>
      <c r="S556">
        <v>3.125</v>
      </c>
      <c r="T556">
        <v>0.54563099145889304</v>
      </c>
      <c r="U556">
        <v>-27.394279479980501</v>
      </c>
      <c r="V556">
        <v>4258000</v>
      </c>
      <c r="W556">
        <v>7.6760659217834499</v>
      </c>
      <c r="X556">
        <v>-1.12000000476837</v>
      </c>
      <c r="Y556">
        <v>3.5144510269164999</v>
      </c>
      <c r="Z556">
        <v>-19.658119201660199</v>
      </c>
      <c r="AA556">
        <v>31675000</v>
      </c>
      <c r="AB556" t="s">
        <v>27</v>
      </c>
      <c r="AC556" t="s">
        <v>27</v>
      </c>
      <c r="AD556">
        <v>5.0000000745058101E-2</v>
      </c>
      <c r="AE556">
        <v>41.884513854980497</v>
      </c>
      <c r="AF556" t="s">
        <v>27</v>
      </c>
      <c r="AG556">
        <v>32986000</v>
      </c>
      <c r="AH556">
        <v>0.70508497953414895</v>
      </c>
      <c r="AI556">
        <v>-27.6770324707031</v>
      </c>
    </row>
    <row r="557" spans="1:35">
      <c r="A557">
        <f t="shared" si="72"/>
        <v>1</v>
      </c>
      <c r="B557">
        <f t="shared" si="73"/>
        <v>1</v>
      </c>
      <c r="C557">
        <f t="shared" si="74"/>
        <v>1</v>
      </c>
      <c r="D557">
        <f t="shared" si="75"/>
        <v>0</v>
      </c>
      <c r="E557">
        <f t="shared" si="76"/>
        <v>0</v>
      </c>
      <c r="F557">
        <f t="shared" si="77"/>
        <v>1</v>
      </c>
      <c r="G557">
        <f t="shared" si="78"/>
        <v>0</v>
      </c>
      <c r="H557">
        <v>0</v>
      </c>
      <c r="I557">
        <f t="shared" si="79"/>
        <v>0</v>
      </c>
      <c r="J557">
        <v>0</v>
      </c>
      <c r="K557" t="s">
        <v>2628</v>
      </c>
      <c r="L557" t="s">
        <v>2629</v>
      </c>
      <c r="M557" t="s">
        <v>27</v>
      </c>
      <c r="N557" t="s">
        <v>27</v>
      </c>
      <c r="O557">
        <v>16.25</v>
      </c>
      <c r="P557">
        <v>12.4027671813965</v>
      </c>
      <c r="Q557" t="s">
        <v>27</v>
      </c>
      <c r="R557">
        <v>26.5</v>
      </c>
      <c r="S557">
        <v>36.5</v>
      </c>
      <c r="T557">
        <v>23.3490085601807</v>
      </c>
      <c r="U557">
        <v>23.922925949096701</v>
      </c>
      <c r="V557">
        <v>183000</v>
      </c>
      <c r="W557">
        <v>5.1041221618652299</v>
      </c>
      <c r="X557">
        <v>0.93000000715255704</v>
      </c>
      <c r="Y557">
        <v>5.2925591468811</v>
      </c>
      <c r="Z557">
        <v>0.73872500658035301</v>
      </c>
      <c r="AA557">
        <v>15886000</v>
      </c>
      <c r="AB557" t="s">
        <v>38</v>
      </c>
      <c r="AC557" t="s">
        <v>146</v>
      </c>
      <c r="AD557">
        <v>-0.31000000238418601</v>
      </c>
      <c r="AE557">
        <v>2.92446708679199</v>
      </c>
      <c r="AF557">
        <v>15.7082998949718</v>
      </c>
      <c r="AG557">
        <v>19456000</v>
      </c>
      <c r="AH557">
        <v>0</v>
      </c>
      <c r="AI557">
        <v>12.4194393157959</v>
      </c>
    </row>
    <row r="558" spans="1:35">
      <c r="A558">
        <f t="shared" si="72"/>
        <v>0</v>
      </c>
      <c r="B558">
        <f t="shared" si="73"/>
        <v>0</v>
      </c>
      <c r="C558">
        <f t="shared" si="74"/>
        <v>1</v>
      </c>
      <c r="D558">
        <f t="shared" si="75"/>
        <v>0</v>
      </c>
      <c r="E558">
        <f t="shared" si="76"/>
        <v>1</v>
      </c>
      <c r="F558">
        <f t="shared" si="77"/>
        <v>0</v>
      </c>
      <c r="G558">
        <f t="shared" si="78"/>
        <v>0</v>
      </c>
      <c r="H558">
        <v>0</v>
      </c>
      <c r="I558">
        <f t="shared" si="79"/>
        <v>0</v>
      </c>
      <c r="J558">
        <v>0</v>
      </c>
      <c r="K558" t="s">
        <v>2632</v>
      </c>
      <c r="L558" t="s">
        <v>2633</v>
      </c>
      <c r="M558" t="s">
        <v>27</v>
      </c>
      <c r="N558" t="s">
        <v>27</v>
      </c>
      <c r="O558">
        <v>6.42</v>
      </c>
      <c r="P558" t="s">
        <v>27</v>
      </c>
      <c r="Q558" t="s">
        <v>27</v>
      </c>
      <c r="R558">
        <v>20.5</v>
      </c>
      <c r="S558">
        <v>37.25</v>
      </c>
      <c r="T558" t="s">
        <v>27</v>
      </c>
      <c r="U558" t="s">
        <v>27</v>
      </c>
      <c r="V558" t="s">
        <v>27</v>
      </c>
      <c r="W558">
        <v>-22.788883209228501</v>
      </c>
      <c r="X558" t="s">
        <v>27</v>
      </c>
      <c r="Y558" t="s">
        <v>27</v>
      </c>
      <c r="Z558" t="s">
        <v>27</v>
      </c>
      <c r="AA558" t="s">
        <v>27</v>
      </c>
      <c r="AB558" t="s">
        <v>38</v>
      </c>
      <c r="AC558" t="s">
        <v>113</v>
      </c>
      <c r="AD558" t="s">
        <v>27</v>
      </c>
      <c r="AE558" t="s">
        <v>27</v>
      </c>
      <c r="AF558" t="s">
        <v>27</v>
      </c>
      <c r="AG558" t="s">
        <v>27</v>
      </c>
      <c r="AH558" t="s">
        <v>27</v>
      </c>
      <c r="AI558">
        <v>-30.114242553710898</v>
      </c>
    </row>
    <row r="559" spans="1:35">
      <c r="A559">
        <f t="shared" si="72"/>
        <v>0</v>
      </c>
      <c r="B559">
        <f t="shared" si="73"/>
        <v>1</v>
      </c>
      <c r="C559">
        <f t="shared" si="74"/>
        <v>0</v>
      </c>
      <c r="D559">
        <f t="shared" si="75"/>
        <v>0</v>
      </c>
      <c r="E559">
        <f t="shared" si="76"/>
        <v>0</v>
      </c>
      <c r="F559">
        <f t="shared" si="77"/>
        <v>1</v>
      </c>
      <c r="G559">
        <f t="shared" si="78"/>
        <v>0</v>
      </c>
      <c r="H559">
        <v>0</v>
      </c>
      <c r="I559">
        <f t="shared" si="79"/>
        <v>0</v>
      </c>
      <c r="J559">
        <v>0</v>
      </c>
      <c r="K559" t="s">
        <v>2636</v>
      </c>
      <c r="L559" t="s">
        <v>2637</v>
      </c>
      <c r="M559" t="s">
        <v>27</v>
      </c>
      <c r="N559" t="s">
        <v>27</v>
      </c>
      <c r="O559">
        <v>34.1</v>
      </c>
      <c r="P559">
        <v>9.3802213668823207</v>
      </c>
      <c r="Q559" t="s">
        <v>27</v>
      </c>
      <c r="R559">
        <v>32.599998474121101</v>
      </c>
      <c r="S559">
        <v>29.350000381469702</v>
      </c>
      <c r="T559">
        <v>46.2265815734863</v>
      </c>
      <c r="U559" t="s">
        <v>27</v>
      </c>
      <c r="V559">
        <v>-163515008</v>
      </c>
      <c r="W559">
        <v>4.2407460212707502</v>
      </c>
      <c r="X559">
        <v>0.50999999046325695</v>
      </c>
      <c r="Y559">
        <v>7.9016389846801802</v>
      </c>
      <c r="Z559">
        <v>6.3692312240600604</v>
      </c>
      <c r="AA559">
        <v>9791000</v>
      </c>
      <c r="AB559" t="s">
        <v>83</v>
      </c>
      <c r="AC559" t="s">
        <v>84</v>
      </c>
      <c r="AD559">
        <v>0.40999999642372098</v>
      </c>
      <c r="AE559" t="s">
        <v>27</v>
      </c>
      <c r="AF559">
        <v>7.3312366632933399</v>
      </c>
      <c r="AG559">
        <v>9272181</v>
      </c>
      <c r="AH559">
        <v>48.729133605957003</v>
      </c>
      <c r="AI559">
        <v>5.3496608734130904</v>
      </c>
    </row>
    <row r="560" spans="1:35">
      <c r="A560">
        <f t="shared" si="72"/>
        <v>0</v>
      </c>
      <c r="B560">
        <f t="shared" si="73"/>
        <v>1</v>
      </c>
      <c r="C560">
        <f t="shared" si="74"/>
        <v>0</v>
      </c>
      <c r="D560">
        <f t="shared" si="75"/>
        <v>0</v>
      </c>
      <c r="E560">
        <f t="shared" si="76"/>
        <v>0</v>
      </c>
      <c r="F560">
        <f t="shared" si="77"/>
        <v>1</v>
      </c>
      <c r="G560">
        <f t="shared" si="78"/>
        <v>0</v>
      </c>
      <c r="H560">
        <v>0</v>
      </c>
      <c r="I560">
        <f t="shared" si="79"/>
        <v>0</v>
      </c>
      <c r="J560">
        <v>0</v>
      </c>
      <c r="K560" t="s">
        <v>2640</v>
      </c>
      <c r="L560" t="s">
        <v>2641</v>
      </c>
      <c r="M560" t="s">
        <v>27</v>
      </c>
      <c r="N560" t="s">
        <v>27</v>
      </c>
      <c r="O560">
        <v>4.9400000000000004</v>
      </c>
      <c r="P560" t="s">
        <v>27</v>
      </c>
      <c r="Q560" t="s">
        <v>27</v>
      </c>
      <c r="R560">
        <v>23.680000305175799</v>
      </c>
      <c r="S560">
        <v>16.625</v>
      </c>
      <c r="T560">
        <v>36.858219146728501</v>
      </c>
      <c r="U560">
        <v>27.993852615356399</v>
      </c>
      <c r="V560">
        <v>-27694002</v>
      </c>
      <c r="W560">
        <v>-3.7691578865051301</v>
      </c>
      <c r="X560" t="s">
        <v>27</v>
      </c>
      <c r="Y560" t="s">
        <v>27</v>
      </c>
      <c r="Z560" t="s">
        <v>27</v>
      </c>
      <c r="AA560">
        <v>30098510</v>
      </c>
      <c r="AB560" t="s">
        <v>27</v>
      </c>
      <c r="AC560" t="s">
        <v>27</v>
      </c>
      <c r="AD560">
        <v>-2.0299999713897701</v>
      </c>
      <c r="AE560">
        <v>27.8536682128906</v>
      </c>
      <c r="AF560">
        <v>1.8184339163904999</v>
      </c>
      <c r="AG560">
        <v>30099000</v>
      </c>
      <c r="AH560">
        <v>40.954479217529297</v>
      </c>
      <c r="AI560">
        <v>15.4341039657593</v>
      </c>
    </row>
    <row r="561" spans="1:35">
      <c r="A561">
        <f t="shared" si="72"/>
        <v>0</v>
      </c>
      <c r="B561">
        <f t="shared" si="73"/>
        <v>0</v>
      </c>
      <c r="C561">
        <f t="shared" si="74"/>
        <v>0</v>
      </c>
      <c r="D561">
        <f t="shared" si="75"/>
        <v>0</v>
      </c>
      <c r="E561">
        <f t="shared" si="76"/>
        <v>0</v>
      </c>
      <c r="F561">
        <f t="shared" si="77"/>
        <v>0</v>
      </c>
      <c r="G561">
        <f t="shared" si="78"/>
        <v>1</v>
      </c>
      <c r="H561">
        <v>0</v>
      </c>
      <c r="I561">
        <f t="shared" si="79"/>
        <v>0</v>
      </c>
      <c r="J561">
        <v>0</v>
      </c>
      <c r="K561" t="s">
        <v>2648</v>
      </c>
      <c r="L561" t="s">
        <v>2649</v>
      </c>
      <c r="M561" t="s">
        <v>27</v>
      </c>
      <c r="N561" t="s">
        <v>27</v>
      </c>
      <c r="O561">
        <v>3.27</v>
      </c>
      <c r="P561" t="s">
        <v>27</v>
      </c>
      <c r="Q561" t="s">
        <v>27</v>
      </c>
      <c r="R561">
        <v>9.7100000381469709</v>
      </c>
      <c r="S561">
        <v>22.5</v>
      </c>
      <c r="T561">
        <v>0</v>
      </c>
      <c r="U561">
        <v>-39.168487548828097</v>
      </c>
      <c r="V561">
        <v>-12641000</v>
      </c>
      <c r="W561">
        <v>-38.479709625244098</v>
      </c>
      <c r="X561">
        <v>-0.270000010728836</v>
      </c>
      <c r="Y561">
        <v>-7.4407291412353498</v>
      </c>
      <c r="Z561">
        <v>-8.5457267761230504</v>
      </c>
      <c r="AA561">
        <v>24938000</v>
      </c>
      <c r="AB561" t="s">
        <v>27</v>
      </c>
      <c r="AC561" t="s">
        <v>27</v>
      </c>
      <c r="AD561">
        <v>-0.37000000476837203</v>
      </c>
      <c r="AE561">
        <v>-11.9418287277222</v>
      </c>
      <c r="AF561" t="s">
        <v>27</v>
      </c>
      <c r="AG561">
        <v>25225080</v>
      </c>
      <c r="AH561">
        <v>6.1826648712158203</v>
      </c>
      <c r="AI561">
        <v>-48.1024360656738</v>
      </c>
    </row>
    <row r="562" spans="1:35">
      <c r="A562">
        <f t="shared" si="72"/>
        <v>0</v>
      </c>
      <c r="B562">
        <f t="shared" si="73"/>
        <v>0</v>
      </c>
      <c r="C562">
        <f t="shared" si="74"/>
        <v>0</v>
      </c>
      <c r="D562">
        <f t="shared" si="75"/>
        <v>0</v>
      </c>
      <c r="E562">
        <f t="shared" si="76"/>
        <v>0</v>
      </c>
      <c r="F562">
        <f t="shared" si="77"/>
        <v>1</v>
      </c>
      <c r="G562">
        <f t="shared" si="78"/>
        <v>0</v>
      </c>
      <c r="H562">
        <v>0</v>
      </c>
      <c r="I562">
        <f t="shared" si="79"/>
        <v>0</v>
      </c>
      <c r="J562">
        <v>0</v>
      </c>
      <c r="K562" t="s">
        <v>2652</v>
      </c>
      <c r="L562" t="s">
        <v>2653</v>
      </c>
      <c r="M562" t="s">
        <v>27</v>
      </c>
      <c r="N562" t="s">
        <v>27</v>
      </c>
      <c r="O562">
        <v>7.11</v>
      </c>
      <c r="P562" t="s">
        <v>27</v>
      </c>
      <c r="Q562" t="s">
        <v>27</v>
      </c>
      <c r="R562">
        <v>9</v>
      </c>
      <c r="S562">
        <v>11.75</v>
      </c>
      <c r="T562">
        <v>0</v>
      </c>
      <c r="U562">
        <v>47.994098663330099</v>
      </c>
      <c r="V562">
        <v>-13106000</v>
      </c>
      <c r="W562" t="s">
        <v>27</v>
      </c>
      <c r="X562">
        <v>7.0000000298023196E-2</v>
      </c>
      <c r="Y562" t="s">
        <v>27</v>
      </c>
      <c r="Z562" t="s">
        <v>27</v>
      </c>
      <c r="AA562">
        <v>16559999</v>
      </c>
      <c r="AB562" t="s">
        <v>38</v>
      </c>
      <c r="AC562" t="s">
        <v>113</v>
      </c>
      <c r="AD562">
        <v>-9.00000035762787E-2</v>
      </c>
      <c r="AE562">
        <v>32.376602172851598</v>
      </c>
      <c r="AF562" t="s">
        <v>27</v>
      </c>
      <c r="AG562">
        <v>18818000</v>
      </c>
      <c r="AH562">
        <v>0</v>
      </c>
      <c r="AI562" t="s">
        <v>27</v>
      </c>
    </row>
    <row r="563" spans="1:35">
      <c r="A563">
        <f t="shared" si="72"/>
        <v>1</v>
      </c>
      <c r="B563">
        <f t="shared" si="73"/>
        <v>0</v>
      </c>
      <c r="C563">
        <f t="shared" si="74"/>
        <v>1</v>
      </c>
      <c r="D563">
        <f t="shared" si="75"/>
        <v>0</v>
      </c>
      <c r="E563">
        <f t="shared" si="76"/>
        <v>0</v>
      </c>
      <c r="F563">
        <f t="shared" si="77"/>
        <v>0</v>
      </c>
      <c r="G563">
        <f t="shared" si="78"/>
        <v>0</v>
      </c>
      <c r="H563">
        <v>0</v>
      </c>
      <c r="I563">
        <f t="shared" si="79"/>
        <v>0</v>
      </c>
      <c r="J563">
        <v>0</v>
      </c>
      <c r="K563" t="s">
        <v>2654</v>
      </c>
      <c r="L563" t="s">
        <v>2655</v>
      </c>
      <c r="M563" t="s">
        <v>27</v>
      </c>
      <c r="N563" t="s">
        <v>27</v>
      </c>
      <c r="O563">
        <v>6.25</v>
      </c>
      <c r="P563" t="s">
        <v>27</v>
      </c>
      <c r="Q563" t="s">
        <v>27</v>
      </c>
      <c r="R563">
        <v>14.3999996185303</v>
      </c>
      <c r="S563" t="s">
        <v>27</v>
      </c>
      <c r="T563" t="s">
        <v>27</v>
      </c>
      <c r="U563" t="s">
        <v>27</v>
      </c>
      <c r="V563">
        <v>1720000</v>
      </c>
      <c r="W563">
        <v>-2.7669739723205602</v>
      </c>
      <c r="X563" t="s">
        <v>27</v>
      </c>
      <c r="Y563" t="s">
        <v>27</v>
      </c>
      <c r="Z563" t="s">
        <v>27</v>
      </c>
      <c r="AA563" t="s">
        <v>27</v>
      </c>
      <c r="AB563" t="s">
        <v>38</v>
      </c>
      <c r="AC563" t="s">
        <v>118</v>
      </c>
      <c r="AD563">
        <v>-0.119999997317791</v>
      </c>
      <c r="AE563">
        <v>65.085350036621094</v>
      </c>
      <c r="AF563">
        <v>11.031766905578101</v>
      </c>
      <c r="AG563">
        <v>22913000</v>
      </c>
      <c r="AH563">
        <v>7.7068999409675598E-2</v>
      </c>
      <c r="AI563">
        <v>-85.991119384765597</v>
      </c>
    </row>
    <row r="564" spans="1:35">
      <c r="A564">
        <f t="shared" si="72"/>
        <v>0</v>
      </c>
      <c r="B564">
        <f t="shared" si="73"/>
        <v>0</v>
      </c>
      <c r="C564">
        <f t="shared" si="74"/>
        <v>1</v>
      </c>
      <c r="D564">
        <f t="shared" si="75"/>
        <v>1</v>
      </c>
      <c r="E564">
        <f t="shared" si="76"/>
        <v>0</v>
      </c>
      <c r="F564">
        <f t="shared" si="77"/>
        <v>1</v>
      </c>
      <c r="G564">
        <f t="shared" si="78"/>
        <v>0</v>
      </c>
      <c r="H564">
        <v>0</v>
      </c>
      <c r="I564">
        <f t="shared" si="79"/>
        <v>1</v>
      </c>
      <c r="J564">
        <v>0</v>
      </c>
      <c r="K564" t="s">
        <v>2658</v>
      </c>
      <c r="L564" t="s">
        <v>2659</v>
      </c>
      <c r="M564" t="s">
        <v>27</v>
      </c>
      <c r="N564" t="s">
        <v>27</v>
      </c>
      <c r="O564">
        <v>29.01</v>
      </c>
      <c r="P564">
        <v>17.417501449585</v>
      </c>
      <c r="Q564" t="s">
        <v>27</v>
      </c>
      <c r="R564">
        <v>18.75</v>
      </c>
      <c r="S564">
        <v>21.136363636363601</v>
      </c>
      <c r="T564">
        <v>0</v>
      </c>
      <c r="U564" t="s">
        <v>27</v>
      </c>
      <c r="V564">
        <v>2980000</v>
      </c>
      <c r="W564">
        <v>1.6035029888153101</v>
      </c>
      <c r="X564">
        <v>0.31500000845302201</v>
      </c>
      <c r="Y564">
        <v>7.1987099647521999</v>
      </c>
      <c r="Z564">
        <v>6.3825268745422399</v>
      </c>
      <c r="AA564">
        <v>6639600</v>
      </c>
      <c r="AB564" t="s">
        <v>34</v>
      </c>
      <c r="AC564" t="s">
        <v>35</v>
      </c>
      <c r="AD564">
        <v>0.34499999880790699</v>
      </c>
      <c r="AE564" t="s">
        <v>27</v>
      </c>
      <c r="AF564" t="s">
        <v>27</v>
      </c>
      <c r="AG564">
        <v>6654000</v>
      </c>
      <c r="AH564">
        <v>0</v>
      </c>
      <c r="AI564">
        <v>1.5570880174636801</v>
      </c>
    </row>
    <row r="565" spans="1:35">
      <c r="A565">
        <f t="shared" si="72"/>
        <v>1</v>
      </c>
      <c r="B565">
        <f t="shared" si="73"/>
        <v>0</v>
      </c>
      <c r="C565">
        <f t="shared" si="74"/>
        <v>0</v>
      </c>
      <c r="D565">
        <f t="shared" si="75"/>
        <v>0</v>
      </c>
      <c r="E565">
        <f t="shared" si="76"/>
        <v>0</v>
      </c>
      <c r="F565">
        <f t="shared" si="77"/>
        <v>0</v>
      </c>
      <c r="G565">
        <f t="shared" si="78"/>
        <v>0</v>
      </c>
      <c r="H565">
        <v>0</v>
      </c>
      <c r="I565">
        <f t="shared" si="79"/>
        <v>1</v>
      </c>
      <c r="J565">
        <v>0</v>
      </c>
      <c r="K565" t="s">
        <v>2662</v>
      </c>
      <c r="L565" t="s">
        <v>2663</v>
      </c>
      <c r="M565" t="s">
        <v>27</v>
      </c>
      <c r="N565" t="s">
        <v>27</v>
      </c>
      <c r="O565">
        <v>14.241</v>
      </c>
      <c r="P565" t="s">
        <v>27</v>
      </c>
      <c r="Q565" t="s">
        <v>27</v>
      </c>
      <c r="R565">
        <v>12.6400003433228</v>
      </c>
      <c r="S565">
        <v>11.5</v>
      </c>
      <c r="T565" t="s">
        <v>27</v>
      </c>
      <c r="U565" t="s">
        <v>27</v>
      </c>
      <c r="V565">
        <v>-233000</v>
      </c>
      <c r="W565">
        <v>-0.44641500711441001</v>
      </c>
      <c r="X565" t="s">
        <v>27</v>
      </c>
      <c r="Y565" t="s">
        <v>27</v>
      </c>
      <c r="Z565" t="s">
        <v>27</v>
      </c>
      <c r="AA565" t="s">
        <v>27</v>
      </c>
      <c r="AB565" t="s">
        <v>27</v>
      </c>
      <c r="AC565" t="s">
        <v>27</v>
      </c>
      <c r="AD565">
        <v>5.0000000745058101E-2</v>
      </c>
      <c r="AE565">
        <v>51.661895751953097</v>
      </c>
      <c r="AF565">
        <v>14.295517311047799</v>
      </c>
      <c r="AG565">
        <v>8246000</v>
      </c>
      <c r="AH565">
        <v>11.4884185791016</v>
      </c>
      <c r="AI565">
        <v>-6.1179761886596697</v>
      </c>
    </row>
    <row r="566" spans="1:35">
      <c r="A566">
        <f t="shared" si="72"/>
        <v>1</v>
      </c>
      <c r="B566">
        <f t="shared" si="73"/>
        <v>0</v>
      </c>
      <c r="C566">
        <f t="shared" si="74"/>
        <v>1</v>
      </c>
      <c r="D566">
        <f t="shared" si="75"/>
        <v>0</v>
      </c>
      <c r="E566">
        <f t="shared" si="76"/>
        <v>0</v>
      </c>
      <c r="F566">
        <f t="shared" si="77"/>
        <v>0</v>
      </c>
      <c r="G566">
        <f t="shared" si="78"/>
        <v>0</v>
      </c>
      <c r="H566">
        <v>0</v>
      </c>
      <c r="I566">
        <f t="shared" si="79"/>
        <v>0</v>
      </c>
      <c r="J566">
        <v>0</v>
      </c>
      <c r="K566" t="s">
        <v>2664</v>
      </c>
      <c r="L566" t="s">
        <v>2665</v>
      </c>
      <c r="M566" t="s">
        <v>27</v>
      </c>
      <c r="N566" t="s">
        <v>27</v>
      </c>
      <c r="O566">
        <v>9.7200000000000006</v>
      </c>
      <c r="P566" t="s">
        <v>27</v>
      </c>
      <c r="Q566" t="s">
        <v>27</v>
      </c>
      <c r="R566">
        <v>17.120000839233398</v>
      </c>
      <c r="S566">
        <v>11.3125</v>
      </c>
      <c r="T566">
        <v>5.37851810455322</v>
      </c>
      <c r="U566">
        <v>50.374313354492202</v>
      </c>
      <c r="V566">
        <v>4743000</v>
      </c>
      <c r="W566">
        <v>7.7423400878906303</v>
      </c>
      <c r="X566">
        <v>-0.20999999344348899</v>
      </c>
      <c r="Y566">
        <v>3.3226840496063201</v>
      </c>
      <c r="Z566">
        <v>3.3412890434265101</v>
      </c>
      <c r="AA566">
        <v>24438000</v>
      </c>
      <c r="AB566" t="s">
        <v>27</v>
      </c>
      <c r="AC566" t="s">
        <v>27</v>
      </c>
      <c r="AD566">
        <v>-0.43999999761581399</v>
      </c>
      <c r="AE566">
        <v>42.169761657714801</v>
      </c>
      <c r="AF566">
        <v>7.2040105008829798</v>
      </c>
      <c r="AG566">
        <v>24595000</v>
      </c>
      <c r="AH566">
        <v>1.1392170190811199</v>
      </c>
      <c r="AI566">
        <v>-10.199426651001</v>
      </c>
    </row>
    <row r="567" spans="1:35">
      <c r="A567">
        <f t="shared" si="72"/>
        <v>1</v>
      </c>
      <c r="B567">
        <f t="shared" si="73"/>
        <v>0</v>
      </c>
      <c r="C567">
        <f t="shared" si="74"/>
        <v>1</v>
      </c>
      <c r="D567">
        <f t="shared" si="75"/>
        <v>1</v>
      </c>
      <c r="E567">
        <f t="shared" si="76"/>
        <v>0</v>
      </c>
      <c r="F567">
        <f t="shared" si="77"/>
        <v>0</v>
      </c>
      <c r="G567">
        <f t="shared" si="78"/>
        <v>1</v>
      </c>
      <c r="H567">
        <v>0</v>
      </c>
      <c r="I567">
        <f t="shared" si="79"/>
        <v>0</v>
      </c>
      <c r="J567">
        <v>0</v>
      </c>
      <c r="K567" t="s">
        <v>2666</v>
      </c>
      <c r="L567" t="s">
        <v>2667</v>
      </c>
      <c r="M567" t="s">
        <v>27</v>
      </c>
      <c r="N567" t="s">
        <v>27</v>
      </c>
      <c r="O567">
        <v>5.35</v>
      </c>
      <c r="P567" t="s">
        <v>27</v>
      </c>
      <c r="Q567" t="s">
        <v>27</v>
      </c>
      <c r="R567">
        <v>5.6009998321533203</v>
      </c>
      <c r="S567">
        <v>5.4375</v>
      </c>
      <c r="T567">
        <v>0.260085999965668</v>
      </c>
      <c r="U567">
        <v>48.323333740234403</v>
      </c>
      <c r="V567">
        <v>1675000</v>
      </c>
      <c r="W567">
        <v>-1.8240230083465601</v>
      </c>
      <c r="X567">
        <v>-9.9999997764825804E-3</v>
      </c>
      <c r="Y567">
        <v>0.153476998209953</v>
      </c>
      <c r="Z567">
        <v>4.1666669845581099</v>
      </c>
      <c r="AA567">
        <v>29328000</v>
      </c>
      <c r="AB567" t="s">
        <v>38</v>
      </c>
      <c r="AC567" t="s">
        <v>89</v>
      </c>
      <c r="AD567">
        <v>0.119999997317791</v>
      </c>
      <c r="AE567">
        <v>58.646961212158203</v>
      </c>
      <c r="AF567">
        <v>7.0242880703683301</v>
      </c>
      <c r="AG567">
        <v>32694000</v>
      </c>
      <c r="AH567">
        <v>0.12861299514770499</v>
      </c>
      <c r="AI567">
        <v>-17.713306427001999</v>
      </c>
    </row>
    <row r="568" spans="1:35">
      <c r="A568">
        <f t="shared" si="72"/>
        <v>1</v>
      </c>
      <c r="B568">
        <f t="shared" si="73"/>
        <v>0</v>
      </c>
      <c r="C568">
        <f t="shared" si="74"/>
        <v>1</v>
      </c>
      <c r="D568">
        <f t="shared" si="75"/>
        <v>1</v>
      </c>
      <c r="E568">
        <f t="shared" si="76"/>
        <v>0</v>
      </c>
      <c r="F568">
        <f t="shared" si="77"/>
        <v>0</v>
      </c>
      <c r="G568">
        <f t="shared" si="78"/>
        <v>0</v>
      </c>
      <c r="H568">
        <v>0</v>
      </c>
      <c r="I568">
        <f t="shared" si="79"/>
        <v>0</v>
      </c>
      <c r="J568">
        <v>0</v>
      </c>
      <c r="K568" t="s">
        <v>2668</v>
      </c>
      <c r="L568" t="s">
        <v>2669</v>
      </c>
      <c r="M568" t="s">
        <v>27</v>
      </c>
      <c r="N568" t="s">
        <v>27</v>
      </c>
      <c r="O568">
        <v>12.63</v>
      </c>
      <c r="P568" t="s">
        <v>27</v>
      </c>
      <c r="Q568" t="s">
        <v>27</v>
      </c>
      <c r="R568">
        <v>13.5</v>
      </c>
      <c r="S568">
        <v>13.3125</v>
      </c>
      <c r="T568">
        <v>47.0033569335938</v>
      </c>
      <c r="U568">
        <v>21.108518600463899</v>
      </c>
      <c r="V568">
        <v>6620000</v>
      </c>
      <c r="W568">
        <v>5.9422631263732901</v>
      </c>
      <c r="X568">
        <v>2.9999999329447701E-2</v>
      </c>
      <c r="Y568" t="s">
        <v>27</v>
      </c>
      <c r="Z568">
        <v>0.97640401124954201</v>
      </c>
      <c r="AA568">
        <v>7457000</v>
      </c>
      <c r="AB568" t="s">
        <v>52</v>
      </c>
      <c r="AC568" t="s">
        <v>53</v>
      </c>
      <c r="AD568">
        <v>0.15999999642372101</v>
      </c>
      <c r="AE568">
        <v>18.113845825195298</v>
      </c>
      <c r="AF568">
        <v>5.9429225166773296</v>
      </c>
      <c r="AG568">
        <v>7538000</v>
      </c>
      <c r="AH568">
        <v>45.268646240234403</v>
      </c>
      <c r="AI568">
        <v>-0.37023299932479897</v>
      </c>
    </row>
    <row r="569" spans="1:35">
      <c r="A569">
        <f t="shared" si="72"/>
        <v>0</v>
      </c>
      <c r="B569">
        <f t="shared" si="73"/>
        <v>0</v>
      </c>
      <c r="C569">
        <f t="shared" si="74"/>
        <v>0</v>
      </c>
      <c r="D569">
        <f t="shared" si="75"/>
        <v>1</v>
      </c>
      <c r="E569">
        <f t="shared" si="76"/>
        <v>0</v>
      </c>
      <c r="F569">
        <f t="shared" si="77"/>
        <v>0</v>
      </c>
      <c r="G569">
        <f t="shared" si="78"/>
        <v>1</v>
      </c>
      <c r="H569">
        <v>0</v>
      </c>
      <c r="I569">
        <f t="shared" si="79"/>
        <v>0</v>
      </c>
      <c r="J569">
        <v>0</v>
      </c>
      <c r="K569" t="s">
        <v>2674</v>
      </c>
      <c r="L569" t="s">
        <v>2675</v>
      </c>
      <c r="M569" t="s">
        <v>27</v>
      </c>
      <c r="N569" t="s">
        <v>27</v>
      </c>
      <c r="O569">
        <v>1.91</v>
      </c>
      <c r="P569" t="s">
        <v>27</v>
      </c>
      <c r="Q569" t="s">
        <v>27</v>
      </c>
      <c r="R569">
        <v>7</v>
      </c>
      <c r="S569">
        <v>4.0625</v>
      </c>
      <c r="T569">
        <v>33.669525146484403</v>
      </c>
      <c r="U569">
        <v>26.610876083373999</v>
      </c>
      <c r="V569">
        <v>-27970000</v>
      </c>
      <c r="W569">
        <v>36.434043884277301</v>
      </c>
      <c r="X569">
        <v>-1.4099999666214</v>
      </c>
      <c r="Y569">
        <v>7.03999996185303</v>
      </c>
      <c r="Z569">
        <v>12.5</v>
      </c>
      <c r="AA569">
        <v>20054000</v>
      </c>
      <c r="AB569" t="s">
        <v>27</v>
      </c>
      <c r="AC569" t="s">
        <v>27</v>
      </c>
      <c r="AD569">
        <v>-1.3400000333786</v>
      </c>
      <c r="AE569">
        <v>26.7904567718506</v>
      </c>
      <c r="AF569">
        <v>2.55096371261221</v>
      </c>
      <c r="AG569">
        <v>20056000</v>
      </c>
      <c r="AH569">
        <v>38.828353881835902</v>
      </c>
      <c r="AI569">
        <v>-10.352394104003899</v>
      </c>
    </row>
    <row r="570" spans="1:35">
      <c r="A570">
        <f t="shared" si="72"/>
        <v>1</v>
      </c>
      <c r="B570">
        <f t="shared" si="73"/>
        <v>1</v>
      </c>
      <c r="C570">
        <f t="shared" si="74"/>
        <v>1</v>
      </c>
      <c r="D570">
        <f t="shared" si="75"/>
        <v>0</v>
      </c>
      <c r="E570">
        <f t="shared" si="76"/>
        <v>0</v>
      </c>
      <c r="F570">
        <f t="shared" si="77"/>
        <v>1</v>
      </c>
      <c r="G570">
        <f t="shared" si="78"/>
        <v>0</v>
      </c>
      <c r="H570">
        <v>0</v>
      </c>
      <c r="I570">
        <f t="shared" si="79"/>
        <v>1</v>
      </c>
      <c r="J570">
        <v>0</v>
      </c>
      <c r="K570" t="s">
        <v>2682</v>
      </c>
      <c r="L570" t="s">
        <v>2683</v>
      </c>
      <c r="M570" t="s">
        <v>27</v>
      </c>
      <c r="N570" t="s">
        <v>27</v>
      </c>
      <c r="O570">
        <v>25.7</v>
      </c>
      <c r="P570" t="s">
        <v>27</v>
      </c>
      <c r="Q570" t="s">
        <v>27</v>
      </c>
      <c r="R570">
        <v>23.280000686645501</v>
      </c>
      <c r="S570">
        <v>21</v>
      </c>
      <c r="T570">
        <v>65.091903686523395</v>
      </c>
      <c r="U570" t="s">
        <v>27</v>
      </c>
      <c r="V570" t="s">
        <v>27</v>
      </c>
      <c r="W570">
        <v>4.0301008224487296</v>
      </c>
      <c r="X570">
        <v>0.46000000834464999</v>
      </c>
      <c r="Y570">
        <v>13.9928321838379</v>
      </c>
      <c r="Z570">
        <v>5.9764709472656303</v>
      </c>
      <c r="AA570">
        <v>13472000</v>
      </c>
      <c r="AB570" t="s">
        <v>83</v>
      </c>
      <c r="AC570" t="s">
        <v>84</v>
      </c>
      <c r="AD570">
        <v>0.270000010728836</v>
      </c>
      <c r="AE570" t="s">
        <v>27</v>
      </c>
      <c r="AF570">
        <v>11.0178172572137</v>
      </c>
      <c r="AG570">
        <v>15734000</v>
      </c>
      <c r="AH570">
        <v>58.977146148681598</v>
      </c>
      <c r="AI570">
        <v>5.7383289337158203</v>
      </c>
    </row>
    <row r="571" spans="1:35">
      <c r="A571">
        <f t="shared" si="72"/>
        <v>0</v>
      </c>
      <c r="B571">
        <f t="shared" si="73"/>
        <v>1</v>
      </c>
      <c r="C571">
        <f t="shared" si="74"/>
        <v>0</v>
      </c>
      <c r="D571">
        <f t="shared" si="75"/>
        <v>0</v>
      </c>
      <c r="E571">
        <f t="shared" si="76"/>
        <v>0</v>
      </c>
      <c r="F571">
        <f t="shared" si="77"/>
        <v>1</v>
      </c>
      <c r="G571">
        <f t="shared" si="78"/>
        <v>0</v>
      </c>
      <c r="H571">
        <v>0</v>
      </c>
      <c r="I571">
        <f t="shared" si="79"/>
        <v>0</v>
      </c>
      <c r="J571">
        <v>0</v>
      </c>
      <c r="K571" t="s">
        <v>2686</v>
      </c>
      <c r="L571" t="s">
        <v>2687</v>
      </c>
      <c r="M571" t="s">
        <v>27</v>
      </c>
      <c r="N571" t="s">
        <v>27</v>
      </c>
      <c r="O571">
        <v>0.68</v>
      </c>
      <c r="P571">
        <v>3.4518880844116202</v>
      </c>
      <c r="Q571" t="s">
        <v>27</v>
      </c>
      <c r="R571">
        <v>6.8800001144409197</v>
      </c>
      <c r="S571">
        <v>24.290000915527301</v>
      </c>
      <c r="T571">
        <v>34.945289611816399</v>
      </c>
      <c r="U571">
        <v>56.429878234863303</v>
      </c>
      <c r="V571">
        <v>-2666000</v>
      </c>
      <c r="W571">
        <v>1.2741719484329199</v>
      </c>
      <c r="X571">
        <v>-3.9999999105930301E-2</v>
      </c>
      <c r="Y571">
        <v>1.89090895652771</v>
      </c>
      <c r="Z571">
        <v>-5.35211181640625</v>
      </c>
      <c r="AA571">
        <v>31821000</v>
      </c>
      <c r="AB571" t="s">
        <v>27</v>
      </c>
      <c r="AC571" t="s">
        <v>27</v>
      </c>
      <c r="AD571">
        <v>-0.92000001668930098</v>
      </c>
      <c r="AE571">
        <v>44.2946968078613</v>
      </c>
      <c r="AF571">
        <v>18.416357847031499</v>
      </c>
      <c r="AG571">
        <v>31935000</v>
      </c>
      <c r="AH571">
        <v>46.528606414794901</v>
      </c>
      <c r="AI571">
        <v>10.0041723251343</v>
      </c>
    </row>
    <row r="572" spans="1:35">
      <c r="A572">
        <f t="shared" si="72"/>
        <v>0</v>
      </c>
      <c r="B572">
        <f t="shared" si="73"/>
        <v>0</v>
      </c>
      <c r="C572">
        <f t="shared" si="74"/>
        <v>0</v>
      </c>
      <c r="D572">
        <f t="shared" si="75"/>
        <v>0</v>
      </c>
      <c r="E572">
        <f t="shared" si="76"/>
        <v>0</v>
      </c>
      <c r="F572">
        <f t="shared" si="77"/>
        <v>0</v>
      </c>
      <c r="G572">
        <f t="shared" si="78"/>
        <v>1</v>
      </c>
      <c r="H572">
        <v>0</v>
      </c>
      <c r="I572">
        <f t="shared" si="79"/>
        <v>0</v>
      </c>
      <c r="J572">
        <v>0</v>
      </c>
      <c r="K572" t="s">
        <v>2688</v>
      </c>
      <c r="L572" t="s">
        <v>2689</v>
      </c>
      <c r="M572" t="s">
        <v>27</v>
      </c>
      <c r="N572" t="s">
        <v>27</v>
      </c>
      <c r="O572">
        <v>9.3699999999999992</v>
      </c>
      <c r="P572" t="s">
        <v>27</v>
      </c>
      <c r="Q572" t="s">
        <v>27</v>
      </c>
      <c r="R572">
        <v>18.700000762939499</v>
      </c>
      <c r="S572">
        <v>10</v>
      </c>
      <c r="T572">
        <v>0</v>
      </c>
      <c r="U572">
        <v>36.920883178710902</v>
      </c>
      <c r="V572">
        <v>-3310000</v>
      </c>
      <c r="W572">
        <v>-19.323514938354499</v>
      </c>
      <c r="X572">
        <v>-0.17000000178813901</v>
      </c>
      <c r="Y572">
        <v>-4.9655170440673801</v>
      </c>
      <c r="Z572">
        <v>-5.3395237922668501</v>
      </c>
      <c r="AA572">
        <v>12644000</v>
      </c>
      <c r="AB572" t="s">
        <v>27</v>
      </c>
      <c r="AC572" t="s">
        <v>27</v>
      </c>
      <c r="AD572">
        <v>-0.28000000119209301</v>
      </c>
      <c r="AE572">
        <v>37.067642211914098</v>
      </c>
      <c r="AF572" t="s">
        <v>27</v>
      </c>
      <c r="AG572">
        <v>15245000</v>
      </c>
      <c r="AH572">
        <v>4.2015528678893999</v>
      </c>
      <c r="AI572">
        <v>-21.771507263183601</v>
      </c>
    </row>
    <row r="573" spans="1:35">
      <c r="A573">
        <f t="shared" si="72"/>
        <v>1</v>
      </c>
      <c r="B573">
        <f t="shared" si="73"/>
        <v>1</v>
      </c>
      <c r="C573">
        <f t="shared" si="74"/>
        <v>0</v>
      </c>
      <c r="D573">
        <f t="shared" si="75"/>
        <v>0</v>
      </c>
      <c r="E573">
        <f t="shared" si="76"/>
        <v>0</v>
      </c>
      <c r="F573">
        <f t="shared" si="77"/>
        <v>0</v>
      </c>
      <c r="G573">
        <f t="shared" si="78"/>
        <v>0</v>
      </c>
      <c r="H573">
        <v>0</v>
      </c>
      <c r="I573">
        <f t="shared" si="79"/>
        <v>0</v>
      </c>
      <c r="J573">
        <v>0</v>
      </c>
      <c r="K573" t="s">
        <v>2694</v>
      </c>
      <c r="L573" t="s">
        <v>2695</v>
      </c>
      <c r="M573" t="s">
        <v>27</v>
      </c>
      <c r="N573" t="s">
        <v>27</v>
      </c>
      <c r="O573">
        <v>0.53</v>
      </c>
      <c r="P573" t="s">
        <v>27</v>
      </c>
      <c r="Q573" t="s">
        <v>27</v>
      </c>
      <c r="R573">
        <v>2.75</v>
      </c>
      <c r="S573">
        <v>1.9375</v>
      </c>
      <c r="T573">
        <v>1.1542160511016799</v>
      </c>
      <c r="U573" t="s">
        <v>27</v>
      </c>
      <c r="V573">
        <v>-2743000</v>
      </c>
      <c r="W573">
        <v>-217.87886047363301</v>
      </c>
      <c r="X573">
        <v>-2.9999999329447701E-2</v>
      </c>
      <c r="Y573">
        <v>-4.9870128631591797</v>
      </c>
      <c r="Z573">
        <v>-4.96453905105591</v>
      </c>
      <c r="AA573">
        <v>96313000</v>
      </c>
      <c r="AB573" t="s">
        <v>73</v>
      </c>
      <c r="AC573" t="s">
        <v>141</v>
      </c>
      <c r="AD573">
        <v>-2.9999999329447701E-2</v>
      </c>
      <c r="AE573" t="s">
        <v>27</v>
      </c>
      <c r="AF573" t="s">
        <v>27</v>
      </c>
      <c r="AG573">
        <v>102550000</v>
      </c>
      <c r="AH573">
        <v>0.37960299849510198</v>
      </c>
      <c r="AI573">
        <v>-137.65971374511699</v>
      </c>
    </row>
    <row r="574" spans="1:35">
      <c r="A574">
        <f t="shared" si="72"/>
        <v>1</v>
      </c>
      <c r="B574">
        <f t="shared" si="73"/>
        <v>1</v>
      </c>
      <c r="C574">
        <f t="shared" si="74"/>
        <v>1</v>
      </c>
      <c r="D574">
        <f t="shared" si="75"/>
        <v>1</v>
      </c>
      <c r="E574">
        <f t="shared" si="76"/>
        <v>0</v>
      </c>
      <c r="F574">
        <f t="shared" si="77"/>
        <v>1</v>
      </c>
      <c r="G574">
        <f t="shared" si="78"/>
        <v>0</v>
      </c>
      <c r="H574">
        <v>0</v>
      </c>
      <c r="I574">
        <f t="shared" si="79"/>
        <v>1</v>
      </c>
      <c r="J574">
        <v>0</v>
      </c>
      <c r="K574" t="s">
        <v>2704</v>
      </c>
      <c r="L574" t="s">
        <v>2705</v>
      </c>
      <c r="M574" t="s">
        <v>27</v>
      </c>
      <c r="N574" t="s">
        <v>27</v>
      </c>
      <c r="O574">
        <v>32.65</v>
      </c>
      <c r="P574">
        <v>2.9794819355011</v>
      </c>
      <c r="Q574" t="s">
        <v>27</v>
      </c>
      <c r="R574">
        <v>29.5</v>
      </c>
      <c r="S574">
        <v>22</v>
      </c>
      <c r="T574">
        <v>26.452091217041001</v>
      </c>
      <c r="U574" t="s">
        <v>27</v>
      </c>
      <c r="V574">
        <v>2677000</v>
      </c>
      <c r="W574">
        <v>0.89105498790741</v>
      </c>
      <c r="X574">
        <v>0.61000001430511497</v>
      </c>
      <c r="Y574">
        <v>9.8850574493408203</v>
      </c>
      <c r="Z574">
        <v>8.5818176269531303</v>
      </c>
      <c r="AA574">
        <v>13354000</v>
      </c>
      <c r="AB574" t="s">
        <v>27</v>
      </c>
      <c r="AC574" t="s">
        <v>27</v>
      </c>
      <c r="AD574">
        <v>0.730000019073486</v>
      </c>
      <c r="AE574" t="s">
        <v>27</v>
      </c>
      <c r="AF574" t="s">
        <v>27</v>
      </c>
      <c r="AG574">
        <v>13200018</v>
      </c>
      <c r="AH574">
        <v>21.567214965820298</v>
      </c>
      <c r="AI574">
        <v>0.95465701818466198</v>
      </c>
    </row>
    <row r="575" spans="1:35">
      <c r="A575">
        <f t="shared" si="72"/>
        <v>1</v>
      </c>
      <c r="B575">
        <f t="shared" si="73"/>
        <v>1</v>
      </c>
      <c r="C575">
        <f t="shared" si="74"/>
        <v>0</v>
      </c>
      <c r="D575">
        <f t="shared" si="75"/>
        <v>0</v>
      </c>
      <c r="E575">
        <f t="shared" si="76"/>
        <v>0</v>
      </c>
      <c r="F575">
        <f t="shared" si="77"/>
        <v>1</v>
      </c>
      <c r="G575">
        <f t="shared" si="78"/>
        <v>1</v>
      </c>
      <c r="H575">
        <v>0</v>
      </c>
      <c r="I575">
        <f t="shared" si="79"/>
        <v>0</v>
      </c>
      <c r="J575">
        <v>0</v>
      </c>
      <c r="K575" t="s">
        <v>2706</v>
      </c>
      <c r="L575" t="s">
        <v>2707</v>
      </c>
      <c r="M575" t="s">
        <v>27</v>
      </c>
      <c r="N575" t="s">
        <v>27</v>
      </c>
      <c r="O575">
        <v>12.5</v>
      </c>
      <c r="P575" t="s">
        <v>27</v>
      </c>
      <c r="Q575" t="s">
        <v>27</v>
      </c>
      <c r="R575">
        <v>15.060000419616699</v>
      </c>
      <c r="S575">
        <v>12.1000003814697</v>
      </c>
      <c r="T575">
        <v>30.302274703979499</v>
      </c>
      <c r="U575">
        <v>14.478048324585</v>
      </c>
      <c r="V575">
        <v>-2488000</v>
      </c>
      <c r="W575">
        <v>4.1538858413696298</v>
      </c>
      <c r="X575">
        <v>0.17000000178813901</v>
      </c>
      <c r="Y575">
        <v>9.4020624160766602</v>
      </c>
      <c r="Z575">
        <v>7.5767469406127903</v>
      </c>
      <c r="AA575">
        <v>42416000</v>
      </c>
      <c r="AB575" t="s">
        <v>52</v>
      </c>
      <c r="AC575" t="s">
        <v>1064</v>
      </c>
      <c r="AD575">
        <v>0.109999999403954</v>
      </c>
      <c r="AE575">
        <v>20.2042636871338</v>
      </c>
      <c r="AF575" t="s">
        <v>27</v>
      </c>
      <c r="AG575">
        <v>42717000</v>
      </c>
      <c r="AH575">
        <v>30.179113388061499</v>
      </c>
      <c r="AI575">
        <v>4.3411660194396999</v>
      </c>
    </row>
    <row r="576" spans="1:35">
      <c r="A576">
        <f t="shared" si="72"/>
        <v>1</v>
      </c>
      <c r="B576">
        <f t="shared" si="73"/>
        <v>0</v>
      </c>
      <c r="C576">
        <f t="shared" si="74"/>
        <v>1</v>
      </c>
      <c r="D576">
        <f t="shared" si="75"/>
        <v>1</v>
      </c>
      <c r="E576">
        <f t="shared" si="76"/>
        <v>0</v>
      </c>
      <c r="F576">
        <f t="shared" si="77"/>
        <v>0</v>
      </c>
      <c r="G576">
        <f t="shared" si="78"/>
        <v>1</v>
      </c>
      <c r="H576">
        <v>0</v>
      </c>
      <c r="I576">
        <f t="shared" si="79"/>
        <v>1</v>
      </c>
      <c r="J576">
        <v>0</v>
      </c>
      <c r="K576" t="s">
        <v>2708</v>
      </c>
      <c r="L576" t="s">
        <v>2709</v>
      </c>
      <c r="M576" t="s">
        <v>27</v>
      </c>
      <c r="N576" t="s">
        <v>27</v>
      </c>
      <c r="O576">
        <v>29.5</v>
      </c>
      <c r="P576" t="s">
        <v>27</v>
      </c>
      <c r="Q576" t="s">
        <v>27</v>
      </c>
      <c r="R576">
        <v>21</v>
      </c>
      <c r="S576">
        <v>13</v>
      </c>
      <c r="T576">
        <v>29.837631225585898</v>
      </c>
      <c r="U576">
        <v>8.4901657104492205</v>
      </c>
      <c r="V576">
        <v>2943999.75</v>
      </c>
      <c r="W576">
        <v>1.3031079769134499</v>
      </c>
      <c r="X576">
        <v>-0.20000000298023199</v>
      </c>
      <c r="Y576">
        <v>-3.9626169204711901</v>
      </c>
      <c r="Z576">
        <v>1.6402120590210001</v>
      </c>
      <c r="AA576">
        <v>5178000</v>
      </c>
      <c r="AB576" t="s">
        <v>328</v>
      </c>
      <c r="AC576" t="s">
        <v>403</v>
      </c>
      <c r="AD576">
        <v>0.92000001668930098</v>
      </c>
      <c r="AE576">
        <v>17.833805084228501</v>
      </c>
      <c r="AF576">
        <v>6.8321744884205398</v>
      </c>
      <c r="AG576">
        <v>5257000</v>
      </c>
      <c r="AH576">
        <v>29.820461273193398</v>
      </c>
      <c r="AI576">
        <v>-5.4119248390197798</v>
      </c>
    </row>
    <row r="577" spans="1:35">
      <c r="A577">
        <f t="shared" si="72"/>
        <v>0</v>
      </c>
      <c r="B577">
        <f t="shared" si="73"/>
        <v>0</v>
      </c>
      <c r="C577">
        <f t="shared" si="74"/>
        <v>0</v>
      </c>
      <c r="D577">
        <f t="shared" si="75"/>
        <v>0</v>
      </c>
      <c r="E577">
        <f t="shared" si="76"/>
        <v>0</v>
      </c>
      <c r="F577">
        <f t="shared" si="77"/>
        <v>0</v>
      </c>
      <c r="G577">
        <f t="shared" si="78"/>
        <v>0</v>
      </c>
      <c r="H577">
        <v>0</v>
      </c>
      <c r="I577">
        <f t="shared" si="79"/>
        <v>0</v>
      </c>
      <c r="J577">
        <v>0</v>
      </c>
      <c r="K577" t="s">
        <v>2712</v>
      </c>
      <c r="L577" t="s">
        <v>2713</v>
      </c>
      <c r="M577" t="s">
        <v>27</v>
      </c>
      <c r="N577" t="s">
        <v>27</v>
      </c>
      <c r="O577">
        <v>5.8120000000000003</v>
      </c>
      <c r="P577">
        <v>14.930977821350099</v>
      </c>
      <c r="Q577" t="s">
        <v>27</v>
      </c>
      <c r="R577">
        <v>12.460000038146999</v>
      </c>
      <c r="S577">
        <v>18.625</v>
      </c>
      <c r="T577">
        <v>0</v>
      </c>
      <c r="U577">
        <v>89.692543029785199</v>
      </c>
      <c r="V577">
        <v>-1937000</v>
      </c>
      <c r="W577">
        <v>12.2679443359375</v>
      </c>
      <c r="X577">
        <v>0.28000000119209301</v>
      </c>
      <c r="Y577">
        <v>4.8313717842102104</v>
      </c>
      <c r="Z577">
        <v>-0.59820497035980202</v>
      </c>
      <c r="AA577">
        <v>25608000</v>
      </c>
      <c r="AB577" t="s">
        <v>27</v>
      </c>
      <c r="AC577" t="s">
        <v>27</v>
      </c>
      <c r="AD577">
        <v>-0.68999999761581399</v>
      </c>
      <c r="AE577">
        <v>76.299369812011705</v>
      </c>
      <c r="AF577" t="s">
        <v>27</v>
      </c>
      <c r="AG577">
        <v>25239000</v>
      </c>
      <c r="AH577">
        <v>0.39318200945854198</v>
      </c>
      <c r="AI577">
        <v>-9.9726886749267596</v>
      </c>
    </row>
    <row r="578" spans="1:35">
      <c r="A578">
        <f t="shared" si="72"/>
        <v>0</v>
      </c>
      <c r="B578">
        <f t="shared" si="73"/>
        <v>0</v>
      </c>
      <c r="C578">
        <f t="shared" si="74"/>
        <v>0</v>
      </c>
      <c r="D578">
        <f t="shared" si="75"/>
        <v>0</v>
      </c>
      <c r="E578">
        <f t="shared" si="76"/>
        <v>0</v>
      </c>
      <c r="F578">
        <f t="shared" si="77"/>
        <v>0</v>
      </c>
      <c r="G578">
        <f t="shared" si="78"/>
        <v>0</v>
      </c>
      <c r="H578">
        <v>0</v>
      </c>
      <c r="I578">
        <f t="shared" si="79"/>
        <v>0</v>
      </c>
      <c r="J578">
        <v>0</v>
      </c>
      <c r="K578" t="s">
        <v>2714</v>
      </c>
      <c r="L578" t="s">
        <v>2715</v>
      </c>
      <c r="M578" t="s">
        <v>27</v>
      </c>
      <c r="N578" t="s">
        <v>27</v>
      </c>
      <c r="O578">
        <v>13.52</v>
      </c>
      <c r="P578">
        <v>13.732626914978001</v>
      </c>
      <c r="Q578" t="s">
        <v>27</v>
      </c>
      <c r="R578">
        <v>40.139999389648402</v>
      </c>
      <c r="S578">
        <v>27.5625</v>
      </c>
      <c r="T578">
        <v>0</v>
      </c>
      <c r="U578">
        <v>48.172580718994098</v>
      </c>
      <c r="V578">
        <v>-14015010</v>
      </c>
      <c r="W578">
        <v>14.4665746688843</v>
      </c>
      <c r="X578">
        <v>0.34000000357627902</v>
      </c>
      <c r="Y578">
        <v>2.8874170780181898</v>
      </c>
      <c r="Z578">
        <v>-0.47516199946403498</v>
      </c>
      <c r="AA578">
        <v>12959000</v>
      </c>
      <c r="AB578" t="s">
        <v>27</v>
      </c>
      <c r="AC578" t="s">
        <v>27</v>
      </c>
      <c r="AD578">
        <v>-0.54000002145767201</v>
      </c>
      <c r="AE578">
        <v>34.292308807372997</v>
      </c>
      <c r="AF578" t="s">
        <v>27</v>
      </c>
      <c r="AG578">
        <v>13884000</v>
      </c>
      <c r="AH578">
        <v>0</v>
      </c>
      <c r="AI578">
        <v>-8.3694362640380895</v>
      </c>
    </row>
    <row r="579" spans="1:35">
      <c r="A579">
        <f t="shared" si="72"/>
        <v>0</v>
      </c>
      <c r="B579">
        <f t="shared" si="73"/>
        <v>1</v>
      </c>
      <c r="C579">
        <f t="shared" si="74"/>
        <v>1</v>
      </c>
      <c r="D579">
        <f t="shared" si="75"/>
        <v>1</v>
      </c>
      <c r="E579">
        <f t="shared" si="76"/>
        <v>0</v>
      </c>
      <c r="F579">
        <f t="shared" si="77"/>
        <v>1</v>
      </c>
      <c r="G579">
        <f t="shared" si="78"/>
        <v>1</v>
      </c>
      <c r="H579">
        <v>0</v>
      </c>
      <c r="I579">
        <f t="shared" si="79"/>
        <v>0</v>
      </c>
      <c r="J579">
        <v>0</v>
      </c>
      <c r="K579" t="s">
        <v>2718</v>
      </c>
      <c r="L579" t="s">
        <v>2719</v>
      </c>
      <c r="M579" t="s">
        <v>27</v>
      </c>
      <c r="N579" t="s">
        <v>27</v>
      </c>
      <c r="O579">
        <v>12.5</v>
      </c>
      <c r="P579" t="s">
        <v>27</v>
      </c>
      <c r="Q579" t="s">
        <v>27</v>
      </c>
      <c r="R579">
        <v>12.949999809265099</v>
      </c>
      <c r="S579">
        <v>12.125</v>
      </c>
      <c r="T579">
        <v>3.7883980274200399</v>
      </c>
      <c r="U579">
        <v>97.212677001953097</v>
      </c>
      <c r="V579" t="s">
        <v>27</v>
      </c>
      <c r="W579">
        <v>-2.4576940536499001</v>
      </c>
      <c r="X579">
        <v>-0.230000004172325</v>
      </c>
      <c r="Y579" t="s">
        <v>27</v>
      </c>
      <c r="Z579" t="s">
        <v>27</v>
      </c>
      <c r="AA579">
        <v>12390096</v>
      </c>
      <c r="AB579" t="s">
        <v>34</v>
      </c>
      <c r="AC579" t="s">
        <v>479</v>
      </c>
      <c r="AD579" t="s">
        <v>27</v>
      </c>
      <c r="AE579" t="s">
        <v>27</v>
      </c>
      <c r="AF579" t="s">
        <v>27</v>
      </c>
      <c r="AG579" t="s">
        <v>27</v>
      </c>
      <c r="AH579" t="s">
        <v>27</v>
      </c>
      <c r="AI579">
        <v>1.3312619924545299</v>
      </c>
    </row>
    <row r="580" spans="1:35">
      <c r="A580">
        <f t="shared" si="72"/>
        <v>0</v>
      </c>
      <c r="B580">
        <f t="shared" si="73"/>
        <v>0</v>
      </c>
      <c r="C580">
        <f t="shared" si="74"/>
        <v>1</v>
      </c>
      <c r="D580">
        <f t="shared" si="75"/>
        <v>1</v>
      </c>
      <c r="E580">
        <f t="shared" si="76"/>
        <v>0</v>
      </c>
      <c r="F580">
        <f t="shared" si="77"/>
        <v>0</v>
      </c>
      <c r="G580">
        <f t="shared" si="78"/>
        <v>1</v>
      </c>
      <c r="H580">
        <v>0</v>
      </c>
      <c r="I580">
        <f t="shared" si="79"/>
        <v>1</v>
      </c>
      <c r="J580">
        <v>0</v>
      </c>
      <c r="K580" t="s">
        <v>2724</v>
      </c>
      <c r="L580" t="s">
        <v>2725</v>
      </c>
      <c r="M580" t="s">
        <v>27</v>
      </c>
      <c r="N580" t="s">
        <v>27</v>
      </c>
      <c r="O580">
        <v>13.08</v>
      </c>
      <c r="P580" t="s">
        <v>27</v>
      </c>
      <c r="Q580" t="s">
        <v>27</v>
      </c>
      <c r="R580">
        <v>9.3999996185302699</v>
      </c>
      <c r="S580">
        <v>9.34375</v>
      </c>
      <c r="T580">
        <v>0</v>
      </c>
      <c r="U580">
        <v>41.681476593017599</v>
      </c>
      <c r="V580">
        <v>4655000</v>
      </c>
      <c r="W580">
        <v>2.9221899509429901</v>
      </c>
      <c r="X580">
        <v>-0.43999999761581399</v>
      </c>
      <c r="Y580">
        <v>3.0222220420837398</v>
      </c>
      <c r="Z580">
        <v>-3.4364259243011501</v>
      </c>
      <c r="AA580">
        <v>50750000</v>
      </c>
      <c r="AB580" t="s">
        <v>27</v>
      </c>
      <c r="AC580" t="s">
        <v>27</v>
      </c>
      <c r="AD580">
        <v>-0.28000000119209301</v>
      </c>
      <c r="AE580">
        <v>43.523250579833999</v>
      </c>
      <c r="AF580">
        <v>40.231168459164699</v>
      </c>
      <c r="AG580">
        <v>54914000</v>
      </c>
      <c r="AH580">
        <v>0</v>
      </c>
      <c r="AI580">
        <v>-20.533237457275401</v>
      </c>
    </row>
    <row r="581" spans="1:35">
      <c r="A581">
        <f t="shared" si="72"/>
        <v>0</v>
      </c>
      <c r="B581">
        <f t="shared" si="73"/>
        <v>1</v>
      </c>
      <c r="C581">
        <f t="shared" si="74"/>
        <v>1</v>
      </c>
      <c r="D581">
        <f t="shared" si="75"/>
        <v>0</v>
      </c>
      <c r="E581">
        <f t="shared" si="76"/>
        <v>0</v>
      </c>
      <c r="F581">
        <f t="shared" si="77"/>
        <v>0</v>
      </c>
      <c r="G581">
        <f t="shared" si="78"/>
        <v>1</v>
      </c>
      <c r="H581">
        <v>0</v>
      </c>
      <c r="I581">
        <f t="shared" si="79"/>
        <v>0</v>
      </c>
      <c r="J581">
        <v>0</v>
      </c>
      <c r="K581" t="s">
        <v>2728</v>
      </c>
      <c r="L581" t="s">
        <v>2729</v>
      </c>
      <c r="M581" t="s">
        <v>27</v>
      </c>
      <c r="N581" t="s">
        <v>27</v>
      </c>
      <c r="O581">
        <v>7.57</v>
      </c>
      <c r="P581" t="s">
        <v>27</v>
      </c>
      <c r="Q581" t="s">
        <v>27</v>
      </c>
      <c r="R581">
        <v>14.1000003814697</v>
      </c>
      <c r="S581">
        <v>23.9375</v>
      </c>
      <c r="T581">
        <v>0</v>
      </c>
      <c r="U581">
        <v>41.5047416687012</v>
      </c>
      <c r="V581">
        <v>1092000</v>
      </c>
      <c r="W581">
        <v>-37.491371154785199</v>
      </c>
      <c r="X581">
        <v>5.0000000745058101E-2</v>
      </c>
      <c r="Y581" t="s">
        <v>27</v>
      </c>
      <c r="Z581">
        <v>2.4603168964386</v>
      </c>
      <c r="AA581">
        <v>36643000</v>
      </c>
      <c r="AB581" t="s">
        <v>38</v>
      </c>
      <c r="AC581" t="s">
        <v>118</v>
      </c>
      <c r="AD581">
        <v>-7.0000000298023196E-2</v>
      </c>
      <c r="AE581">
        <v>47.632297515869098</v>
      </c>
      <c r="AF581">
        <v>19.074004752098801</v>
      </c>
      <c r="AG581">
        <v>41369000</v>
      </c>
      <c r="AH581">
        <v>0</v>
      </c>
      <c r="AI581">
        <v>-0.817663013935089</v>
      </c>
    </row>
    <row r="582" spans="1:35">
      <c r="A582">
        <f t="shared" si="72"/>
        <v>1</v>
      </c>
      <c r="B582">
        <f t="shared" si="73"/>
        <v>0</v>
      </c>
      <c r="C582">
        <f t="shared" si="74"/>
        <v>1</v>
      </c>
      <c r="D582">
        <f t="shared" si="75"/>
        <v>1</v>
      </c>
      <c r="E582">
        <f t="shared" si="76"/>
        <v>0</v>
      </c>
      <c r="F582">
        <f t="shared" si="77"/>
        <v>1</v>
      </c>
      <c r="G582">
        <f t="shared" si="78"/>
        <v>1</v>
      </c>
      <c r="H582">
        <v>0</v>
      </c>
      <c r="I582">
        <f t="shared" si="79"/>
        <v>0</v>
      </c>
      <c r="J582">
        <v>0</v>
      </c>
      <c r="K582" t="s">
        <v>2732</v>
      </c>
      <c r="L582" t="s">
        <v>2733</v>
      </c>
      <c r="M582" t="s">
        <v>27</v>
      </c>
      <c r="N582" t="s">
        <v>27</v>
      </c>
      <c r="O582">
        <v>15.92</v>
      </c>
      <c r="P582" t="s">
        <v>27</v>
      </c>
      <c r="Q582" t="s">
        <v>27</v>
      </c>
      <c r="R582">
        <v>18.399999618530298</v>
      </c>
      <c r="S582">
        <v>30.625</v>
      </c>
      <c r="T582">
        <v>12.5991811752319</v>
      </c>
      <c r="U582">
        <v>14.130734443664601</v>
      </c>
      <c r="V582">
        <v>4462000</v>
      </c>
      <c r="W582">
        <v>9.3262853622436506</v>
      </c>
      <c r="X582">
        <v>-0.41999998688697798</v>
      </c>
      <c r="Y582" t="s">
        <v>27</v>
      </c>
      <c r="Z582" t="s">
        <v>27</v>
      </c>
      <c r="AA582">
        <v>11852000</v>
      </c>
      <c r="AB582" t="s">
        <v>38</v>
      </c>
      <c r="AC582" t="s">
        <v>146</v>
      </c>
      <c r="AD582">
        <v>0.270000010728836</v>
      </c>
      <c r="AE582">
        <v>31.008743286132798</v>
      </c>
      <c r="AF582" t="s">
        <v>27</v>
      </c>
      <c r="AG582">
        <v>12534000</v>
      </c>
      <c r="AH582">
        <v>10.0624084472656</v>
      </c>
      <c r="AI582">
        <v>0.25911301374435403</v>
      </c>
    </row>
    <row r="583" spans="1:35">
      <c r="A583">
        <f t="shared" si="72"/>
        <v>1</v>
      </c>
      <c r="B583">
        <f t="shared" si="73"/>
        <v>1</v>
      </c>
      <c r="C583">
        <f t="shared" si="74"/>
        <v>1</v>
      </c>
      <c r="D583">
        <f t="shared" si="75"/>
        <v>1</v>
      </c>
      <c r="E583">
        <f t="shared" si="76"/>
        <v>0</v>
      </c>
      <c r="F583">
        <f t="shared" si="77"/>
        <v>1</v>
      </c>
      <c r="G583">
        <f t="shared" si="78"/>
        <v>1</v>
      </c>
      <c r="H583">
        <v>0</v>
      </c>
      <c r="I583">
        <f t="shared" si="79"/>
        <v>0</v>
      </c>
      <c r="J583">
        <v>0</v>
      </c>
      <c r="K583" t="s">
        <v>2736</v>
      </c>
      <c r="L583" t="s">
        <v>2737</v>
      </c>
      <c r="M583" t="s">
        <v>27</v>
      </c>
      <c r="N583" t="s">
        <v>27</v>
      </c>
      <c r="O583">
        <v>10.14</v>
      </c>
      <c r="P583" t="s">
        <v>27</v>
      </c>
      <c r="Q583" t="s">
        <v>27</v>
      </c>
      <c r="R583">
        <v>15.3500003814697</v>
      </c>
      <c r="S583">
        <v>11.7600002288818</v>
      </c>
      <c r="T583">
        <v>23.863752365112301</v>
      </c>
      <c r="U583">
        <v>15.2047786712646</v>
      </c>
      <c r="V583">
        <v>3472999.75</v>
      </c>
      <c r="W583">
        <v>-1.6632659435272199</v>
      </c>
      <c r="X583">
        <v>-0.270000010728836</v>
      </c>
      <c r="Y583">
        <v>-3.6820080280303999</v>
      </c>
      <c r="Z583">
        <v>-6.3157892227172896</v>
      </c>
      <c r="AA583">
        <v>24538000</v>
      </c>
      <c r="AB583" t="s">
        <v>27</v>
      </c>
      <c r="AC583" t="s">
        <v>27</v>
      </c>
      <c r="AD583">
        <v>-9.00000035762787E-2</v>
      </c>
      <c r="AE583">
        <v>21.118949890136701</v>
      </c>
      <c r="AF583">
        <v>20.993189964743799</v>
      </c>
      <c r="AG583">
        <v>24745000</v>
      </c>
      <c r="AH583">
        <v>23.7103576660156</v>
      </c>
      <c r="AI583" t="s">
        <v>27</v>
      </c>
    </row>
    <row r="584" spans="1:35">
      <c r="A584">
        <f t="shared" si="72"/>
        <v>1</v>
      </c>
      <c r="B584">
        <f t="shared" si="73"/>
        <v>0</v>
      </c>
      <c r="C584">
        <f t="shared" si="74"/>
        <v>0</v>
      </c>
      <c r="D584">
        <f t="shared" si="75"/>
        <v>1</v>
      </c>
      <c r="E584">
        <f t="shared" si="76"/>
        <v>0</v>
      </c>
      <c r="F584">
        <f t="shared" si="77"/>
        <v>0</v>
      </c>
      <c r="G584">
        <f t="shared" si="78"/>
        <v>0</v>
      </c>
      <c r="H584">
        <v>0</v>
      </c>
      <c r="I584">
        <f t="shared" si="79"/>
        <v>0</v>
      </c>
      <c r="J584">
        <v>0</v>
      </c>
      <c r="K584" t="s">
        <v>2742</v>
      </c>
      <c r="L584" t="s">
        <v>2743</v>
      </c>
      <c r="M584" t="s">
        <v>27</v>
      </c>
      <c r="N584" t="s">
        <v>27</v>
      </c>
      <c r="O584">
        <v>5.13</v>
      </c>
      <c r="P584" t="s">
        <v>27</v>
      </c>
      <c r="Q584" t="s">
        <v>27</v>
      </c>
      <c r="R584">
        <v>9.8100004196166992</v>
      </c>
      <c r="S584">
        <v>26.625</v>
      </c>
      <c r="T584">
        <v>3.5336530208587602</v>
      </c>
      <c r="U584">
        <v>-96.511634826660199</v>
      </c>
      <c r="V584">
        <v>-12542000</v>
      </c>
      <c r="W584">
        <v>-29.854740142822301</v>
      </c>
      <c r="X584">
        <v>-0.66000002622604403</v>
      </c>
      <c r="Y584">
        <v>-4.1342282295227104</v>
      </c>
      <c r="Z584">
        <v>-17.9833679199219</v>
      </c>
      <c r="AA584">
        <v>43651684</v>
      </c>
      <c r="AB584" t="s">
        <v>61</v>
      </c>
      <c r="AC584" t="s">
        <v>106</v>
      </c>
      <c r="AD584">
        <v>-0.37999999523162797</v>
      </c>
      <c r="AE584">
        <v>-161.95652770996099</v>
      </c>
      <c r="AF584" t="s">
        <v>27</v>
      </c>
      <c r="AG584">
        <v>50121000</v>
      </c>
      <c r="AH584">
        <v>3.42193603515625</v>
      </c>
      <c r="AI584">
        <v>-47.004127502441399</v>
      </c>
    </row>
    <row r="585" spans="1:35">
      <c r="A585">
        <f t="shared" si="72"/>
        <v>0</v>
      </c>
      <c r="B585">
        <f t="shared" si="73"/>
        <v>0</v>
      </c>
      <c r="C585">
        <f t="shared" si="74"/>
        <v>0</v>
      </c>
      <c r="D585">
        <f t="shared" si="75"/>
        <v>0</v>
      </c>
      <c r="E585">
        <f t="shared" si="76"/>
        <v>0</v>
      </c>
      <c r="F585">
        <f t="shared" si="77"/>
        <v>0</v>
      </c>
      <c r="G585">
        <f t="shared" si="78"/>
        <v>0</v>
      </c>
      <c r="H585">
        <v>0</v>
      </c>
      <c r="I585">
        <f t="shared" si="79"/>
        <v>0</v>
      </c>
      <c r="J585">
        <v>0</v>
      </c>
      <c r="K585" t="s">
        <v>2744</v>
      </c>
      <c r="L585" t="s">
        <v>2745</v>
      </c>
      <c r="M585" t="s">
        <v>27</v>
      </c>
      <c r="N585" t="s">
        <v>27</v>
      </c>
      <c r="O585">
        <v>3.32</v>
      </c>
      <c r="P585">
        <v>-105.821884155273</v>
      </c>
      <c r="Q585" t="s">
        <v>27</v>
      </c>
      <c r="R585">
        <v>16.950000762939499</v>
      </c>
      <c r="S585">
        <v>8</v>
      </c>
      <c r="T585">
        <v>0</v>
      </c>
      <c r="U585">
        <v>71.503074645996094</v>
      </c>
      <c r="V585">
        <v>-916000</v>
      </c>
      <c r="W585">
        <v>22.659896850585898</v>
      </c>
      <c r="X585">
        <v>9.00000035762787E-2</v>
      </c>
      <c r="Y585">
        <v>2.0837209224700901</v>
      </c>
      <c r="Z585">
        <v>0.19342300295829801</v>
      </c>
      <c r="AA585">
        <v>23333000</v>
      </c>
      <c r="AB585" t="s">
        <v>38</v>
      </c>
      <c r="AC585" t="s">
        <v>118</v>
      </c>
      <c r="AD585">
        <v>-5.0000000745058101E-2</v>
      </c>
      <c r="AE585">
        <v>65.119377136230497</v>
      </c>
      <c r="AF585">
        <v>19.960024041622699</v>
      </c>
      <c r="AG585">
        <v>23236000</v>
      </c>
      <c r="AH585">
        <v>0</v>
      </c>
      <c r="AI585">
        <v>-8.5082216262817401</v>
      </c>
    </row>
    <row r="586" spans="1:35">
      <c r="A586">
        <f t="shared" si="72"/>
        <v>1</v>
      </c>
      <c r="B586">
        <f t="shared" si="73"/>
        <v>0</v>
      </c>
      <c r="C586">
        <f t="shared" si="74"/>
        <v>1</v>
      </c>
      <c r="D586">
        <f t="shared" si="75"/>
        <v>1</v>
      </c>
      <c r="E586">
        <f t="shared" si="76"/>
        <v>0</v>
      </c>
      <c r="F586">
        <f t="shared" si="77"/>
        <v>1</v>
      </c>
      <c r="G586">
        <f t="shared" si="78"/>
        <v>0</v>
      </c>
      <c r="H586">
        <v>0</v>
      </c>
      <c r="I586">
        <f t="shared" si="79"/>
        <v>0</v>
      </c>
      <c r="J586">
        <v>0</v>
      </c>
      <c r="K586" t="s">
        <v>2746</v>
      </c>
      <c r="L586" t="s">
        <v>2747</v>
      </c>
      <c r="M586" t="s">
        <v>27</v>
      </c>
      <c r="N586" t="s">
        <v>27</v>
      </c>
      <c r="O586">
        <v>13.3</v>
      </c>
      <c r="P586" t="s">
        <v>27</v>
      </c>
      <c r="Q586" t="s">
        <v>27</v>
      </c>
      <c r="R586">
        <v>19.200000762939499</v>
      </c>
      <c r="S586">
        <v>17.25</v>
      </c>
      <c r="T586">
        <v>9.8494577407836896</v>
      </c>
      <c r="U586" t="s">
        <v>27</v>
      </c>
      <c r="V586" t="s">
        <v>27</v>
      </c>
      <c r="W586">
        <v>0.763338983058929</v>
      </c>
      <c r="X586">
        <v>-1.16999995708466</v>
      </c>
      <c r="Y586">
        <v>-1.5</v>
      </c>
      <c r="Z586">
        <v>0.72222197055816695</v>
      </c>
      <c r="AA586">
        <v>21616000</v>
      </c>
      <c r="AB586" t="s">
        <v>27</v>
      </c>
      <c r="AC586" t="s">
        <v>27</v>
      </c>
      <c r="AD586">
        <v>-0.62999999523162797</v>
      </c>
      <c r="AE586" t="s">
        <v>27</v>
      </c>
      <c r="AF586" t="s">
        <v>27</v>
      </c>
      <c r="AG586">
        <v>21465000</v>
      </c>
      <c r="AH586">
        <v>9.1617527008056605</v>
      </c>
      <c r="AI586">
        <v>3.9466999471187598E-2</v>
      </c>
    </row>
    <row r="587" spans="1:35">
      <c r="A587">
        <f t="shared" si="72"/>
        <v>1</v>
      </c>
      <c r="B587">
        <f t="shared" si="73"/>
        <v>0</v>
      </c>
      <c r="C587">
        <f t="shared" si="74"/>
        <v>0</v>
      </c>
      <c r="D587">
        <f t="shared" si="75"/>
        <v>1</v>
      </c>
      <c r="E587">
        <f t="shared" si="76"/>
        <v>0</v>
      </c>
      <c r="F587">
        <f t="shared" si="77"/>
        <v>1</v>
      </c>
      <c r="G587">
        <f t="shared" si="78"/>
        <v>0</v>
      </c>
      <c r="H587">
        <v>0</v>
      </c>
      <c r="I587">
        <f t="shared" si="79"/>
        <v>0</v>
      </c>
      <c r="J587">
        <v>0</v>
      </c>
      <c r="K587" t="s">
        <v>2754</v>
      </c>
      <c r="L587" t="s">
        <v>2755</v>
      </c>
      <c r="M587" t="s">
        <v>27</v>
      </c>
      <c r="N587" t="s">
        <v>27</v>
      </c>
      <c r="O587">
        <v>3.52</v>
      </c>
      <c r="P587">
        <v>2.1129090785980198</v>
      </c>
      <c r="Q587" t="s">
        <v>27</v>
      </c>
      <c r="R587">
        <v>10.050000190734901</v>
      </c>
      <c r="S587">
        <v>8.1999998092651403</v>
      </c>
      <c r="T587">
        <v>28.489767074585</v>
      </c>
      <c r="U587">
        <v>16.7049961090088</v>
      </c>
      <c r="V587">
        <v>-17500000</v>
      </c>
      <c r="W587">
        <v>10.658658027648899</v>
      </c>
      <c r="X587">
        <v>9.9999997764825804E-3</v>
      </c>
      <c r="Y587">
        <v>13.0598287582397</v>
      </c>
      <c r="Z587">
        <v>-2.4358971118927002</v>
      </c>
      <c r="AA587">
        <v>96477000</v>
      </c>
      <c r="AB587" t="s">
        <v>52</v>
      </c>
      <c r="AC587" t="s">
        <v>53</v>
      </c>
      <c r="AD587">
        <v>2.9999999329447701E-2</v>
      </c>
      <c r="AE587">
        <v>13.7204370498657</v>
      </c>
      <c r="AF587">
        <v>5.6242977311232396</v>
      </c>
      <c r="AG587">
        <v>93732000</v>
      </c>
      <c r="AH587">
        <v>21.6408882141113</v>
      </c>
      <c r="AI587">
        <v>0.88500499725341797</v>
      </c>
    </row>
    <row r="588" spans="1:35">
      <c r="A588">
        <f t="shared" si="72"/>
        <v>0</v>
      </c>
      <c r="B588">
        <f t="shared" si="73"/>
        <v>1</v>
      </c>
      <c r="C588">
        <f t="shared" si="74"/>
        <v>1</v>
      </c>
      <c r="D588">
        <f t="shared" si="75"/>
        <v>0</v>
      </c>
      <c r="E588">
        <f t="shared" si="76"/>
        <v>0</v>
      </c>
      <c r="F588">
        <f t="shared" si="77"/>
        <v>1</v>
      </c>
      <c r="G588">
        <f t="shared" si="78"/>
        <v>0</v>
      </c>
      <c r="H588">
        <v>0</v>
      </c>
      <c r="I588">
        <f t="shared" si="79"/>
        <v>0</v>
      </c>
      <c r="J588">
        <v>0</v>
      </c>
      <c r="K588" t="s">
        <v>2756</v>
      </c>
      <c r="L588" t="s">
        <v>2757</v>
      </c>
      <c r="M588" t="s">
        <v>27</v>
      </c>
      <c r="N588" t="s">
        <v>27</v>
      </c>
      <c r="O588">
        <v>8.35</v>
      </c>
      <c r="P588" t="s">
        <v>27</v>
      </c>
      <c r="Q588" t="s">
        <v>27</v>
      </c>
      <c r="R588">
        <v>13.4899997711182</v>
      </c>
      <c r="S588">
        <v>17.5625</v>
      </c>
      <c r="T588">
        <v>26.2156276702881</v>
      </c>
      <c r="U588">
        <v>14.6638278961182</v>
      </c>
      <c r="V588">
        <v>9175000</v>
      </c>
      <c r="W588">
        <v>5.9837408065795898</v>
      </c>
      <c r="X588">
        <v>0.64999997615814198</v>
      </c>
      <c r="Y588" t="s">
        <v>27</v>
      </c>
      <c r="Z588" t="s">
        <v>27</v>
      </c>
      <c r="AA588">
        <v>11812000</v>
      </c>
      <c r="AB588" t="s">
        <v>27</v>
      </c>
      <c r="AC588" t="s">
        <v>27</v>
      </c>
      <c r="AD588">
        <v>0.58999997377395597</v>
      </c>
      <c r="AE588">
        <v>13.419524192810099</v>
      </c>
      <c r="AF588" t="s">
        <v>27</v>
      </c>
      <c r="AG588">
        <v>12554000</v>
      </c>
      <c r="AH588">
        <v>27.076574325561499</v>
      </c>
      <c r="AI588">
        <v>7.2154388427734402</v>
      </c>
    </row>
    <row r="589" spans="1:35">
      <c r="A589">
        <f t="shared" si="72"/>
        <v>0</v>
      </c>
      <c r="B589">
        <f t="shared" si="73"/>
        <v>0</v>
      </c>
      <c r="C589">
        <f t="shared" si="74"/>
        <v>0</v>
      </c>
      <c r="D589">
        <f t="shared" si="75"/>
        <v>0</v>
      </c>
      <c r="E589">
        <f t="shared" si="76"/>
        <v>0</v>
      </c>
      <c r="F589">
        <f t="shared" si="77"/>
        <v>1</v>
      </c>
      <c r="G589">
        <f t="shared" si="78"/>
        <v>0</v>
      </c>
      <c r="H589">
        <v>0</v>
      </c>
      <c r="I589">
        <f t="shared" si="79"/>
        <v>0</v>
      </c>
      <c r="J589">
        <v>0</v>
      </c>
      <c r="K589" t="s">
        <v>2761</v>
      </c>
      <c r="L589" t="s">
        <v>2762</v>
      </c>
      <c r="M589" t="s">
        <v>27</v>
      </c>
      <c r="N589" t="s">
        <v>27</v>
      </c>
      <c r="O589">
        <v>10.49</v>
      </c>
      <c r="P589">
        <v>10.346250534057599</v>
      </c>
      <c r="Q589" t="s">
        <v>27</v>
      </c>
      <c r="R589">
        <v>14.3500003814697</v>
      </c>
      <c r="S589">
        <v>15.3900003433228</v>
      </c>
      <c r="T589">
        <v>33.021347045898402</v>
      </c>
      <c r="U589">
        <v>17.825922012329102</v>
      </c>
      <c r="V589">
        <v>-37000.1796875</v>
      </c>
      <c r="W589" t="s">
        <v>27</v>
      </c>
      <c r="X589">
        <v>0.66000002622604403</v>
      </c>
      <c r="Y589">
        <v>16.768558502197301</v>
      </c>
      <c r="Z589">
        <v>-6.640625</v>
      </c>
      <c r="AA589">
        <v>13852000</v>
      </c>
      <c r="AB589" t="s">
        <v>27</v>
      </c>
      <c r="AC589" t="s">
        <v>27</v>
      </c>
      <c r="AD589">
        <v>-0.58999997377395597</v>
      </c>
      <c r="AE589">
        <v>-3.2346930503845202</v>
      </c>
      <c r="AF589">
        <v>17.4804580152672</v>
      </c>
      <c r="AG589">
        <v>15617000</v>
      </c>
      <c r="AH589">
        <v>41.327243804931598</v>
      </c>
      <c r="AI589">
        <v>7.01556396484375</v>
      </c>
    </row>
    <row r="590" spans="1:35">
      <c r="A590">
        <f t="shared" si="72"/>
        <v>1</v>
      </c>
      <c r="B590">
        <f t="shared" si="73"/>
        <v>1</v>
      </c>
      <c r="C590">
        <f t="shared" si="74"/>
        <v>0</v>
      </c>
      <c r="D590">
        <f t="shared" si="75"/>
        <v>0</v>
      </c>
      <c r="E590">
        <f t="shared" si="76"/>
        <v>0</v>
      </c>
      <c r="F590">
        <f t="shared" si="77"/>
        <v>1</v>
      </c>
      <c r="G590">
        <f t="shared" si="78"/>
        <v>0</v>
      </c>
      <c r="H590">
        <v>0</v>
      </c>
      <c r="I590">
        <f t="shared" si="79"/>
        <v>0</v>
      </c>
      <c r="J590">
        <v>0</v>
      </c>
      <c r="K590" t="s">
        <v>2763</v>
      </c>
      <c r="L590" t="s">
        <v>2764</v>
      </c>
      <c r="M590" t="s">
        <v>27</v>
      </c>
      <c r="N590" t="s">
        <v>27</v>
      </c>
      <c r="O590">
        <v>18.39</v>
      </c>
      <c r="P590" t="s">
        <v>27</v>
      </c>
      <c r="Q590" t="s">
        <v>27</v>
      </c>
      <c r="R590">
        <v>30.129999160766602</v>
      </c>
      <c r="S590" t="s">
        <v>27</v>
      </c>
      <c r="T590" t="s">
        <v>27</v>
      </c>
      <c r="U590" t="s">
        <v>27</v>
      </c>
      <c r="V590">
        <v>-4854000</v>
      </c>
      <c r="W590">
        <v>2.1612119674682599</v>
      </c>
      <c r="X590" t="s">
        <v>27</v>
      </c>
      <c r="Y590" t="s">
        <v>27</v>
      </c>
      <c r="Z590" t="s">
        <v>27</v>
      </c>
      <c r="AA590" t="s">
        <v>27</v>
      </c>
      <c r="AB590" t="s">
        <v>30</v>
      </c>
      <c r="AC590" t="s">
        <v>223</v>
      </c>
      <c r="AD590">
        <v>0.28000000119209301</v>
      </c>
      <c r="AE590">
        <v>36.653766632080099</v>
      </c>
      <c r="AF590">
        <v>6.1796855729484301</v>
      </c>
      <c r="AG590">
        <v>30367000</v>
      </c>
      <c r="AH590">
        <v>47.813312530517599</v>
      </c>
      <c r="AI590">
        <v>4.98738813400269</v>
      </c>
    </row>
    <row r="591" spans="1:35">
      <c r="A591">
        <f t="shared" si="72"/>
        <v>0</v>
      </c>
      <c r="B591">
        <f t="shared" si="73"/>
        <v>1</v>
      </c>
      <c r="C591">
        <f t="shared" si="74"/>
        <v>1</v>
      </c>
      <c r="D591">
        <f t="shared" si="75"/>
        <v>1</v>
      </c>
      <c r="E591">
        <f t="shared" si="76"/>
        <v>0</v>
      </c>
      <c r="F591">
        <f t="shared" si="77"/>
        <v>1</v>
      </c>
      <c r="G591">
        <f t="shared" si="78"/>
        <v>0</v>
      </c>
      <c r="H591">
        <v>0</v>
      </c>
      <c r="I591">
        <f t="shared" si="79"/>
        <v>1</v>
      </c>
      <c r="J591">
        <v>0</v>
      </c>
      <c r="K591" t="s">
        <v>2765</v>
      </c>
      <c r="L591" t="s">
        <v>2766</v>
      </c>
      <c r="M591" t="s">
        <v>27</v>
      </c>
      <c r="N591" t="s">
        <v>27</v>
      </c>
      <c r="O591">
        <v>46.75</v>
      </c>
      <c r="P591" t="s">
        <v>27</v>
      </c>
      <c r="Q591" t="s">
        <v>27</v>
      </c>
      <c r="R591">
        <v>27.7700004577637</v>
      </c>
      <c r="S591">
        <v>18.0625</v>
      </c>
      <c r="T591">
        <v>2.7395460605621298</v>
      </c>
      <c r="U591" t="s">
        <v>27</v>
      </c>
      <c r="V591">
        <v>6703000</v>
      </c>
      <c r="W591">
        <v>0.66267502307891801</v>
      </c>
      <c r="X591">
        <v>0.239999994635582</v>
      </c>
      <c r="Y591" t="s">
        <v>27</v>
      </c>
      <c r="Z591">
        <v>4.9832501411437997</v>
      </c>
      <c r="AA591">
        <v>6857000</v>
      </c>
      <c r="AB591" t="s">
        <v>27</v>
      </c>
      <c r="AC591" t="s">
        <v>27</v>
      </c>
      <c r="AD591">
        <v>0.43999999761581399</v>
      </c>
      <c r="AE591" t="s">
        <v>27</v>
      </c>
      <c r="AF591" t="s">
        <v>27</v>
      </c>
      <c r="AG591">
        <v>5495000</v>
      </c>
      <c r="AH591">
        <v>10.3729057312012</v>
      </c>
      <c r="AI591">
        <v>0.66775697469711304</v>
      </c>
    </row>
    <row r="592" spans="1:35">
      <c r="A592">
        <f t="shared" si="72"/>
        <v>0</v>
      </c>
      <c r="B592">
        <f t="shared" si="73"/>
        <v>1</v>
      </c>
      <c r="C592">
        <f t="shared" si="74"/>
        <v>0</v>
      </c>
      <c r="D592">
        <f t="shared" si="75"/>
        <v>0</v>
      </c>
      <c r="E592">
        <f t="shared" si="76"/>
        <v>0</v>
      </c>
      <c r="F592">
        <f t="shared" si="77"/>
        <v>0</v>
      </c>
      <c r="G592">
        <f t="shared" si="78"/>
        <v>0</v>
      </c>
      <c r="H592">
        <v>0</v>
      </c>
      <c r="I592">
        <f t="shared" si="79"/>
        <v>0</v>
      </c>
      <c r="J592">
        <v>0</v>
      </c>
      <c r="K592" t="s">
        <v>2767</v>
      </c>
      <c r="L592" t="s">
        <v>2768</v>
      </c>
      <c r="M592" t="s">
        <v>27</v>
      </c>
      <c r="N592" t="s">
        <v>27</v>
      </c>
      <c r="O592">
        <v>0.86</v>
      </c>
      <c r="P592">
        <v>2.8743450641632098</v>
      </c>
      <c r="Q592" t="s">
        <v>27</v>
      </c>
      <c r="R592">
        <v>2.2000000476837198</v>
      </c>
      <c r="S592">
        <v>13</v>
      </c>
      <c r="T592">
        <v>0.50786900520324696</v>
      </c>
      <c r="U592">
        <v>75.348098754882798</v>
      </c>
      <c r="V592">
        <v>-16546000</v>
      </c>
      <c r="W592">
        <v>-5.1162738800048801</v>
      </c>
      <c r="X592">
        <v>3.9999999105930301E-2</v>
      </c>
      <c r="Y592">
        <v>0.25577300786972001</v>
      </c>
      <c r="Z592">
        <v>-21.0526313781738</v>
      </c>
      <c r="AA592">
        <v>171670000</v>
      </c>
      <c r="AB592" t="s">
        <v>27</v>
      </c>
      <c r="AC592" t="s">
        <v>27</v>
      </c>
      <c r="AD592">
        <v>-0.28999999165535001</v>
      </c>
      <c r="AE592">
        <v>54.487625122070298</v>
      </c>
      <c r="AF592" t="s">
        <v>27</v>
      </c>
      <c r="AG592">
        <v>173708992</v>
      </c>
      <c r="AH592">
        <v>1.02493500709534</v>
      </c>
      <c r="AI592">
        <v>-0.51519501209259</v>
      </c>
    </row>
    <row r="593" spans="1:35">
      <c r="A593">
        <f t="shared" si="72"/>
        <v>1</v>
      </c>
      <c r="B593">
        <f t="shared" si="73"/>
        <v>1</v>
      </c>
      <c r="C593">
        <f t="shared" si="74"/>
        <v>1</v>
      </c>
      <c r="D593">
        <f t="shared" si="75"/>
        <v>1</v>
      </c>
      <c r="E593">
        <f t="shared" si="76"/>
        <v>0</v>
      </c>
      <c r="F593">
        <f t="shared" si="77"/>
        <v>0</v>
      </c>
      <c r="G593">
        <f t="shared" si="78"/>
        <v>1</v>
      </c>
      <c r="H593">
        <v>0</v>
      </c>
      <c r="I593">
        <f t="shared" si="79"/>
        <v>1</v>
      </c>
      <c r="J593">
        <v>0</v>
      </c>
      <c r="K593" t="s">
        <v>2769</v>
      </c>
      <c r="L593" t="s">
        <v>2770</v>
      </c>
      <c r="M593" t="s">
        <v>27</v>
      </c>
      <c r="N593" t="s">
        <v>27</v>
      </c>
      <c r="O593">
        <v>19.63</v>
      </c>
      <c r="P593" t="s">
        <v>27</v>
      </c>
      <c r="Q593" t="s">
        <v>27</v>
      </c>
      <c r="R593">
        <v>16.320625305175799</v>
      </c>
      <c r="S593">
        <v>6.4375</v>
      </c>
      <c r="T593">
        <v>0.84854000806808505</v>
      </c>
      <c r="U593">
        <v>52.645179748535199</v>
      </c>
      <c r="V593">
        <v>1239000</v>
      </c>
      <c r="W593">
        <v>-47.250419616699197</v>
      </c>
      <c r="X593">
        <v>-0.140000000596046</v>
      </c>
      <c r="Y593">
        <v>-11.2527465820313</v>
      </c>
      <c r="Z593">
        <v>-7.7339999377727495E-2</v>
      </c>
      <c r="AA593">
        <v>16695999</v>
      </c>
      <c r="AB593" t="s">
        <v>27</v>
      </c>
      <c r="AC593" t="s">
        <v>27</v>
      </c>
      <c r="AD593">
        <v>5.9999998658895499E-2</v>
      </c>
      <c r="AE593">
        <v>68.701095581054702</v>
      </c>
      <c r="AF593">
        <v>32.950312694139598</v>
      </c>
      <c r="AG593">
        <v>16907000</v>
      </c>
      <c r="AH593">
        <v>0</v>
      </c>
      <c r="AI593">
        <v>-14.0556859970093</v>
      </c>
    </row>
    <row r="594" spans="1:35">
      <c r="A594">
        <f t="shared" si="72"/>
        <v>0</v>
      </c>
      <c r="B594">
        <f t="shared" si="73"/>
        <v>0</v>
      </c>
      <c r="C594">
        <f t="shared" si="74"/>
        <v>0</v>
      </c>
      <c r="D594">
        <f t="shared" si="75"/>
        <v>0</v>
      </c>
      <c r="E594">
        <f t="shared" si="76"/>
        <v>0</v>
      </c>
      <c r="F594">
        <f t="shared" si="77"/>
        <v>0</v>
      </c>
      <c r="G594">
        <f t="shared" si="78"/>
        <v>1</v>
      </c>
      <c r="H594">
        <v>0</v>
      </c>
      <c r="I594">
        <f t="shared" si="79"/>
        <v>0</v>
      </c>
      <c r="J594">
        <v>0</v>
      </c>
      <c r="K594" t="s">
        <v>2773</v>
      </c>
      <c r="L594" t="s">
        <v>2774</v>
      </c>
      <c r="M594" t="s">
        <v>27</v>
      </c>
      <c r="N594" t="s">
        <v>27</v>
      </c>
      <c r="O594">
        <v>20.47</v>
      </c>
      <c r="P594" t="s">
        <v>27</v>
      </c>
      <c r="Q594" t="s">
        <v>27</v>
      </c>
      <c r="R594">
        <v>29.030000686645501</v>
      </c>
      <c r="S594">
        <v>32.650001525878899</v>
      </c>
      <c r="T594">
        <v>38.971027374267599</v>
      </c>
      <c r="U594">
        <v>5.3696451187133798</v>
      </c>
      <c r="V594">
        <v>-5195000</v>
      </c>
      <c r="W594">
        <v>-1.33150398731232</v>
      </c>
      <c r="X594">
        <v>-0.55000001192092896</v>
      </c>
      <c r="Y594">
        <v>-0.44692701101303101</v>
      </c>
      <c r="Z594">
        <v>-6.4802179336547896</v>
      </c>
      <c r="AA594">
        <v>28346000</v>
      </c>
      <c r="AB594" t="s">
        <v>83</v>
      </c>
      <c r="AC594" t="s">
        <v>84</v>
      </c>
      <c r="AD594">
        <v>-1.12000000476837</v>
      </c>
      <c r="AE594">
        <v>5.3894939422607404</v>
      </c>
      <c r="AF594">
        <v>12.980249642224599</v>
      </c>
      <c r="AG594">
        <v>28311000</v>
      </c>
      <c r="AH594">
        <v>46.242759704589801</v>
      </c>
      <c r="AI594">
        <v>-3.1591041088104199</v>
      </c>
    </row>
    <row r="595" spans="1:35">
      <c r="A595">
        <f t="shared" si="72"/>
        <v>1</v>
      </c>
      <c r="B595">
        <f t="shared" si="73"/>
        <v>1</v>
      </c>
      <c r="C595">
        <f t="shared" si="74"/>
        <v>1</v>
      </c>
      <c r="D595">
        <f t="shared" si="75"/>
        <v>0</v>
      </c>
      <c r="E595">
        <f t="shared" si="76"/>
        <v>0</v>
      </c>
      <c r="F595">
        <f t="shared" si="77"/>
        <v>1</v>
      </c>
      <c r="G595">
        <f t="shared" si="78"/>
        <v>0</v>
      </c>
      <c r="H595">
        <v>0</v>
      </c>
      <c r="I595">
        <f t="shared" si="79"/>
        <v>0</v>
      </c>
      <c r="J595">
        <v>0</v>
      </c>
      <c r="K595" t="s">
        <v>2779</v>
      </c>
      <c r="L595" t="s">
        <v>2780</v>
      </c>
      <c r="M595" t="s">
        <v>27</v>
      </c>
      <c r="N595" t="s">
        <v>27</v>
      </c>
      <c r="O595">
        <v>4.92</v>
      </c>
      <c r="P595">
        <v>10.1554555892944</v>
      </c>
      <c r="Q595" t="s">
        <v>27</v>
      </c>
      <c r="R595">
        <v>9.9300003051757795</v>
      </c>
      <c r="S595">
        <v>47.0625</v>
      </c>
      <c r="T595">
        <v>30.197576522827099</v>
      </c>
      <c r="U595">
        <v>38.500312805175803</v>
      </c>
      <c r="V595">
        <v>1746000</v>
      </c>
      <c r="W595">
        <v>5.1455969810485804</v>
      </c>
      <c r="X595">
        <v>0.21999999880790699</v>
      </c>
      <c r="Y595">
        <v>0.98597097396850597</v>
      </c>
      <c r="Z595">
        <v>2.92682909965515</v>
      </c>
      <c r="AA595">
        <v>73713000</v>
      </c>
      <c r="AB595" t="s">
        <v>27</v>
      </c>
      <c r="AC595" t="s">
        <v>27</v>
      </c>
      <c r="AD595">
        <v>-0.55000001192092896</v>
      </c>
      <c r="AE595">
        <v>-25.830564498901399</v>
      </c>
      <c r="AF595" t="s">
        <v>27</v>
      </c>
      <c r="AG595">
        <v>78840000</v>
      </c>
      <c r="AH595">
        <v>4.5151991844177202</v>
      </c>
      <c r="AI595">
        <v>8.1474180221557599</v>
      </c>
    </row>
    <row r="596" spans="1:35">
      <c r="A596">
        <f t="shared" si="72"/>
        <v>1</v>
      </c>
      <c r="B596">
        <f t="shared" si="73"/>
        <v>1</v>
      </c>
      <c r="C596">
        <f t="shared" si="74"/>
        <v>1</v>
      </c>
      <c r="D596">
        <f t="shared" si="75"/>
        <v>0</v>
      </c>
      <c r="E596">
        <f t="shared" si="76"/>
        <v>0</v>
      </c>
      <c r="F596">
        <f t="shared" si="77"/>
        <v>1</v>
      </c>
      <c r="G596">
        <f t="shared" si="78"/>
        <v>0</v>
      </c>
      <c r="H596">
        <v>0</v>
      </c>
      <c r="I596">
        <f t="shared" si="79"/>
        <v>0</v>
      </c>
      <c r="J596">
        <v>0</v>
      </c>
      <c r="K596" t="s">
        <v>2781</v>
      </c>
      <c r="L596" t="s">
        <v>2782</v>
      </c>
      <c r="M596" t="s">
        <v>27</v>
      </c>
      <c r="N596" t="s">
        <v>27</v>
      </c>
      <c r="O596">
        <v>4.12</v>
      </c>
      <c r="P596">
        <v>17.451271057128899</v>
      </c>
      <c r="Q596" t="s">
        <v>27</v>
      </c>
      <c r="R596">
        <v>18.440000534057599</v>
      </c>
      <c r="S596">
        <v>38.8125</v>
      </c>
      <c r="T596">
        <v>5.0686001777648898E-2</v>
      </c>
      <c r="U596">
        <v>32.6608695983887</v>
      </c>
      <c r="V596">
        <v>6644000</v>
      </c>
      <c r="W596">
        <v>11.416161537170399</v>
      </c>
      <c r="X596">
        <v>0.18999999761581399</v>
      </c>
      <c r="Y596">
        <v>1.7207130193710301</v>
      </c>
      <c r="Z596">
        <v>-0.67114102840423595</v>
      </c>
      <c r="AA596">
        <v>63173000</v>
      </c>
      <c r="AB596" t="s">
        <v>27</v>
      </c>
      <c r="AC596" t="s">
        <v>27</v>
      </c>
      <c r="AD596">
        <v>-7.9999998211860698E-2</v>
      </c>
      <c r="AE596">
        <v>6.9896550178527797</v>
      </c>
      <c r="AF596">
        <v>4.59652889452195</v>
      </c>
      <c r="AG596">
        <v>64478996</v>
      </c>
      <c r="AH596">
        <v>1.9539000466465999E-2</v>
      </c>
      <c r="AI596">
        <v>14.8023376464844</v>
      </c>
    </row>
    <row r="597" spans="1:35">
      <c r="A597">
        <f t="shared" si="72"/>
        <v>0</v>
      </c>
      <c r="B597">
        <f t="shared" si="73"/>
        <v>0</v>
      </c>
      <c r="C597">
        <f t="shared" si="74"/>
        <v>1</v>
      </c>
      <c r="D597">
        <f t="shared" si="75"/>
        <v>0</v>
      </c>
      <c r="E597">
        <f t="shared" si="76"/>
        <v>1</v>
      </c>
      <c r="F597">
        <f t="shared" si="77"/>
        <v>1</v>
      </c>
      <c r="G597">
        <f t="shared" si="78"/>
        <v>0</v>
      </c>
      <c r="H597">
        <v>0</v>
      </c>
      <c r="I597">
        <f t="shared" si="79"/>
        <v>0</v>
      </c>
      <c r="J597">
        <v>0</v>
      </c>
      <c r="K597" t="s">
        <v>2783</v>
      </c>
      <c r="L597" t="s">
        <v>2784</v>
      </c>
      <c r="M597" t="s">
        <v>27</v>
      </c>
      <c r="N597" t="s">
        <v>27</v>
      </c>
      <c r="O597">
        <v>4.25</v>
      </c>
      <c r="P597" t="s">
        <v>27</v>
      </c>
      <c r="Q597" t="s">
        <v>27</v>
      </c>
      <c r="R597">
        <v>6.6399998664856001</v>
      </c>
      <c r="S597">
        <v>6.8125</v>
      </c>
      <c r="T597" t="s">
        <v>27</v>
      </c>
      <c r="U597" t="s">
        <v>27</v>
      </c>
      <c r="V597" t="s">
        <v>27</v>
      </c>
      <c r="W597" t="s">
        <v>27</v>
      </c>
      <c r="X597" t="s">
        <v>27</v>
      </c>
      <c r="Y597" t="s">
        <v>27</v>
      </c>
      <c r="Z597" t="s">
        <v>27</v>
      </c>
      <c r="AA597" t="s">
        <v>27</v>
      </c>
      <c r="AB597" t="s">
        <v>73</v>
      </c>
      <c r="AC597" t="s">
        <v>413</v>
      </c>
      <c r="AD597" t="s">
        <v>27</v>
      </c>
      <c r="AE597" t="s">
        <v>27</v>
      </c>
      <c r="AF597" t="s">
        <v>27</v>
      </c>
      <c r="AG597" t="s">
        <v>27</v>
      </c>
      <c r="AH597" t="s">
        <v>27</v>
      </c>
      <c r="AI597" t="s">
        <v>27</v>
      </c>
    </row>
    <row r="598" spans="1:35">
      <c r="A598">
        <f t="shared" si="72"/>
        <v>1</v>
      </c>
      <c r="B598">
        <f t="shared" si="73"/>
        <v>0</v>
      </c>
      <c r="C598">
        <f t="shared" si="74"/>
        <v>0</v>
      </c>
      <c r="D598">
        <f t="shared" si="75"/>
        <v>0</v>
      </c>
      <c r="E598">
        <f t="shared" si="76"/>
        <v>0</v>
      </c>
      <c r="F598">
        <f t="shared" si="77"/>
        <v>0</v>
      </c>
      <c r="G598">
        <f t="shared" si="78"/>
        <v>0</v>
      </c>
      <c r="H598">
        <v>0</v>
      </c>
      <c r="I598">
        <f t="shared" si="79"/>
        <v>0</v>
      </c>
      <c r="J598">
        <v>0</v>
      </c>
      <c r="K598" t="s">
        <v>2785</v>
      </c>
      <c r="L598" t="s">
        <v>2786</v>
      </c>
      <c r="M598" t="s">
        <v>27</v>
      </c>
      <c r="N598" t="s">
        <v>27</v>
      </c>
      <c r="O598">
        <v>8.3699999999999992</v>
      </c>
      <c r="P598" t="s">
        <v>27</v>
      </c>
      <c r="Q598" t="s">
        <v>27</v>
      </c>
      <c r="R598">
        <v>9.9499998092651403</v>
      </c>
      <c r="S598" t="s">
        <v>27</v>
      </c>
      <c r="T598" t="s">
        <v>27</v>
      </c>
      <c r="U598" t="s">
        <v>27</v>
      </c>
      <c r="V598">
        <v>-876000</v>
      </c>
      <c r="W598">
        <v>4.8620181083679199</v>
      </c>
      <c r="X598" t="s">
        <v>27</v>
      </c>
      <c r="Y598" t="s">
        <v>27</v>
      </c>
      <c r="Z598" t="s">
        <v>27</v>
      </c>
      <c r="AA598" t="s">
        <v>27</v>
      </c>
      <c r="AB598" t="s">
        <v>27</v>
      </c>
      <c r="AC598" t="s">
        <v>27</v>
      </c>
      <c r="AD598">
        <v>-0.93000000715255704</v>
      </c>
      <c r="AE598">
        <v>83.252082824707003</v>
      </c>
      <c r="AF598">
        <v>9.6835813635327206</v>
      </c>
      <c r="AG598">
        <v>9364000</v>
      </c>
      <c r="AH598">
        <v>26.271253585815401</v>
      </c>
      <c r="AI598">
        <v>-46.595550537109403</v>
      </c>
    </row>
    <row r="599" spans="1:35">
      <c r="A599">
        <f t="shared" si="72"/>
        <v>1</v>
      </c>
      <c r="B599">
        <f t="shared" si="73"/>
        <v>0</v>
      </c>
      <c r="C599">
        <f t="shared" si="74"/>
        <v>0</v>
      </c>
      <c r="D599">
        <f t="shared" si="75"/>
        <v>0</v>
      </c>
      <c r="E599">
        <f t="shared" si="76"/>
        <v>0</v>
      </c>
      <c r="F599">
        <f t="shared" si="77"/>
        <v>0</v>
      </c>
      <c r="G599">
        <f t="shared" si="78"/>
        <v>0</v>
      </c>
      <c r="H599">
        <v>0</v>
      </c>
      <c r="I599">
        <f t="shared" si="79"/>
        <v>0</v>
      </c>
      <c r="J599">
        <v>0</v>
      </c>
      <c r="K599" t="s">
        <v>2787</v>
      </c>
      <c r="L599" t="s">
        <v>2788</v>
      </c>
      <c r="M599" t="s">
        <v>27</v>
      </c>
      <c r="N599" t="s">
        <v>27</v>
      </c>
      <c r="O599">
        <v>3.4</v>
      </c>
      <c r="P599" t="s">
        <v>27</v>
      </c>
      <c r="Q599" t="s">
        <v>27</v>
      </c>
      <c r="R599">
        <v>4.8499999046325701</v>
      </c>
      <c r="S599">
        <v>28.0625</v>
      </c>
      <c r="T599">
        <v>10.025770187377899</v>
      </c>
      <c r="U599" t="s">
        <v>27</v>
      </c>
      <c r="V599">
        <v>-14199000</v>
      </c>
      <c r="W599">
        <v>8.0101842880249006</v>
      </c>
      <c r="X599">
        <v>-0.17000000178813901</v>
      </c>
      <c r="Y599" t="s">
        <v>27</v>
      </c>
      <c r="Z599">
        <v>-36.729221343994098</v>
      </c>
      <c r="AA599">
        <v>41877000</v>
      </c>
      <c r="AB599" t="s">
        <v>27</v>
      </c>
      <c r="AC599" t="s">
        <v>27</v>
      </c>
      <c r="AD599">
        <v>-0.43999999761581399</v>
      </c>
      <c r="AE599" t="s">
        <v>27</v>
      </c>
      <c r="AF599" t="s">
        <v>27</v>
      </c>
      <c r="AG599">
        <v>51042000</v>
      </c>
      <c r="AH599">
        <v>9.3758258819580096</v>
      </c>
      <c r="AI599">
        <v>-17.1097526550293</v>
      </c>
    </row>
    <row r="600" spans="1:35">
      <c r="A600">
        <f t="shared" si="72"/>
        <v>0</v>
      </c>
      <c r="B600">
        <f t="shared" si="73"/>
        <v>0</v>
      </c>
      <c r="C600">
        <f t="shared" si="74"/>
        <v>1</v>
      </c>
      <c r="D600">
        <f t="shared" si="75"/>
        <v>0</v>
      </c>
      <c r="E600">
        <f t="shared" si="76"/>
        <v>0</v>
      </c>
      <c r="F600">
        <f t="shared" si="77"/>
        <v>0</v>
      </c>
      <c r="G600">
        <f t="shared" si="78"/>
        <v>0</v>
      </c>
      <c r="H600">
        <v>0</v>
      </c>
      <c r="I600">
        <f t="shared" si="79"/>
        <v>0</v>
      </c>
      <c r="J600">
        <v>0</v>
      </c>
      <c r="K600" t="s">
        <v>2791</v>
      </c>
      <c r="L600" t="s">
        <v>2792</v>
      </c>
      <c r="M600" t="s">
        <v>27</v>
      </c>
      <c r="N600" t="s">
        <v>27</v>
      </c>
      <c r="O600">
        <v>3.84</v>
      </c>
      <c r="P600">
        <v>-9.05248928070068</v>
      </c>
      <c r="Q600" t="s">
        <v>27</v>
      </c>
      <c r="R600">
        <v>4.3400001525878897</v>
      </c>
      <c r="S600">
        <v>2.0625</v>
      </c>
      <c r="T600">
        <v>26.883750915527301</v>
      </c>
      <c r="U600">
        <v>73.694000244140597</v>
      </c>
      <c r="V600">
        <v>7225000.5</v>
      </c>
      <c r="W600">
        <v>-4.2748179435729998</v>
      </c>
      <c r="X600">
        <v>-0.34000000357627902</v>
      </c>
      <c r="Y600">
        <v>-78.125251770019503</v>
      </c>
      <c r="Z600">
        <v>-54.651165008544901</v>
      </c>
      <c r="AA600">
        <v>47932000</v>
      </c>
      <c r="AB600" t="s">
        <v>171</v>
      </c>
      <c r="AC600" t="s">
        <v>172</v>
      </c>
      <c r="AD600">
        <v>-0.34999999403953602</v>
      </c>
      <c r="AE600">
        <v>61.197601318359403</v>
      </c>
      <c r="AF600">
        <v>6.24227650785937</v>
      </c>
      <c r="AG600">
        <v>49734000</v>
      </c>
      <c r="AH600">
        <v>34.097354888916001</v>
      </c>
      <c r="AI600">
        <v>-8.4009437561035192</v>
      </c>
    </row>
    <row r="601" spans="1:35">
      <c r="A601">
        <f t="shared" si="72"/>
        <v>0</v>
      </c>
      <c r="B601">
        <f t="shared" si="73"/>
        <v>1</v>
      </c>
      <c r="C601">
        <f t="shared" si="74"/>
        <v>1</v>
      </c>
      <c r="D601">
        <f t="shared" si="75"/>
        <v>0</v>
      </c>
      <c r="E601">
        <f t="shared" si="76"/>
        <v>0</v>
      </c>
      <c r="F601">
        <f t="shared" si="77"/>
        <v>1</v>
      </c>
      <c r="G601">
        <f t="shared" si="78"/>
        <v>0</v>
      </c>
      <c r="H601">
        <v>0</v>
      </c>
      <c r="I601">
        <f t="shared" si="79"/>
        <v>0</v>
      </c>
      <c r="J601">
        <v>0</v>
      </c>
      <c r="K601" t="s">
        <v>2797</v>
      </c>
      <c r="L601" t="s">
        <v>2798</v>
      </c>
      <c r="M601" t="s">
        <v>27</v>
      </c>
      <c r="N601" t="s">
        <v>27</v>
      </c>
      <c r="O601">
        <v>4.45</v>
      </c>
      <c r="P601" t="s">
        <v>27</v>
      </c>
      <c r="Q601" t="s">
        <v>27</v>
      </c>
      <c r="R601">
        <v>6.9499998092651403</v>
      </c>
      <c r="S601">
        <v>11.5625</v>
      </c>
      <c r="T601">
        <v>14.0841732025146</v>
      </c>
      <c r="U601">
        <v>45.407932281494098</v>
      </c>
      <c r="V601">
        <v>90999.9609375</v>
      </c>
      <c r="W601">
        <v>-39.359573364257798</v>
      </c>
      <c r="X601">
        <v>5.0000000745058101E-2</v>
      </c>
      <c r="Y601">
        <v>0.46905499696731601</v>
      </c>
      <c r="Z601">
        <v>-0.645160973072052</v>
      </c>
      <c r="AA601">
        <v>32719002</v>
      </c>
      <c r="AB601" t="s">
        <v>27</v>
      </c>
      <c r="AC601" t="s">
        <v>27</v>
      </c>
      <c r="AD601">
        <v>-7.9999998211860698E-2</v>
      </c>
      <c r="AE601">
        <v>29.528182983398398</v>
      </c>
      <c r="AF601">
        <v>27.2832390216055</v>
      </c>
      <c r="AG601">
        <v>34111000</v>
      </c>
      <c r="AH601">
        <v>16.781440734863299</v>
      </c>
      <c r="AI601">
        <v>5.6047692298889196</v>
      </c>
    </row>
    <row r="602" spans="1:35">
      <c r="A602">
        <f t="shared" si="72"/>
        <v>1</v>
      </c>
      <c r="B602">
        <f t="shared" si="73"/>
        <v>1</v>
      </c>
      <c r="C602">
        <f t="shared" si="74"/>
        <v>0</v>
      </c>
      <c r="D602">
        <f t="shared" si="75"/>
        <v>1</v>
      </c>
      <c r="E602">
        <f t="shared" si="76"/>
        <v>0</v>
      </c>
      <c r="F602">
        <f t="shared" si="77"/>
        <v>0</v>
      </c>
      <c r="G602">
        <f t="shared" si="78"/>
        <v>0</v>
      </c>
      <c r="H602">
        <v>0</v>
      </c>
      <c r="I602">
        <f t="shared" si="79"/>
        <v>0</v>
      </c>
      <c r="J602">
        <v>0</v>
      </c>
      <c r="K602" t="s">
        <v>2807</v>
      </c>
      <c r="L602" t="s">
        <v>2808</v>
      </c>
      <c r="M602" t="s">
        <v>27</v>
      </c>
      <c r="N602" t="s">
        <v>27</v>
      </c>
      <c r="O602">
        <v>1.3</v>
      </c>
      <c r="P602" t="s">
        <v>27</v>
      </c>
      <c r="Q602" t="s">
        <v>27</v>
      </c>
      <c r="R602">
        <v>6.3000001907348597</v>
      </c>
      <c r="S602">
        <v>2.65625</v>
      </c>
      <c r="T602">
        <v>125.91526794433599</v>
      </c>
      <c r="U602" t="s">
        <v>27</v>
      </c>
      <c r="V602">
        <v>-18456000</v>
      </c>
      <c r="W602">
        <v>-415.01559448242199</v>
      </c>
      <c r="X602">
        <v>-1.1900000572204601</v>
      </c>
      <c r="Y602">
        <v>-2.6273679733276398</v>
      </c>
      <c r="Z602">
        <v>-4.7493410110473597</v>
      </c>
      <c r="AA602">
        <v>167807008</v>
      </c>
      <c r="AB602" t="s">
        <v>30</v>
      </c>
      <c r="AC602" t="s">
        <v>31</v>
      </c>
      <c r="AD602">
        <v>-1.9999999552965199E-2</v>
      </c>
      <c r="AE602">
        <v>16.699947357177699</v>
      </c>
      <c r="AF602">
        <v>8.6145686116700197</v>
      </c>
      <c r="AG602">
        <v>223580992</v>
      </c>
      <c r="AH602">
        <v>0</v>
      </c>
      <c r="AI602">
        <v>-98.952217102050795</v>
      </c>
    </row>
    <row r="603" spans="1:35">
      <c r="A603">
        <f t="shared" si="72"/>
        <v>0</v>
      </c>
      <c r="B603">
        <f t="shared" si="73"/>
        <v>0</v>
      </c>
      <c r="C603">
        <f t="shared" si="74"/>
        <v>0</v>
      </c>
      <c r="D603">
        <f t="shared" si="75"/>
        <v>1</v>
      </c>
      <c r="E603">
        <f t="shared" si="76"/>
        <v>0</v>
      </c>
      <c r="F603">
        <f t="shared" si="77"/>
        <v>1</v>
      </c>
      <c r="G603">
        <f t="shared" si="78"/>
        <v>1</v>
      </c>
      <c r="H603">
        <v>0</v>
      </c>
      <c r="I603">
        <f t="shared" si="79"/>
        <v>0</v>
      </c>
      <c r="J603">
        <v>0</v>
      </c>
      <c r="K603" t="s">
        <v>2809</v>
      </c>
      <c r="L603" t="s">
        <v>2810</v>
      </c>
      <c r="M603" t="s">
        <v>27</v>
      </c>
      <c r="N603" t="s">
        <v>27</v>
      </c>
      <c r="O603">
        <v>16.260000000000002</v>
      </c>
      <c r="P603" t="s">
        <v>27</v>
      </c>
      <c r="Q603" t="s">
        <v>27</v>
      </c>
      <c r="R603">
        <v>38.25</v>
      </c>
      <c r="S603">
        <v>32.25</v>
      </c>
      <c r="T603">
        <v>26.319053649902301</v>
      </c>
      <c r="U603">
        <v>13.8759107589722</v>
      </c>
      <c r="V603">
        <v>-18261000</v>
      </c>
      <c r="W603" t="s">
        <v>27</v>
      </c>
      <c r="X603">
        <v>-0.769999980926514</v>
      </c>
      <c r="Y603" t="s">
        <v>27</v>
      </c>
      <c r="Z603" t="s">
        <v>27</v>
      </c>
      <c r="AA603">
        <v>6257000</v>
      </c>
      <c r="AB603" t="s">
        <v>194</v>
      </c>
      <c r="AC603" t="s">
        <v>696</v>
      </c>
      <c r="AD603">
        <v>7.0000000298023196E-2</v>
      </c>
      <c r="AE603">
        <v>17.5791931152344</v>
      </c>
      <c r="AF603" t="s">
        <v>27</v>
      </c>
      <c r="AG603">
        <v>6232000</v>
      </c>
      <c r="AH603">
        <v>33.43310546875</v>
      </c>
      <c r="AI603" t="s">
        <v>27</v>
      </c>
    </row>
    <row r="604" spans="1:35">
      <c r="A604">
        <f t="shared" si="72"/>
        <v>0</v>
      </c>
      <c r="B604">
        <f t="shared" si="73"/>
        <v>0</v>
      </c>
      <c r="C604">
        <f t="shared" si="74"/>
        <v>1</v>
      </c>
      <c r="D604">
        <f t="shared" si="75"/>
        <v>0</v>
      </c>
      <c r="E604">
        <f t="shared" si="76"/>
        <v>0</v>
      </c>
      <c r="F604">
        <f t="shared" si="77"/>
        <v>1</v>
      </c>
      <c r="G604">
        <f t="shared" si="78"/>
        <v>0</v>
      </c>
      <c r="H604">
        <v>0</v>
      </c>
      <c r="I604">
        <f t="shared" si="79"/>
        <v>1</v>
      </c>
      <c r="J604">
        <v>0</v>
      </c>
      <c r="K604" t="s">
        <v>2823</v>
      </c>
      <c r="L604" t="s">
        <v>2824</v>
      </c>
      <c r="M604" t="s">
        <v>27</v>
      </c>
      <c r="N604" t="s">
        <v>27</v>
      </c>
      <c r="O604">
        <v>23.23</v>
      </c>
      <c r="P604">
        <v>3.32276511192322</v>
      </c>
      <c r="Q604" t="s">
        <v>27</v>
      </c>
      <c r="R604">
        <v>17.149999618530298</v>
      </c>
      <c r="S604">
        <v>16.549999237060501</v>
      </c>
      <c r="T604">
        <v>0</v>
      </c>
      <c r="U604" t="s">
        <v>27</v>
      </c>
      <c r="V604" t="s">
        <v>27</v>
      </c>
      <c r="W604">
        <v>4.1512827873229998</v>
      </c>
      <c r="X604">
        <v>0.21999999880790699</v>
      </c>
      <c r="Y604">
        <v>10.9387760162354</v>
      </c>
      <c r="Z604">
        <v>3.6241610050201398</v>
      </c>
      <c r="AA604">
        <v>22668000</v>
      </c>
      <c r="AB604" t="s">
        <v>34</v>
      </c>
      <c r="AC604" t="s">
        <v>447</v>
      </c>
      <c r="AD604">
        <v>0.109999999403954</v>
      </c>
      <c r="AE604" t="s">
        <v>27</v>
      </c>
      <c r="AF604" t="s">
        <v>27</v>
      </c>
      <c r="AG604">
        <v>25780000</v>
      </c>
      <c r="AH604">
        <v>3.7365689277648899</v>
      </c>
      <c r="AI604">
        <v>2.1691548824310298</v>
      </c>
    </row>
    <row r="605" spans="1:35">
      <c r="A605">
        <f t="shared" si="72"/>
        <v>1</v>
      </c>
      <c r="B605">
        <f t="shared" si="73"/>
        <v>0</v>
      </c>
      <c r="C605">
        <f t="shared" si="74"/>
        <v>0</v>
      </c>
      <c r="D605">
        <f t="shared" si="75"/>
        <v>0</v>
      </c>
      <c r="E605">
        <f t="shared" si="76"/>
        <v>0</v>
      </c>
      <c r="F605">
        <f t="shared" si="77"/>
        <v>0</v>
      </c>
      <c r="G605">
        <f t="shared" si="78"/>
        <v>1</v>
      </c>
      <c r="H605">
        <v>0</v>
      </c>
      <c r="I605">
        <f t="shared" si="79"/>
        <v>0</v>
      </c>
      <c r="J605">
        <v>0</v>
      </c>
      <c r="K605" t="s">
        <v>2825</v>
      </c>
      <c r="L605" t="s">
        <v>2826</v>
      </c>
      <c r="M605" t="s">
        <v>27</v>
      </c>
      <c r="N605" t="s">
        <v>27</v>
      </c>
      <c r="O605">
        <v>15.57</v>
      </c>
      <c r="P605" t="s">
        <v>27</v>
      </c>
      <c r="Q605" t="s">
        <v>27</v>
      </c>
      <c r="R605">
        <v>17.850000381469702</v>
      </c>
      <c r="S605">
        <v>28.0625</v>
      </c>
      <c r="T605">
        <v>2.7693999931216198E-2</v>
      </c>
      <c r="U605">
        <v>26.584098815918001</v>
      </c>
      <c r="V605">
        <v>-14698000</v>
      </c>
      <c r="W605">
        <v>-1.4706399440765401</v>
      </c>
      <c r="X605">
        <v>-0.40000000596046398</v>
      </c>
      <c r="Y605">
        <v>-2.4793388843536399</v>
      </c>
      <c r="Z605">
        <v>-10.006760597229</v>
      </c>
      <c r="AA605">
        <v>23726000</v>
      </c>
      <c r="AB605" t="s">
        <v>27</v>
      </c>
      <c r="AC605" t="s">
        <v>27</v>
      </c>
      <c r="AD605">
        <v>-0.43000000715255698</v>
      </c>
      <c r="AE605">
        <v>53.4735298156738</v>
      </c>
      <c r="AF605" t="s">
        <v>27</v>
      </c>
      <c r="AG605">
        <v>24410000</v>
      </c>
      <c r="AH605">
        <v>9.0530002489685995E-3</v>
      </c>
      <c r="AI605">
        <v>-2.3183360099792498</v>
      </c>
    </row>
    <row r="606" spans="1:35">
      <c r="A606">
        <f t="shared" si="72"/>
        <v>1</v>
      </c>
      <c r="B606">
        <f t="shared" si="73"/>
        <v>0</v>
      </c>
      <c r="C606">
        <f t="shared" si="74"/>
        <v>0</v>
      </c>
      <c r="D606">
        <f t="shared" si="75"/>
        <v>0</v>
      </c>
      <c r="E606">
        <f t="shared" si="76"/>
        <v>0</v>
      </c>
      <c r="F606">
        <f t="shared" si="77"/>
        <v>0</v>
      </c>
      <c r="G606">
        <f t="shared" si="78"/>
        <v>0</v>
      </c>
      <c r="H606">
        <v>0</v>
      </c>
      <c r="I606">
        <f t="shared" si="79"/>
        <v>0</v>
      </c>
      <c r="J606">
        <v>0</v>
      </c>
      <c r="K606" t="s">
        <v>2827</v>
      </c>
      <c r="L606" t="s">
        <v>2828</v>
      </c>
      <c r="M606" t="s">
        <v>27</v>
      </c>
      <c r="N606" t="s">
        <v>27</v>
      </c>
      <c r="O606">
        <v>7.7</v>
      </c>
      <c r="P606" t="s">
        <v>27</v>
      </c>
      <c r="Q606" t="s">
        <v>27</v>
      </c>
      <c r="R606">
        <v>17</v>
      </c>
      <c r="S606">
        <v>26.625</v>
      </c>
      <c r="T606">
        <v>1.9166000187397E-2</v>
      </c>
      <c r="U606" t="s">
        <v>27</v>
      </c>
      <c r="V606">
        <v>-4133000</v>
      </c>
      <c r="W606">
        <v>-0.99837601184845004</v>
      </c>
      <c r="X606">
        <v>-5.0000000745058101E-2</v>
      </c>
      <c r="Y606">
        <v>-0.58314400911331199</v>
      </c>
      <c r="Z606">
        <v>-0.28777000308036799</v>
      </c>
      <c r="AA606">
        <v>12175000</v>
      </c>
      <c r="AB606" t="s">
        <v>73</v>
      </c>
      <c r="AC606" t="s">
        <v>141</v>
      </c>
      <c r="AD606">
        <v>-0.25</v>
      </c>
      <c r="AE606" t="s">
        <v>27</v>
      </c>
      <c r="AF606" t="s">
        <v>27</v>
      </c>
      <c r="AG606">
        <v>12411000</v>
      </c>
      <c r="AH606">
        <v>8.8560003787279094E-3</v>
      </c>
      <c r="AI606">
        <v>-8.5583686828613299</v>
      </c>
    </row>
    <row r="607" spans="1:35">
      <c r="A607">
        <f t="shared" si="72"/>
        <v>0</v>
      </c>
      <c r="B607">
        <f t="shared" si="73"/>
        <v>1</v>
      </c>
      <c r="C607">
        <f t="shared" si="74"/>
        <v>0</v>
      </c>
      <c r="D607">
        <f t="shared" si="75"/>
        <v>0</v>
      </c>
      <c r="E607">
        <f t="shared" si="76"/>
        <v>0</v>
      </c>
      <c r="F607">
        <f t="shared" si="77"/>
        <v>0</v>
      </c>
      <c r="G607">
        <f t="shared" si="78"/>
        <v>1</v>
      </c>
      <c r="H607">
        <v>0</v>
      </c>
      <c r="I607">
        <f t="shared" si="79"/>
        <v>0</v>
      </c>
      <c r="J607">
        <v>0</v>
      </c>
      <c r="K607" t="s">
        <v>2833</v>
      </c>
      <c r="L607" t="s">
        <v>2834</v>
      </c>
      <c r="M607" t="s">
        <v>27</v>
      </c>
      <c r="N607" t="s">
        <v>27</v>
      </c>
      <c r="O607">
        <v>1.5</v>
      </c>
      <c r="P607" t="s">
        <v>27</v>
      </c>
      <c r="Q607" t="s">
        <v>27</v>
      </c>
      <c r="R607">
        <v>2.1700000762939502</v>
      </c>
      <c r="S607">
        <v>0.93000000715255704</v>
      </c>
      <c r="T607">
        <v>32.862236022949197</v>
      </c>
      <c r="U607">
        <v>65.280494689941406</v>
      </c>
      <c r="V607">
        <v>-22766000</v>
      </c>
      <c r="W607">
        <v>-3.1856870651245099</v>
      </c>
      <c r="X607">
        <v>-0.18999999761581399</v>
      </c>
      <c r="Y607">
        <v>-41.454544067382798</v>
      </c>
      <c r="Z607">
        <v>-52.513965606689503</v>
      </c>
      <c r="AA607">
        <v>125614000</v>
      </c>
      <c r="AB607" t="s">
        <v>27</v>
      </c>
      <c r="AC607" t="s">
        <v>27</v>
      </c>
      <c r="AD607">
        <v>-0.25</v>
      </c>
      <c r="AE607">
        <v>68.494773864746094</v>
      </c>
      <c r="AF607">
        <v>7.7109533005271604</v>
      </c>
      <c r="AG607">
        <v>100381696</v>
      </c>
      <c r="AH607">
        <v>34.249191284179702</v>
      </c>
      <c r="AI607">
        <v>-2.5473649501800502</v>
      </c>
    </row>
    <row r="608" spans="1:35">
      <c r="A608">
        <f t="shared" si="72"/>
        <v>1</v>
      </c>
      <c r="B608">
        <f t="shared" si="73"/>
        <v>1</v>
      </c>
      <c r="C608">
        <f t="shared" si="74"/>
        <v>0</v>
      </c>
      <c r="D608">
        <f t="shared" si="75"/>
        <v>0</v>
      </c>
      <c r="E608">
        <f t="shared" si="76"/>
        <v>0</v>
      </c>
      <c r="F608">
        <f t="shared" si="77"/>
        <v>1</v>
      </c>
      <c r="G608">
        <f t="shared" si="78"/>
        <v>0</v>
      </c>
      <c r="H608">
        <v>0</v>
      </c>
      <c r="I608">
        <f t="shared" si="79"/>
        <v>0</v>
      </c>
      <c r="J608">
        <v>0</v>
      </c>
      <c r="K608" t="s">
        <v>2839</v>
      </c>
      <c r="L608" t="s">
        <v>2840</v>
      </c>
      <c r="M608" t="s">
        <v>27</v>
      </c>
      <c r="N608" t="s">
        <v>27</v>
      </c>
      <c r="O608">
        <v>0.84</v>
      </c>
      <c r="P608" t="s">
        <v>27</v>
      </c>
      <c r="Q608" t="s">
        <v>27</v>
      </c>
      <c r="R608">
        <v>3.0199999809265101</v>
      </c>
      <c r="S608">
        <v>16.125</v>
      </c>
      <c r="T608">
        <v>2.8502000495791401E-2</v>
      </c>
      <c r="U608">
        <v>50.600154876708999</v>
      </c>
      <c r="V608">
        <v>-9852000</v>
      </c>
      <c r="W608">
        <v>2.99994897842407</v>
      </c>
      <c r="X608">
        <v>2.9999999329447701E-2</v>
      </c>
      <c r="Y608" t="s">
        <v>27</v>
      </c>
      <c r="Z608" t="s">
        <v>27</v>
      </c>
      <c r="AA608">
        <v>55564000</v>
      </c>
      <c r="AB608" t="s">
        <v>27</v>
      </c>
      <c r="AC608" t="s">
        <v>27</v>
      </c>
      <c r="AD608">
        <v>-0.10000000149011599</v>
      </c>
      <c r="AE608">
        <v>40.8119926452637</v>
      </c>
      <c r="AF608" t="s">
        <v>27</v>
      </c>
      <c r="AG608">
        <v>58018000</v>
      </c>
      <c r="AH608">
        <v>0</v>
      </c>
      <c r="AI608">
        <v>6.8349990844726598</v>
      </c>
    </row>
    <row r="609" spans="1:35">
      <c r="A609">
        <f t="shared" si="72"/>
        <v>1</v>
      </c>
      <c r="B609">
        <f t="shared" si="73"/>
        <v>1</v>
      </c>
      <c r="C609">
        <f t="shared" si="74"/>
        <v>1</v>
      </c>
      <c r="D609">
        <f t="shared" si="75"/>
        <v>0</v>
      </c>
      <c r="E609">
        <f t="shared" si="76"/>
        <v>0</v>
      </c>
      <c r="F609">
        <f t="shared" si="77"/>
        <v>0</v>
      </c>
      <c r="G609">
        <f t="shared" si="78"/>
        <v>0</v>
      </c>
      <c r="H609">
        <v>0</v>
      </c>
      <c r="I609">
        <f t="shared" si="79"/>
        <v>0</v>
      </c>
      <c r="J609">
        <v>0</v>
      </c>
      <c r="K609" t="s">
        <v>2841</v>
      </c>
      <c r="L609" t="s">
        <v>2842</v>
      </c>
      <c r="M609" t="s">
        <v>27</v>
      </c>
      <c r="N609" t="s">
        <v>27</v>
      </c>
      <c r="O609">
        <v>9.49</v>
      </c>
      <c r="P609" t="s">
        <v>27</v>
      </c>
      <c r="Q609" t="s">
        <v>27</v>
      </c>
      <c r="R609">
        <v>16.5</v>
      </c>
      <c r="S609">
        <v>21.5624999999892</v>
      </c>
      <c r="T609">
        <v>3.87733697891235</v>
      </c>
      <c r="U609">
        <v>66.272453308105497</v>
      </c>
      <c r="V609" t="s">
        <v>27</v>
      </c>
      <c r="W609">
        <v>-63.162567138671903</v>
      </c>
      <c r="X609">
        <v>-6.7499998211826897</v>
      </c>
      <c r="Y609" t="s">
        <v>27</v>
      </c>
      <c r="Z609" t="s">
        <v>27</v>
      </c>
      <c r="AA609">
        <v>1221800.00000061</v>
      </c>
      <c r="AB609" t="s">
        <v>27</v>
      </c>
      <c r="AC609" t="s">
        <v>27</v>
      </c>
      <c r="AD609">
        <v>-9.0000003576233691</v>
      </c>
      <c r="AE609">
        <v>61.846508026122997</v>
      </c>
      <c r="AF609" t="s">
        <v>27</v>
      </c>
      <c r="AG609">
        <v>1372866.6666673501</v>
      </c>
      <c r="AH609">
        <v>0</v>
      </c>
      <c r="AI609">
        <v>-40.095699310302699</v>
      </c>
    </row>
    <row r="610" spans="1:35">
      <c r="A610">
        <f t="shared" si="72"/>
        <v>1</v>
      </c>
      <c r="B610">
        <f t="shared" si="73"/>
        <v>1</v>
      </c>
      <c r="C610">
        <f t="shared" si="74"/>
        <v>1</v>
      </c>
      <c r="D610">
        <f t="shared" si="75"/>
        <v>1</v>
      </c>
      <c r="E610">
        <f t="shared" si="76"/>
        <v>0</v>
      </c>
      <c r="F610">
        <f t="shared" si="77"/>
        <v>1</v>
      </c>
      <c r="G610">
        <f t="shared" si="78"/>
        <v>0</v>
      </c>
      <c r="H610">
        <v>0</v>
      </c>
      <c r="I610">
        <f t="shared" si="79"/>
        <v>0</v>
      </c>
      <c r="J610">
        <v>0</v>
      </c>
      <c r="K610" t="s">
        <v>2843</v>
      </c>
      <c r="L610" t="s">
        <v>2844</v>
      </c>
      <c r="M610" t="s">
        <v>27</v>
      </c>
      <c r="N610" t="s">
        <v>27</v>
      </c>
      <c r="O610">
        <v>31.35</v>
      </c>
      <c r="P610">
        <v>7.8822479248046902</v>
      </c>
      <c r="Q610" t="s">
        <v>27</v>
      </c>
      <c r="R610">
        <v>30.700000762939499</v>
      </c>
      <c r="S610">
        <v>26.5</v>
      </c>
      <c r="T610">
        <v>3.37492108345032</v>
      </c>
      <c r="U610" t="s">
        <v>27</v>
      </c>
      <c r="V610">
        <v>27118000</v>
      </c>
      <c r="W610">
        <v>5.1148219108581499</v>
      </c>
      <c r="X610">
        <v>0.43999999761581399</v>
      </c>
      <c r="Y610">
        <v>6.2385320663452104</v>
      </c>
      <c r="Z610" t="s">
        <v>27</v>
      </c>
      <c r="AA610">
        <v>23113000</v>
      </c>
      <c r="AB610" t="s">
        <v>83</v>
      </c>
      <c r="AC610" t="s">
        <v>84</v>
      </c>
      <c r="AD610">
        <v>0.44999998807907099</v>
      </c>
      <c r="AE610" t="s">
        <v>27</v>
      </c>
      <c r="AF610">
        <v>9.4770077471335608</v>
      </c>
      <c r="AG610">
        <v>21704000</v>
      </c>
      <c r="AH610">
        <v>2.9512739181518599</v>
      </c>
      <c r="AI610">
        <v>5.5798401832580602</v>
      </c>
    </row>
    <row r="611" spans="1:35">
      <c r="A611">
        <f t="shared" si="72"/>
        <v>1</v>
      </c>
      <c r="B611">
        <f t="shared" si="73"/>
        <v>0</v>
      </c>
      <c r="C611">
        <f t="shared" si="74"/>
        <v>1</v>
      </c>
      <c r="D611">
        <f t="shared" si="75"/>
        <v>1</v>
      </c>
      <c r="E611">
        <f t="shared" si="76"/>
        <v>0</v>
      </c>
      <c r="F611">
        <f t="shared" si="77"/>
        <v>0</v>
      </c>
      <c r="G611">
        <f t="shared" si="78"/>
        <v>1</v>
      </c>
      <c r="H611">
        <v>0</v>
      </c>
      <c r="I611">
        <f t="shared" si="79"/>
        <v>0</v>
      </c>
      <c r="J611">
        <v>0</v>
      </c>
      <c r="K611" t="s">
        <v>2845</v>
      </c>
      <c r="L611" t="s">
        <v>2846</v>
      </c>
      <c r="M611" t="s">
        <v>27</v>
      </c>
      <c r="N611" t="s">
        <v>27</v>
      </c>
      <c r="O611">
        <v>6.74</v>
      </c>
      <c r="P611">
        <v>0.75605601072311401</v>
      </c>
      <c r="Q611" t="s">
        <v>27</v>
      </c>
      <c r="R611">
        <v>10.060000419616699</v>
      </c>
      <c r="S611">
        <v>5.5</v>
      </c>
      <c r="T611">
        <v>28.263734817504901</v>
      </c>
      <c r="U611">
        <v>22.7557983398438</v>
      </c>
      <c r="V611">
        <v>7724999.5</v>
      </c>
      <c r="W611">
        <v>2.5655651092529301</v>
      </c>
      <c r="X611">
        <v>-9.9999997764825804E-3</v>
      </c>
      <c r="Y611">
        <v>3.0344829559326199</v>
      </c>
      <c r="Z611">
        <v>1.80293500423431</v>
      </c>
      <c r="AA611">
        <v>71077000</v>
      </c>
      <c r="AB611" t="s">
        <v>27</v>
      </c>
      <c r="AC611" t="s">
        <v>27</v>
      </c>
      <c r="AD611">
        <v>5.0000000745058101E-2</v>
      </c>
      <c r="AE611">
        <v>27.266706466674801</v>
      </c>
      <c r="AF611">
        <v>13.928040433513999</v>
      </c>
      <c r="AG611">
        <v>71161000</v>
      </c>
      <c r="AH611">
        <v>20.8512783050537</v>
      </c>
      <c r="AI611">
        <v>-4.3709912300109899</v>
      </c>
    </row>
    <row r="612" spans="1:35">
      <c r="A612">
        <f t="shared" si="72"/>
        <v>0</v>
      </c>
      <c r="B612">
        <f t="shared" si="73"/>
        <v>0</v>
      </c>
      <c r="C612">
        <f t="shared" si="74"/>
        <v>0</v>
      </c>
      <c r="D612">
        <f t="shared" si="75"/>
        <v>1</v>
      </c>
      <c r="E612">
        <f t="shared" si="76"/>
        <v>0</v>
      </c>
      <c r="F612">
        <f t="shared" si="77"/>
        <v>0</v>
      </c>
      <c r="G612">
        <f t="shared" si="78"/>
        <v>0</v>
      </c>
      <c r="H612">
        <v>0</v>
      </c>
      <c r="I612">
        <f t="shared" si="79"/>
        <v>0</v>
      </c>
      <c r="J612">
        <v>0</v>
      </c>
      <c r="K612" t="s">
        <v>2847</v>
      </c>
      <c r="L612" t="s">
        <v>2848</v>
      </c>
      <c r="M612" t="s">
        <v>27</v>
      </c>
      <c r="N612" t="s">
        <v>27</v>
      </c>
      <c r="O612">
        <v>2.4</v>
      </c>
      <c r="P612">
        <v>1.64262700080872</v>
      </c>
      <c r="Q612" t="s">
        <v>27</v>
      </c>
      <c r="R612">
        <v>6.8800001144409197</v>
      </c>
      <c r="S612">
        <v>14.875</v>
      </c>
      <c r="T612">
        <v>0</v>
      </c>
      <c r="U612">
        <v>74.141555786132798</v>
      </c>
      <c r="V612">
        <v>-14456000</v>
      </c>
      <c r="W612">
        <v>-0.40999200940132102</v>
      </c>
      <c r="X612">
        <v>2.9999999329447701E-2</v>
      </c>
      <c r="Y612">
        <v>1.2799999713897701</v>
      </c>
      <c r="Z612" t="s">
        <v>27</v>
      </c>
      <c r="AA612">
        <v>269596992</v>
      </c>
      <c r="AB612" t="s">
        <v>38</v>
      </c>
      <c r="AC612" t="s">
        <v>89</v>
      </c>
      <c r="AD612" t="s">
        <v>27</v>
      </c>
      <c r="AE612">
        <v>69.650276184082003</v>
      </c>
      <c r="AF612">
        <v>12.287991685054401</v>
      </c>
      <c r="AG612">
        <v>260538000</v>
      </c>
      <c r="AH612">
        <v>0</v>
      </c>
      <c r="AI612">
        <v>-1.1729309558868399</v>
      </c>
    </row>
    <row r="613" spans="1:35">
      <c r="A613">
        <f t="shared" si="72"/>
        <v>1</v>
      </c>
      <c r="B613">
        <f t="shared" si="73"/>
        <v>1</v>
      </c>
      <c r="C613">
        <f t="shared" si="74"/>
        <v>0</v>
      </c>
      <c r="D613">
        <f t="shared" si="75"/>
        <v>1</v>
      </c>
      <c r="E613">
        <f t="shared" si="76"/>
        <v>0</v>
      </c>
      <c r="F613">
        <f t="shared" si="77"/>
        <v>0</v>
      </c>
      <c r="G613">
        <f t="shared" si="78"/>
        <v>0</v>
      </c>
      <c r="H613">
        <v>0</v>
      </c>
      <c r="I613">
        <f t="shared" si="79"/>
        <v>0</v>
      </c>
      <c r="J613">
        <v>0</v>
      </c>
      <c r="K613" t="s">
        <v>2855</v>
      </c>
      <c r="L613" t="s">
        <v>2856</v>
      </c>
      <c r="M613" t="s">
        <v>27</v>
      </c>
      <c r="N613" t="s">
        <v>27</v>
      </c>
      <c r="O613">
        <v>5.66</v>
      </c>
      <c r="P613" t="s">
        <v>27</v>
      </c>
      <c r="Q613" t="s">
        <v>27</v>
      </c>
      <c r="R613">
        <v>14.9899997711182</v>
      </c>
      <c r="S613">
        <v>7.8125</v>
      </c>
      <c r="T613">
        <v>1.8787699937820399</v>
      </c>
      <c r="U613">
        <v>55.980861663818402</v>
      </c>
      <c r="V613">
        <v>-664000</v>
      </c>
      <c r="W613">
        <v>-101.485237121582</v>
      </c>
      <c r="X613">
        <v>-3.9999999105930301E-2</v>
      </c>
      <c r="Y613">
        <v>-2</v>
      </c>
      <c r="Z613">
        <v>-0.98591500520706199</v>
      </c>
      <c r="AA613">
        <v>12823000</v>
      </c>
      <c r="AB613" t="s">
        <v>27</v>
      </c>
      <c r="AC613" t="s">
        <v>27</v>
      </c>
      <c r="AD613">
        <v>-2.9999999329447701E-2</v>
      </c>
      <c r="AE613">
        <v>54.250820159912102</v>
      </c>
      <c r="AF613">
        <v>165.625262319093</v>
      </c>
      <c r="AG613">
        <v>13939000</v>
      </c>
      <c r="AH613">
        <v>1.35987401008606</v>
      </c>
      <c r="AI613">
        <v>-70.276321411132798</v>
      </c>
    </row>
    <row r="614" spans="1:35">
      <c r="A614">
        <f t="shared" ref="A614:A676" si="80">IF(AH614&lt;T614,1,0)</f>
        <v>0</v>
      </c>
      <c r="B614">
        <f t="shared" ref="B614:B676" si="81">IF(AI614&gt;W614,1,0)</f>
        <v>0</v>
      </c>
      <c r="C614">
        <f t="shared" ref="C614:C676" si="82">IF(V614&gt;0,1,0)</f>
        <v>1</v>
      </c>
      <c r="D614">
        <f t="shared" ref="D614:D676" si="83">IF(AD614&gt;X614,1,0)</f>
        <v>0</v>
      </c>
      <c r="E614">
        <f t="shared" ref="E614:E676" si="84">IF(AA614=AG614,1,0)</f>
        <v>0</v>
      </c>
      <c r="F614">
        <f t="shared" ref="F614:F676" si="85">IF(AI614&gt;0,1,0)</f>
        <v>0</v>
      </c>
      <c r="G614">
        <f t="shared" ref="G614:G676" si="86">IF(AE614&gt;U614,1,0)</f>
        <v>0</v>
      </c>
      <c r="H614">
        <v>0</v>
      </c>
      <c r="I614">
        <f t="shared" ref="I614:I676" si="87">IF(((O614-R614)/R614)&gt;0.075,1,0)</f>
        <v>0</v>
      </c>
      <c r="J614">
        <v>0</v>
      </c>
      <c r="K614" t="s">
        <v>2859</v>
      </c>
      <c r="L614" t="s">
        <v>2860</v>
      </c>
      <c r="M614" t="s">
        <v>27</v>
      </c>
      <c r="N614" t="s">
        <v>27</v>
      </c>
      <c r="O614">
        <v>5.3620000000000001</v>
      </c>
      <c r="P614" t="s">
        <v>27</v>
      </c>
      <c r="Q614" t="s">
        <v>27</v>
      </c>
      <c r="R614">
        <v>13.4700002670288</v>
      </c>
      <c r="S614">
        <v>12.1875</v>
      </c>
      <c r="T614">
        <v>0</v>
      </c>
      <c r="U614">
        <v>39.104404449462898</v>
      </c>
      <c r="V614">
        <v>1508000</v>
      </c>
      <c r="W614">
        <v>14.211277961731</v>
      </c>
      <c r="X614">
        <v>-0.66000002622604403</v>
      </c>
      <c r="Y614">
        <v>5.3908710479736301</v>
      </c>
      <c r="Z614">
        <v>-16.785713195800799</v>
      </c>
      <c r="AA614">
        <v>14624000</v>
      </c>
      <c r="AB614" t="s">
        <v>27</v>
      </c>
      <c r="AC614" t="s">
        <v>27</v>
      </c>
      <c r="AD614">
        <v>-0.980000019073486</v>
      </c>
      <c r="AE614">
        <v>35.9459228515625</v>
      </c>
      <c r="AF614" t="s">
        <v>27</v>
      </c>
      <c r="AG614">
        <v>15507000</v>
      </c>
      <c r="AH614">
        <v>0</v>
      </c>
      <c r="AI614">
        <v>-22.5965461730957</v>
      </c>
    </row>
    <row r="615" spans="1:35">
      <c r="A615">
        <f t="shared" si="80"/>
        <v>0</v>
      </c>
      <c r="B615">
        <f t="shared" si="81"/>
        <v>0</v>
      </c>
      <c r="C615">
        <f t="shared" si="82"/>
        <v>0</v>
      </c>
      <c r="D615">
        <f t="shared" si="83"/>
        <v>0</v>
      </c>
      <c r="E615">
        <f t="shared" si="84"/>
        <v>0</v>
      </c>
      <c r="F615">
        <f t="shared" si="85"/>
        <v>1</v>
      </c>
      <c r="G615">
        <f t="shared" si="86"/>
        <v>0</v>
      </c>
      <c r="H615">
        <v>0</v>
      </c>
      <c r="I615">
        <f t="shared" si="87"/>
        <v>0</v>
      </c>
      <c r="J615">
        <v>0</v>
      </c>
      <c r="K615" t="s">
        <v>2861</v>
      </c>
      <c r="L615" t="s">
        <v>2862</v>
      </c>
      <c r="M615" t="s">
        <v>27</v>
      </c>
      <c r="N615" t="s">
        <v>27</v>
      </c>
      <c r="O615">
        <v>1.55</v>
      </c>
      <c r="P615" t="s">
        <v>27</v>
      </c>
      <c r="Q615" t="s">
        <v>27</v>
      </c>
      <c r="R615">
        <v>10.460000038146999</v>
      </c>
      <c r="S615">
        <v>1.25</v>
      </c>
      <c r="T615">
        <v>53.872852325439503</v>
      </c>
      <c r="U615">
        <v>63.012939453125</v>
      </c>
      <c r="V615">
        <v>-8070000</v>
      </c>
      <c r="W615" t="s">
        <v>27</v>
      </c>
      <c r="X615">
        <v>0.119999997317791</v>
      </c>
      <c r="Y615" t="s">
        <v>27</v>
      </c>
      <c r="Z615" t="s">
        <v>27</v>
      </c>
      <c r="AA615">
        <v>25319000</v>
      </c>
      <c r="AB615" t="s">
        <v>27</v>
      </c>
      <c r="AC615" t="s">
        <v>27</v>
      </c>
      <c r="AD615">
        <v>9.9999997764825804E-3</v>
      </c>
      <c r="AE615">
        <v>58.535133361816399</v>
      </c>
      <c r="AF615" t="s">
        <v>27</v>
      </c>
      <c r="AG615">
        <v>25755000</v>
      </c>
      <c r="AH615">
        <v>74.993011474609403</v>
      </c>
      <c r="AI615" t="s">
        <v>27</v>
      </c>
    </row>
    <row r="616" spans="1:35">
      <c r="A616">
        <f t="shared" si="80"/>
        <v>0</v>
      </c>
      <c r="B616">
        <f t="shared" si="81"/>
        <v>0</v>
      </c>
      <c r="C616">
        <f t="shared" si="82"/>
        <v>1</v>
      </c>
      <c r="D616">
        <f t="shared" si="83"/>
        <v>0</v>
      </c>
      <c r="E616">
        <f t="shared" si="84"/>
        <v>0</v>
      </c>
      <c r="F616">
        <f t="shared" si="85"/>
        <v>0</v>
      </c>
      <c r="G616">
        <f t="shared" si="86"/>
        <v>0</v>
      </c>
      <c r="H616">
        <v>0</v>
      </c>
      <c r="I616">
        <f t="shared" si="87"/>
        <v>0</v>
      </c>
      <c r="J616">
        <v>0</v>
      </c>
      <c r="K616" t="s">
        <v>2873</v>
      </c>
      <c r="L616" t="s">
        <v>2874</v>
      </c>
      <c r="M616" t="s">
        <v>27</v>
      </c>
      <c r="N616" t="s">
        <v>27</v>
      </c>
      <c r="O616">
        <v>10.14</v>
      </c>
      <c r="P616" t="s">
        <v>27</v>
      </c>
      <c r="Q616" t="s">
        <v>27</v>
      </c>
      <c r="R616">
        <v>23.829999923706101</v>
      </c>
      <c r="S616">
        <v>37.4375</v>
      </c>
      <c r="T616">
        <v>0</v>
      </c>
      <c r="U616">
        <v>88.602058410644503</v>
      </c>
      <c r="V616">
        <v>13748999</v>
      </c>
      <c r="W616">
        <v>5.7191438674926802</v>
      </c>
      <c r="X616">
        <v>-7.0000000298023196E-2</v>
      </c>
      <c r="Y616">
        <v>0.225409001111984</v>
      </c>
      <c r="Z616">
        <v>1.8998270034789999</v>
      </c>
      <c r="AA616">
        <v>88034000</v>
      </c>
      <c r="AB616" t="s">
        <v>27</v>
      </c>
      <c r="AC616" t="s">
        <v>27</v>
      </c>
      <c r="AD616">
        <v>-0.119999997317791</v>
      </c>
      <c r="AE616">
        <v>86.296630859375</v>
      </c>
      <c r="AF616" t="s">
        <v>27</v>
      </c>
      <c r="AG616">
        <v>88782000</v>
      </c>
      <c r="AH616">
        <v>0</v>
      </c>
      <c r="AI616">
        <v>-7.9195218086242702</v>
      </c>
    </row>
    <row r="617" spans="1:35">
      <c r="A617">
        <f t="shared" si="80"/>
        <v>1</v>
      </c>
      <c r="B617">
        <f t="shared" si="81"/>
        <v>0</v>
      </c>
      <c r="C617">
        <f t="shared" si="82"/>
        <v>1</v>
      </c>
      <c r="D617">
        <f t="shared" si="83"/>
        <v>1</v>
      </c>
      <c r="E617">
        <f t="shared" si="84"/>
        <v>0</v>
      </c>
      <c r="F617">
        <f t="shared" si="85"/>
        <v>0</v>
      </c>
      <c r="G617">
        <f t="shared" si="86"/>
        <v>1</v>
      </c>
      <c r="H617">
        <v>0</v>
      </c>
      <c r="I617">
        <f t="shared" si="87"/>
        <v>0</v>
      </c>
      <c r="J617">
        <v>0</v>
      </c>
      <c r="K617" t="s">
        <v>2877</v>
      </c>
      <c r="L617" t="s">
        <v>2878</v>
      </c>
      <c r="M617" t="s">
        <v>27</v>
      </c>
      <c r="N617" t="s">
        <v>27</v>
      </c>
      <c r="O617">
        <v>3.43</v>
      </c>
      <c r="P617" t="s">
        <v>27</v>
      </c>
      <c r="Q617" t="s">
        <v>27</v>
      </c>
      <c r="R617">
        <v>7.5999999046325701</v>
      </c>
      <c r="S617">
        <v>5.25</v>
      </c>
      <c r="T617">
        <v>18.485519409179702</v>
      </c>
      <c r="U617">
        <v>36.117576599121101</v>
      </c>
      <c r="V617">
        <v>1492000.125</v>
      </c>
      <c r="W617">
        <v>10.1483306884766</v>
      </c>
      <c r="X617">
        <v>-0.15999999642372101</v>
      </c>
      <c r="Y617">
        <v>-1.8550720214843801</v>
      </c>
      <c r="Z617">
        <v>-0.42105299234390298</v>
      </c>
      <c r="AA617">
        <v>24835000</v>
      </c>
      <c r="AB617" t="s">
        <v>73</v>
      </c>
      <c r="AC617" t="s">
        <v>74</v>
      </c>
      <c r="AD617">
        <v>-9.9999997764825804E-3</v>
      </c>
      <c r="AE617">
        <v>49.9162406921387</v>
      </c>
      <c r="AF617" t="s">
        <v>27</v>
      </c>
      <c r="AG617">
        <v>28410000</v>
      </c>
      <c r="AH617">
        <v>16.5642414093018</v>
      </c>
      <c r="AI617">
        <v>-7.7909269332885698</v>
      </c>
    </row>
    <row r="618" spans="1:35">
      <c r="A618">
        <f t="shared" si="80"/>
        <v>1</v>
      </c>
      <c r="B618">
        <f t="shared" si="81"/>
        <v>1</v>
      </c>
      <c r="C618">
        <f t="shared" si="82"/>
        <v>0</v>
      </c>
      <c r="D618">
        <f t="shared" si="83"/>
        <v>1</v>
      </c>
      <c r="E618">
        <f t="shared" si="84"/>
        <v>0</v>
      </c>
      <c r="F618">
        <f t="shared" si="85"/>
        <v>0</v>
      </c>
      <c r="G618">
        <f t="shared" si="86"/>
        <v>1</v>
      </c>
      <c r="H618">
        <v>0</v>
      </c>
      <c r="I618">
        <f t="shared" si="87"/>
        <v>0</v>
      </c>
      <c r="J618">
        <v>0</v>
      </c>
      <c r="K618" t="s">
        <v>2883</v>
      </c>
      <c r="L618" t="s">
        <v>2884</v>
      </c>
      <c r="M618" t="s">
        <v>27</v>
      </c>
      <c r="N618" t="s">
        <v>27</v>
      </c>
      <c r="O618">
        <v>2.6</v>
      </c>
      <c r="P618" t="s">
        <v>27</v>
      </c>
      <c r="Q618" t="s">
        <v>27</v>
      </c>
      <c r="R618">
        <v>17.620000839233398</v>
      </c>
      <c r="S618">
        <v>5</v>
      </c>
      <c r="T618">
        <v>9.0310144424438494</v>
      </c>
      <c r="U618">
        <v>30.264036178588899</v>
      </c>
      <c r="V618">
        <v>-3808000</v>
      </c>
      <c r="W618">
        <v>-67.686431884765597</v>
      </c>
      <c r="X618">
        <v>-0.56999999284744296</v>
      </c>
      <c r="Y618">
        <v>-30.857143402099599</v>
      </c>
      <c r="Z618">
        <v>-6.6952791213989302</v>
      </c>
      <c r="AA618">
        <v>23512000</v>
      </c>
      <c r="AB618" t="s">
        <v>27</v>
      </c>
      <c r="AC618" t="s">
        <v>27</v>
      </c>
      <c r="AD618">
        <v>-0.41999998688697798</v>
      </c>
      <c r="AE618">
        <v>34.075679779052699</v>
      </c>
      <c r="AF618" t="s">
        <v>27</v>
      </c>
      <c r="AG618">
        <v>37213000</v>
      </c>
      <c r="AH618">
        <v>3.3882129192352299</v>
      </c>
      <c r="AI618">
        <v>-47.762939453125</v>
      </c>
    </row>
    <row r="619" spans="1:35">
      <c r="A619">
        <f t="shared" si="80"/>
        <v>0</v>
      </c>
      <c r="B619">
        <f t="shared" si="81"/>
        <v>0</v>
      </c>
      <c r="C619">
        <f t="shared" si="82"/>
        <v>1</v>
      </c>
      <c r="D619">
        <f t="shared" si="83"/>
        <v>0</v>
      </c>
      <c r="E619">
        <f t="shared" si="84"/>
        <v>0</v>
      </c>
      <c r="F619">
        <f t="shared" si="85"/>
        <v>1</v>
      </c>
      <c r="G619">
        <f t="shared" si="86"/>
        <v>0</v>
      </c>
      <c r="H619">
        <v>0</v>
      </c>
      <c r="I619">
        <f t="shared" si="87"/>
        <v>0</v>
      </c>
      <c r="J619">
        <v>0</v>
      </c>
      <c r="K619" t="s">
        <v>2885</v>
      </c>
      <c r="L619" t="s">
        <v>2886</v>
      </c>
      <c r="M619" t="s">
        <v>27</v>
      </c>
      <c r="N619" t="s">
        <v>27</v>
      </c>
      <c r="O619">
        <v>9.31</v>
      </c>
      <c r="P619">
        <v>5.6150050163268999</v>
      </c>
      <c r="Q619" t="s">
        <v>27</v>
      </c>
      <c r="R619">
        <v>9.6499996185302699</v>
      </c>
      <c r="S619">
        <v>21.875</v>
      </c>
      <c r="T619">
        <v>0</v>
      </c>
      <c r="U619">
        <v>38.696151733398402</v>
      </c>
      <c r="V619">
        <v>5623000</v>
      </c>
      <c r="W619">
        <v>7.7577548027038601</v>
      </c>
      <c r="X619">
        <v>1.9999999552965199E-2</v>
      </c>
      <c r="Y619">
        <v>1.1228070259094201</v>
      </c>
      <c r="Z619">
        <v>0.39215698838233898</v>
      </c>
      <c r="AA619">
        <v>27618020</v>
      </c>
      <c r="AB619" t="s">
        <v>27</v>
      </c>
      <c r="AC619" t="s">
        <v>27</v>
      </c>
      <c r="AD619">
        <v>-7.9999998211860698E-2</v>
      </c>
      <c r="AE619">
        <v>35.945758819580099</v>
      </c>
      <c r="AF619">
        <v>11.695979895288</v>
      </c>
      <c r="AG619">
        <v>27913896</v>
      </c>
      <c r="AH619">
        <v>1.3163030147552499</v>
      </c>
      <c r="AI619">
        <v>5.5751051902770996</v>
      </c>
    </row>
    <row r="620" spans="1:35">
      <c r="A620">
        <f t="shared" si="80"/>
        <v>0</v>
      </c>
      <c r="B620">
        <f t="shared" si="81"/>
        <v>1</v>
      </c>
      <c r="C620">
        <f t="shared" si="82"/>
        <v>0</v>
      </c>
      <c r="D620">
        <f t="shared" si="83"/>
        <v>0</v>
      </c>
      <c r="E620">
        <f t="shared" si="84"/>
        <v>0</v>
      </c>
      <c r="F620">
        <f t="shared" si="85"/>
        <v>1</v>
      </c>
      <c r="G620">
        <f t="shared" si="86"/>
        <v>0</v>
      </c>
      <c r="H620">
        <v>0</v>
      </c>
      <c r="I620">
        <f t="shared" si="87"/>
        <v>0</v>
      </c>
      <c r="J620">
        <v>0</v>
      </c>
      <c r="K620" t="s">
        <v>2889</v>
      </c>
      <c r="L620" t="s">
        <v>2890</v>
      </c>
      <c r="M620" t="s">
        <v>27</v>
      </c>
      <c r="N620" t="s">
        <v>27</v>
      </c>
      <c r="O620">
        <v>7.02</v>
      </c>
      <c r="P620">
        <v>12.9278907775879</v>
      </c>
      <c r="Q620" t="s">
        <v>27</v>
      </c>
      <c r="R620">
        <v>20</v>
      </c>
      <c r="S620">
        <v>27.5</v>
      </c>
      <c r="T620">
        <v>33.284088134765597</v>
      </c>
      <c r="U620">
        <v>34.5914306640625</v>
      </c>
      <c r="V620">
        <v>-2058000</v>
      </c>
      <c r="W620">
        <v>11.8995265960693</v>
      </c>
      <c r="X620">
        <v>0.54000002145767201</v>
      </c>
      <c r="Y620">
        <v>2.8479599952697798</v>
      </c>
      <c r="Z620">
        <v>-1.4166669845581099</v>
      </c>
      <c r="AA620">
        <v>17293000</v>
      </c>
      <c r="AB620" t="s">
        <v>38</v>
      </c>
      <c r="AC620" t="s">
        <v>146</v>
      </c>
      <c r="AD620">
        <v>-0.18000000715255701</v>
      </c>
      <c r="AE620">
        <v>25.130794525146499</v>
      </c>
      <c r="AF620" t="s">
        <v>27</v>
      </c>
      <c r="AG620">
        <v>17287000</v>
      </c>
      <c r="AH620">
        <v>33.968204498291001</v>
      </c>
      <c r="AI620">
        <v>12.5184535980225</v>
      </c>
    </row>
    <row r="621" spans="1:35">
      <c r="A621">
        <f t="shared" si="80"/>
        <v>1</v>
      </c>
      <c r="B621">
        <f t="shared" si="81"/>
        <v>1</v>
      </c>
      <c r="C621">
        <f t="shared" si="82"/>
        <v>1</v>
      </c>
      <c r="D621">
        <f t="shared" si="83"/>
        <v>0</v>
      </c>
      <c r="E621">
        <f t="shared" si="84"/>
        <v>0</v>
      </c>
      <c r="F621">
        <f t="shared" si="85"/>
        <v>1</v>
      </c>
      <c r="G621">
        <f t="shared" si="86"/>
        <v>0</v>
      </c>
      <c r="H621">
        <v>0</v>
      </c>
      <c r="I621">
        <f t="shared" si="87"/>
        <v>0</v>
      </c>
      <c r="J621">
        <v>0</v>
      </c>
      <c r="K621" t="s">
        <v>2893</v>
      </c>
      <c r="L621" t="s">
        <v>2894</v>
      </c>
      <c r="M621" t="s">
        <v>27</v>
      </c>
      <c r="N621" t="s">
        <v>27</v>
      </c>
      <c r="O621">
        <v>8.0399999999999991</v>
      </c>
      <c r="P621">
        <v>11.8129529953003</v>
      </c>
      <c r="Q621" t="s">
        <v>27</v>
      </c>
      <c r="R621">
        <v>11.5299997329712</v>
      </c>
      <c r="S621">
        <v>13.25</v>
      </c>
      <c r="T621">
        <v>3.0378859043121298</v>
      </c>
      <c r="U621">
        <v>51.743202209472699</v>
      </c>
      <c r="V621">
        <v>11386000</v>
      </c>
      <c r="W621">
        <v>6.77262210845947</v>
      </c>
      <c r="X621">
        <v>0.18000000715255701</v>
      </c>
      <c r="Y621">
        <v>3.0812718868255602</v>
      </c>
      <c r="Z621">
        <v>-4</v>
      </c>
      <c r="AA621">
        <v>25330000</v>
      </c>
      <c r="AB621" t="s">
        <v>27</v>
      </c>
      <c r="AC621" t="s">
        <v>27</v>
      </c>
      <c r="AD621">
        <v>-0.77999997138977095</v>
      </c>
      <c r="AE621">
        <v>-6.8042497634887704</v>
      </c>
      <c r="AF621" t="s">
        <v>27</v>
      </c>
      <c r="AG621">
        <v>26062000</v>
      </c>
      <c r="AH621">
        <v>0.52058899402618397</v>
      </c>
      <c r="AI621">
        <v>9.5749092102050799</v>
      </c>
    </row>
    <row r="622" spans="1:35">
      <c r="A622">
        <f t="shared" si="80"/>
        <v>1</v>
      </c>
      <c r="B622">
        <f t="shared" si="81"/>
        <v>0</v>
      </c>
      <c r="C622">
        <f t="shared" si="82"/>
        <v>0</v>
      </c>
      <c r="D622">
        <f t="shared" si="83"/>
        <v>1</v>
      </c>
      <c r="E622">
        <f t="shared" si="84"/>
        <v>0</v>
      </c>
      <c r="F622">
        <f t="shared" si="85"/>
        <v>0</v>
      </c>
      <c r="G622">
        <f t="shared" si="86"/>
        <v>1</v>
      </c>
      <c r="H622">
        <v>0</v>
      </c>
      <c r="I622">
        <f t="shared" si="87"/>
        <v>0</v>
      </c>
      <c r="J622">
        <v>0</v>
      </c>
      <c r="K622" t="s">
        <v>2895</v>
      </c>
      <c r="L622" t="s">
        <v>2896</v>
      </c>
      <c r="M622" t="s">
        <v>27</v>
      </c>
      <c r="N622" t="s">
        <v>27</v>
      </c>
      <c r="O622">
        <v>2.65</v>
      </c>
      <c r="P622" t="s">
        <v>27</v>
      </c>
      <c r="Q622" t="s">
        <v>27</v>
      </c>
      <c r="R622">
        <v>4.6999998092651403</v>
      </c>
      <c r="S622">
        <v>1.25</v>
      </c>
      <c r="T622">
        <v>1.3979860544204701</v>
      </c>
      <c r="U622">
        <v>16.164333343505898</v>
      </c>
      <c r="V622">
        <v>-1050000</v>
      </c>
      <c r="W622">
        <v>-21.897668838501001</v>
      </c>
      <c r="X622">
        <v>-0.74000000953674305</v>
      </c>
      <c r="Y622" t="s">
        <v>27</v>
      </c>
      <c r="Z622">
        <v>-27.314815521240199</v>
      </c>
      <c r="AA622">
        <v>46828000</v>
      </c>
      <c r="AB622" t="s">
        <v>27</v>
      </c>
      <c r="AC622" t="s">
        <v>27</v>
      </c>
      <c r="AD622">
        <v>-0.259999990463257</v>
      </c>
      <c r="AE622">
        <v>49.363182067871101</v>
      </c>
      <c r="AF622">
        <v>15.9515214078663</v>
      </c>
      <c r="AG622">
        <v>47438000</v>
      </c>
      <c r="AH622">
        <v>1.05011999607086</v>
      </c>
      <c r="AI622">
        <v>-73.359031677246094</v>
      </c>
    </row>
    <row r="623" spans="1:35">
      <c r="A623">
        <f t="shared" si="80"/>
        <v>1</v>
      </c>
      <c r="B623">
        <f t="shared" si="81"/>
        <v>1</v>
      </c>
      <c r="C623">
        <f t="shared" si="82"/>
        <v>1</v>
      </c>
      <c r="D623">
        <f t="shared" si="83"/>
        <v>0</v>
      </c>
      <c r="E623">
        <f t="shared" si="84"/>
        <v>0</v>
      </c>
      <c r="F623">
        <f t="shared" si="85"/>
        <v>1</v>
      </c>
      <c r="G623">
        <f t="shared" si="86"/>
        <v>1</v>
      </c>
      <c r="H623">
        <v>0</v>
      </c>
      <c r="I623">
        <f t="shared" si="87"/>
        <v>1</v>
      </c>
      <c r="J623">
        <v>0</v>
      </c>
      <c r="K623" t="s">
        <v>2903</v>
      </c>
      <c r="L623" t="s">
        <v>2904</v>
      </c>
      <c r="M623" t="s">
        <v>27</v>
      </c>
      <c r="N623" t="s">
        <v>27</v>
      </c>
      <c r="O623">
        <v>5.85</v>
      </c>
      <c r="P623" t="s">
        <v>27</v>
      </c>
      <c r="Q623" t="s">
        <v>27</v>
      </c>
      <c r="R623">
        <v>4.2300000190734899</v>
      </c>
      <c r="S623">
        <v>5.9200000762939498</v>
      </c>
      <c r="T623">
        <v>56.085235595703097</v>
      </c>
      <c r="U623">
        <v>37.129814147949197</v>
      </c>
      <c r="V623">
        <v>1289000</v>
      </c>
      <c r="W623">
        <v>-0.93107402324676503</v>
      </c>
      <c r="X623">
        <v>0.18999999761581399</v>
      </c>
      <c r="Y623" t="s">
        <v>27</v>
      </c>
      <c r="Z623">
        <v>24.842105865478501</v>
      </c>
      <c r="AA623">
        <v>37902000</v>
      </c>
      <c r="AB623" t="s">
        <v>328</v>
      </c>
      <c r="AC623" t="s">
        <v>329</v>
      </c>
      <c r="AD623">
        <v>0.15999999642372101</v>
      </c>
      <c r="AE623">
        <v>42.460437774658203</v>
      </c>
      <c r="AF623">
        <v>5.5389767983690898</v>
      </c>
      <c r="AG623">
        <v>51644000</v>
      </c>
      <c r="AH623">
        <v>55.382110595703097</v>
      </c>
      <c r="AI623">
        <v>5.2667541503906303</v>
      </c>
    </row>
    <row r="624" spans="1:35">
      <c r="A624">
        <f t="shared" si="80"/>
        <v>1</v>
      </c>
      <c r="B624">
        <f t="shared" si="81"/>
        <v>0</v>
      </c>
      <c r="C624">
        <f t="shared" si="82"/>
        <v>1</v>
      </c>
      <c r="D624">
        <f t="shared" si="83"/>
        <v>0</v>
      </c>
      <c r="E624">
        <f t="shared" si="84"/>
        <v>0</v>
      </c>
      <c r="F624">
        <f t="shared" si="85"/>
        <v>0</v>
      </c>
      <c r="G624">
        <f t="shared" si="86"/>
        <v>0</v>
      </c>
      <c r="H624">
        <v>0</v>
      </c>
      <c r="I624">
        <f t="shared" si="87"/>
        <v>1</v>
      </c>
      <c r="J624">
        <v>0</v>
      </c>
      <c r="K624" t="s">
        <v>2907</v>
      </c>
      <c r="L624" t="s">
        <v>2908</v>
      </c>
      <c r="M624" t="s">
        <v>27</v>
      </c>
      <c r="N624" t="s">
        <v>27</v>
      </c>
      <c r="O624">
        <v>4.75</v>
      </c>
      <c r="P624" t="s">
        <v>27</v>
      </c>
      <c r="Q624" t="s">
        <v>27</v>
      </c>
      <c r="R624">
        <v>3.9000000953674299</v>
      </c>
      <c r="S624">
        <v>2.9900000095367401</v>
      </c>
      <c r="T624">
        <v>7.4368419647216797</v>
      </c>
      <c r="U624">
        <v>24.688575744628899</v>
      </c>
      <c r="V624">
        <v>6101000</v>
      </c>
      <c r="W624">
        <v>9.0286626815795898</v>
      </c>
      <c r="X624">
        <v>0.83999997377395597</v>
      </c>
      <c r="Y624">
        <v>-23084.62890625</v>
      </c>
      <c r="Z624">
        <v>-18.749998092651399</v>
      </c>
      <c r="AA624">
        <v>3519000</v>
      </c>
      <c r="AB624" t="s">
        <v>27</v>
      </c>
      <c r="AC624" t="s">
        <v>27</v>
      </c>
      <c r="AD624">
        <v>1.9999999552965199E-2</v>
      </c>
      <c r="AE624">
        <v>19.207414627075199</v>
      </c>
      <c r="AF624" t="s">
        <v>27</v>
      </c>
      <c r="AG624">
        <v>41529000</v>
      </c>
      <c r="AH624">
        <v>6.2490949630737296</v>
      </c>
      <c r="AI624">
        <v>-2773.654296875</v>
      </c>
    </row>
    <row r="625" spans="1:35">
      <c r="A625">
        <f t="shared" si="80"/>
        <v>0</v>
      </c>
      <c r="B625">
        <f t="shared" si="81"/>
        <v>0</v>
      </c>
      <c r="C625">
        <f t="shared" si="82"/>
        <v>0</v>
      </c>
      <c r="D625">
        <f t="shared" si="83"/>
        <v>1</v>
      </c>
      <c r="E625">
        <f t="shared" si="84"/>
        <v>0</v>
      </c>
      <c r="F625">
        <f t="shared" si="85"/>
        <v>0</v>
      </c>
      <c r="G625">
        <f t="shared" si="86"/>
        <v>0</v>
      </c>
      <c r="H625">
        <v>0</v>
      </c>
      <c r="I625">
        <f t="shared" si="87"/>
        <v>0</v>
      </c>
      <c r="J625">
        <v>0</v>
      </c>
      <c r="K625" t="s">
        <v>2909</v>
      </c>
      <c r="L625" t="s">
        <v>2910</v>
      </c>
      <c r="M625" t="s">
        <v>27</v>
      </c>
      <c r="N625" t="s">
        <v>27</v>
      </c>
      <c r="O625">
        <v>0.96</v>
      </c>
      <c r="P625" t="s">
        <v>27</v>
      </c>
      <c r="Q625" t="s">
        <v>27</v>
      </c>
      <c r="R625">
        <v>1.95000004768372</v>
      </c>
      <c r="S625">
        <v>12.125</v>
      </c>
      <c r="T625">
        <v>46.521286010742202</v>
      </c>
      <c r="U625" t="s">
        <v>27</v>
      </c>
      <c r="V625">
        <v>-84779000</v>
      </c>
      <c r="W625">
        <v>-13.9234066009521</v>
      </c>
      <c r="X625">
        <v>-2.7000000476837198</v>
      </c>
      <c r="Y625">
        <v>-42.795181274414098</v>
      </c>
      <c r="Z625">
        <v>-320.625</v>
      </c>
      <c r="AA625">
        <v>86492000</v>
      </c>
      <c r="AB625" t="s">
        <v>27</v>
      </c>
      <c r="AC625" t="s">
        <v>27</v>
      </c>
      <c r="AD625">
        <v>-1.1499999761581401</v>
      </c>
      <c r="AE625">
        <v>54.639255523681598</v>
      </c>
      <c r="AF625" t="s">
        <v>27</v>
      </c>
      <c r="AG625">
        <v>97336000</v>
      </c>
      <c r="AH625">
        <v>63.269580841064503</v>
      </c>
      <c r="AI625">
        <v>-19.295839309692401</v>
      </c>
    </row>
    <row r="626" spans="1:35">
      <c r="A626">
        <f t="shared" si="80"/>
        <v>1</v>
      </c>
      <c r="B626">
        <f t="shared" si="81"/>
        <v>1</v>
      </c>
      <c r="C626">
        <f t="shared" si="82"/>
        <v>1</v>
      </c>
      <c r="D626">
        <f t="shared" si="83"/>
        <v>1</v>
      </c>
      <c r="E626">
        <f t="shared" si="84"/>
        <v>0</v>
      </c>
      <c r="F626">
        <f t="shared" si="85"/>
        <v>1</v>
      </c>
      <c r="G626">
        <f t="shared" si="86"/>
        <v>1</v>
      </c>
      <c r="H626">
        <v>0</v>
      </c>
      <c r="I626">
        <f t="shared" si="87"/>
        <v>0</v>
      </c>
      <c r="J626">
        <v>0</v>
      </c>
      <c r="K626" t="s">
        <v>2911</v>
      </c>
      <c r="L626" t="s">
        <v>2912</v>
      </c>
      <c r="M626" t="s">
        <v>27</v>
      </c>
      <c r="N626" t="s">
        <v>27</v>
      </c>
      <c r="O626">
        <v>0.28999999999999998</v>
      </c>
      <c r="P626" t="s">
        <v>27</v>
      </c>
      <c r="Q626" t="s">
        <v>27</v>
      </c>
      <c r="R626">
        <v>3.4800000190734899</v>
      </c>
      <c r="S626">
        <v>10.5625</v>
      </c>
      <c r="T626">
        <v>55.2472114562988</v>
      </c>
      <c r="U626">
        <v>5.6056761741638201</v>
      </c>
      <c r="V626">
        <v>15571993</v>
      </c>
      <c r="W626">
        <v>-19.537532806396499</v>
      </c>
      <c r="X626">
        <v>-0.66000002622604403</v>
      </c>
      <c r="Y626">
        <v>-26.222221374511701</v>
      </c>
      <c r="Z626">
        <v>11.186440467834499</v>
      </c>
      <c r="AA626">
        <v>69014000</v>
      </c>
      <c r="AB626" t="s">
        <v>27</v>
      </c>
      <c r="AC626" t="s">
        <v>27</v>
      </c>
      <c r="AD626">
        <v>5.9999998658895499E-2</v>
      </c>
      <c r="AE626">
        <v>16.508438110351602</v>
      </c>
      <c r="AF626" t="s">
        <v>27</v>
      </c>
      <c r="AG626">
        <v>119076000</v>
      </c>
      <c r="AH626">
        <v>14.772584915161101</v>
      </c>
      <c r="AI626">
        <v>6.9670081138610804</v>
      </c>
    </row>
    <row r="627" spans="1:35">
      <c r="A627">
        <f t="shared" si="80"/>
        <v>0</v>
      </c>
      <c r="B627">
        <f t="shared" si="81"/>
        <v>0</v>
      </c>
      <c r="C627">
        <f t="shared" si="82"/>
        <v>1</v>
      </c>
      <c r="D627">
        <f t="shared" si="83"/>
        <v>0</v>
      </c>
      <c r="E627">
        <f t="shared" si="84"/>
        <v>1</v>
      </c>
      <c r="F627">
        <f t="shared" si="85"/>
        <v>1</v>
      </c>
      <c r="G627">
        <f t="shared" si="86"/>
        <v>0</v>
      </c>
      <c r="H627">
        <v>0</v>
      </c>
      <c r="I627">
        <f t="shared" si="87"/>
        <v>0</v>
      </c>
      <c r="J627">
        <v>0</v>
      </c>
      <c r="K627" t="s">
        <v>2913</v>
      </c>
      <c r="L627" t="s">
        <v>2914</v>
      </c>
      <c r="M627" t="s">
        <v>27</v>
      </c>
      <c r="N627" t="s">
        <v>27</v>
      </c>
      <c r="O627">
        <v>4.71</v>
      </c>
      <c r="P627" t="s">
        <v>27</v>
      </c>
      <c r="Q627" t="s">
        <v>27</v>
      </c>
      <c r="R627">
        <v>6.4000000953674299</v>
      </c>
      <c r="S627">
        <v>2.75</v>
      </c>
      <c r="T627" t="s">
        <v>27</v>
      </c>
      <c r="U627" t="s">
        <v>27</v>
      </c>
      <c r="V627" t="s">
        <v>27</v>
      </c>
      <c r="W627" t="s">
        <v>27</v>
      </c>
      <c r="X627" t="s">
        <v>27</v>
      </c>
      <c r="Y627" t="s">
        <v>27</v>
      </c>
      <c r="Z627" t="s">
        <v>27</v>
      </c>
      <c r="AA627" t="s">
        <v>27</v>
      </c>
      <c r="AB627" t="s">
        <v>52</v>
      </c>
      <c r="AC627" t="s">
        <v>56</v>
      </c>
      <c r="AD627" t="s">
        <v>27</v>
      </c>
      <c r="AE627" t="s">
        <v>27</v>
      </c>
      <c r="AF627" t="s">
        <v>27</v>
      </c>
      <c r="AG627" t="s">
        <v>27</v>
      </c>
      <c r="AH627" t="s">
        <v>27</v>
      </c>
      <c r="AI627" t="s">
        <v>27</v>
      </c>
    </row>
    <row r="628" spans="1:35">
      <c r="A628">
        <f t="shared" si="80"/>
        <v>0</v>
      </c>
      <c r="B628">
        <f t="shared" si="81"/>
        <v>0</v>
      </c>
      <c r="C628">
        <f t="shared" si="82"/>
        <v>0</v>
      </c>
      <c r="D628">
        <f t="shared" si="83"/>
        <v>1</v>
      </c>
      <c r="E628">
        <f t="shared" si="84"/>
        <v>0</v>
      </c>
      <c r="F628">
        <f t="shared" si="85"/>
        <v>0</v>
      </c>
      <c r="G628">
        <f t="shared" si="86"/>
        <v>1</v>
      </c>
      <c r="H628">
        <v>0</v>
      </c>
      <c r="I628">
        <f t="shared" si="87"/>
        <v>0</v>
      </c>
      <c r="J628">
        <v>0</v>
      </c>
      <c r="K628" t="s">
        <v>2917</v>
      </c>
      <c r="L628" t="s">
        <v>2918</v>
      </c>
      <c r="M628" t="s">
        <v>27</v>
      </c>
      <c r="N628" t="s">
        <v>27</v>
      </c>
      <c r="O628">
        <v>5.14</v>
      </c>
      <c r="P628" t="s">
        <v>27</v>
      </c>
      <c r="Q628" t="s">
        <v>27</v>
      </c>
      <c r="R628">
        <v>8.1199998855590803</v>
      </c>
      <c r="S628">
        <v>9.34375</v>
      </c>
      <c r="T628">
        <v>0.106833003461361</v>
      </c>
      <c r="U628">
        <v>54.8397026062012</v>
      </c>
      <c r="V628">
        <v>-2268000</v>
      </c>
      <c r="W628">
        <v>-18.147016525268601</v>
      </c>
      <c r="X628">
        <v>-0.15000000596046401</v>
      </c>
      <c r="Y628">
        <v>-3.2000000476837198</v>
      </c>
      <c r="Z628">
        <v>-3.75939893722534</v>
      </c>
      <c r="AA628">
        <v>161536000</v>
      </c>
      <c r="AB628" t="s">
        <v>38</v>
      </c>
      <c r="AC628" t="s">
        <v>89</v>
      </c>
      <c r="AD628">
        <v>-9.00000035762787E-2</v>
      </c>
      <c r="AE628">
        <v>63.556575775146499</v>
      </c>
      <c r="AF628" t="s">
        <v>27</v>
      </c>
      <c r="AG628">
        <v>169162000</v>
      </c>
      <c r="AH628">
        <v>2.7492620944976802</v>
      </c>
      <c r="AI628">
        <v>-18.447801589965799</v>
      </c>
    </row>
    <row r="629" spans="1:35">
      <c r="A629">
        <f t="shared" si="80"/>
        <v>0</v>
      </c>
      <c r="B629">
        <f t="shared" si="81"/>
        <v>0</v>
      </c>
      <c r="C629">
        <f t="shared" si="82"/>
        <v>0</v>
      </c>
      <c r="D629">
        <f t="shared" si="83"/>
        <v>0</v>
      </c>
      <c r="E629">
        <f t="shared" si="84"/>
        <v>0</v>
      </c>
      <c r="F629">
        <f t="shared" si="85"/>
        <v>0</v>
      </c>
      <c r="G629">
        <f t="shared" si="86"/>
        <v>0</v>
      </c>
      <c r="H629">
        <v>0</v>
      </c>
      <c r="I629">
        <f t="shared" si="87"/>
        <v>0</v>
      </c>
      <c r="J629">
        <v>0</v>
      </c>
      <c r="K629" t="s">
        <v>2919</v>
      </c>
      <c r="L629" t="s">
        <v>2920</v>
      </c>
      <c r="M629" t="s">
        <v>27</v>
      </c>
      <c r="N629" t="s">
        <v>27</v>
      </c>
      <c r="O629">
        <v>0.60499999999999998</v>
      </c>
      <c r="P629" t="s">
        <v>27</v>
      </c>
      <c r="Q629" t="s">
        <v>27</v>
      </c>
      <c r="R629">
        <v>4.8200001716613796</v>
      </c>
      <c r="S629">
        <v>47.875</v>
      </c>
      <c r="T629">
        <v>10.017321586608899</v>
      </c>
      <c r="U629">
        <v>59.1300659179688</v>
      </c>
      <c r="V629">
        <v>-68788000</v>
      </c>
      <c r="W629">
        <v>-14.4623422622681</v>
      </c>
      <c r="X629">
        <v>-2.5</v>
      </c>
      <c r="Y629">
        <v>-6.0979998670518398E-3</v>
      </c>
      <c r="Z629">
        <v>-42.758621215820298</v>
      </c>
      <c r="AA629">
        <v>152572992</v>
      </c>
      <c r="AB629" t="s">
        <v>27</v>
      </c>
      <c r="AC629" t="s">
        <v>27</v>
      </c>
      <c r="AD629">
        <v>-21.709999084472699</v>
      </c>
      <c r="AE629">
        <v>-88.743545532226605</v>
      </c>
      <c r="AF629" t="s">
        <v>27</v>
      </c>
      <c r="AG629">
        <v>158235008</v>
      </c>
      <c r="AH629">
        <v>50.184577941894503</v>
      </c>
      <c r="AI629">
        <v>-41.417129516601598</v>
      </c>
    </row>
    <row r="630" spans="1:35">
      <c r="A630">
        <f t="shared" si="80"/>
        <v>1</v>
      </c>
      <c r="B630">
        <f t="shared" si="81"/>
        <v>1</v>
      </c>
      <c r="C630">
        <f t="shared" si="82"/>
        <v>0</v>
      </c>
      <c r="D630">
        <f t="shared" si="83"/>
        <v>1</v>
      </c>
      <c r="E630">
        <f t="shared" si="84"/>
        <v>0</v>
      </c>
      <c r="F630">
        <f t="shared" si="85"/>
        <v>1</v>
      </c>
      <c r="G630">
        <f t="shared" si="86"/>
        <v>0</v>
      </c>
      <c r="H630">
        <v>0</v>
      </c>
      <c r="I630">
        <f t="shared" si="87"/>
        <v>1</v>
      </c>
      <c r="J630">
        <v>0</v>
      </c>
      <c r="K630" t="s">
        <v>2921</v>
      </c>
      <c r="L630" t="s">
        <v>2922</v>
      </c>
      <c r="M630" t="s">
        <v>27</v>
      </c>
      <c r="N630" t="s">
        <v>27</v>
      </c>
      <c r="O630">
        <v>28.2</v>
      </c>
      <c r="P630" t="s">
        <v>27</v>
      </c>
      <c r="Q630" t="s">
        <v>27</v>
      </c>
      <c r="R630">
        <v>25.200000762939499</v>
      </c>
      <c r="S630">
        <v>19</v>
      </c>
      <c r="T630">
        <v>89.774070739746094</v>
      </c>
      <c r="U630" t="s">
        <v>27</v>
      </c>
      <c r="V630">
        <v>-202704000</v>
      </c>
      <c r="W630">
        <v>-3.8573000580072403E-2</v>
      </c>
      <c r="X630">
        <v>0.55000001192092896</v>
      </c>
      <c r="Y630" t="s">
        <v>27</v>
      </c>
      <c r="Z630">
        <v>11.4593362808228</v>
      </c>
      <c r="AA630">
        <v>8789966</v>
      </c>
      <c r="AB630" t="s">
        <v>34</v>
      </c>
      <c r="AC630" t="s">
        <v>298</v>
      </c>
      <c r="AD630">
        <v>0.77999997138977095</v>
      </c>
      <c r="AE630" t="s">
        <v>27</v>
      </c>
      <c r="AF630" t="s">
        <v>27</v>
      </c>
      <c r="AG630">
        <v>11201605</v>
      </c>
      <c r="AH630">
        <v>86.8115234375</v>
      </c>
      <c r="AI630">
        <v>0.72011798620223999</v>
      </c>
    </row>
    <row r="631" spans="1:35">
      <c r="A631">
        <f t="shared" si="80"/>
        <v>1</v>
      </c>
      <c r="B631">
        <f t="shared" si="81"/>
        <v>1</v>
      </c>
      <c r="C631">
        <f t="shared" si="82"/>
        <v>0</v>
      </c>
      <c r="D631">
        <f t="shared" si="83"/>
        <v>0</v>
      </c>
      <c r="E631">
        <f t="shared" si="84"/>
        <v>0</v>
      </c>
      <c r="F631">
        <f t="shared" si="85"/>
        <v>0</v>
      </c>
      <c r="G631">
        <f t="shared" si="86"/>
        <v>0</v>
      </c>
      <c r="H631">
        <v>0</v>
      </c>
      <c r="I631">
        <f t="shared" si="87"/>
        <v>0</v>
      </c>
      <c r="J631">
        <v>0</v>
      </c>
      <c r="K631" t="s">
        <v>2925</v>
      </c>
      <c r="L631" t="s">
        <v>2926</v>
      </c>
      <c r="M631" t="s">
        <v>27</v>
      </c>
      <c r="N631" t="s">
        <v>27</v>
      </c>
      <c r="O631">
        <v>18.73</v>
      </c>
      <c r="P631" t="s">
        <v>27</v>
      </c>
      <c r="Q631" t="s">
        <v>27</v>
      </c>
      <c r="R631">
        <v>24.799999237060501</v>
      </c>
      <c r="S631">
        <v>32.75</v>
      </c>
      <c r="T631">
        <v>1.388228058815</v>
      </c>
      <c r="U631" t="s">
        <v>27</v>
      </c>
      <c r="V631">
        <v>-23658000</v>
      </c>
      <c r="W631">
        <v>-15.6984701156616</v>
      </c>
      <c r="X631">
        <v>-9.00000035762787E-2</v>
      </c>
      <c r="Y631">
        <v>-1.3486590385437001</v>
      </c>
      <c r="Z631">
        <v>-6.2050361633300799</v>
      </c>
      <c r="AA631">
        <v>36754000</v>
      </c>
      <c r="AB631" t="s">
        <v>73</v>
      </c>
      <c r="AC631" t="s">
        <v>141</v>
      </c>
      <c r="AD631">
        <v>-0.46000000834464999</v>
      </c>
      <c r="AE631">
        <v>76.751823425292997</v>
      </c>
      <c r="AF631" t="s">
        <v>27</v>
      </c>
      <c r="AG631">
        <v>43732000</v>
      </c>
      <c r="AH631">
        <v>0.68076300621032704</v>
      </c>
      <c r="AI631">
        <v>-13.4473304748535</v>
      </c>
    </row>
    <row r="632" spans="1:35">
      <c r="A632">
        <f t="shared" si="80"/>
        <v>1</v>
      </c>
      <c r="B632">
        <f t="shared" si="81"/>
        <v>0</v>
      </c>
      <c r="C632">
        <f t="shared" si="82"/>
        <v>1</v>
      </c>
      <c r="D632">
        <f t="shared" si="83"/>
        <v>1</v>
      </c>
      <c r="E632">
        <f t="shared" si="84"/>
        <v>0</v>
      </c>
      <c r="F632">
        <f t="shared" si="85"/>
        <v>1</v>
      </c>
      <c r="G632">
        <f t="shared" si="86"/>
        <v>0</v>
      </c>
      <c r="H632">
        <v>0</v>
      </c>
      <c r="I632">
        <f t="shared" si="87"/>
        <v>0</v>
      </c>
      <c r="J632">
        <v>0</v>
      </c>
      <c r="K632" t="s">
        <v>2927</v>
      </c>
      <c r="L632" t="s">
        <v>2928</v>
      </c>
      <c r="M632" t="s">
        <v>27</v>
      </c>
      <c r="N632" t="s">
        <v>27</v>
      </c>
      <c r="O632">
        <v>26.94</v>
      </c>
      <c r="P632" t="s">
        <v>27</v>
      </c>
      <c r="Q632" t="s">
        <v>27</v>
      </c>
      <c r="R632">
        <v>26.540000915527301</v>
      </c>
      <c r="S632">
        <v>14.0625</v>
      </c>
      <c r="T632">
        <v>37.335742950439503</v>
      </c>
      <c r="U632">
        <v>39.1203002929688</v>
      </c>
      <c r="V632">
        <v>10747002</v>
      </c>
      <c r="W632">
        <v>8.8173522949218803</v>
      </c>
      <c r="X632">
        <v>0.36000001430511502</v>
      </c>
      <c r="Y632" t="s">
        <v>27</v>
      </c>
      <c r="Z632" t="s">
        <v>27</v>
      </c>
      <c r="AA632">
        <v>40703000</v>
      </c>
      <c r="AB632" t="s">
        <v>30</v>
      </c>
      <c r="AC632" t="s">
        <v>945</v>
      </c>
      <c r="AD632">
        <v>0.37999999523162797</v>
      </c>
      <c r="AE632">
        <v>39.033790588378899</v>
      </c>
      <c r="AF632" t="s">
        <v>27</v>
      </c>
      <c r="AG632">
        <v>41727000</v>
      </c>
      <c r="AH632">
        <v>35.513404846191399</v>
      </c>
      <c r="AI632">
        <v>4.0193328857421902</v>
      </c>
    </row>
    <row r="633" spans="1:35">
      <c r="A633">
        <f t="shared" si="80"/>
        <v>0</v>
      </c>
      <c r="B633">
        <f t="shared" si="81"/>
        <v>1</v>
      </c>
      <c r="C633">
        <f t="shared" si="82"/>
        <v>1</v>
      </c>
      <c r="D633">
        <f t="shared" si="83"/>
        <v>0</v>
      </c>
      <c r="E633">
        <f t="shared" si="84"/>
        <v>0</v>
      </c>
      <c r="F633">
        <f t="shared" si="85"/>
        <v>1</v>
      </c>
      <c r="G633">
        <f t="shared" si="86"/>
        <v>0</v>
      </c>
      <c r="H633">
        <v>0</v>
      </c>
      <c r="I633">
        <f t="shared" si="87"/>
        <v>0</v>
      </c>
      <c r="J633">
        <v>0</v>
      </c>
      <c r="K633" t="s">
        <v>2929</v>
      </c>
      <c r="L633" t="s">
        <v>2930</v>
      </c>
      <c r="M633" t="s">
        <v>27</v>
      </c>
      <c r="N633" t="s">
        <v>27</v>
      </c>
      <c r="O633">
        <v>5.71</v>
      </c>
      <c r="P633" t="s">
        <v>27</v>
      </c>
      <c r="Q633" t="s">
        <v>27</v>
      </c>
      <c r="R633">
        <v>9.2899999618530291</v>
      </c>
      <c r="S633">
        <v>6.6875</v>
      </c>
      <c r="T633">
        <v>0</v>
      </c>
      <c r="U633">
        <v>73.359924316406307</v>
      </c>
      <c r="V633">
        <v>4424000</v>
      </c>
      <c r="W633">
        <v>-25.092567443847699</v>
      </c>
      <c r="X633">
        <v>0</v>
      </c>
      <c r="Y633" t="s">
        <v>27</v>
      </c>
      <c r="Z633">
        <v>3.8306450843811</v>
      </c>
      <c r="AA633">
        <v>36732000</v>
      </c>
      <c r="AB633" t="s">
        <v>27</v>
      </c>
      <c r="AC633" t="s">
        <v>27</v>
      </c>
      <c r="AD633">
        <v>-0.769999980926514</v>
      </c>
      <c r="AE633">
        <v>65.044700622558594</v>
      </c>
      <c r="AF633">
        <v>3.6960207961972702</v>
      </c>
      <c r="AG633">
        <v>37847000</v>
      </c>
      <c r="AH633">
        <v>0</v>
      </c>
      <c r="AI633">
        <v>0.149603992700577</v>
      </c>
    </row>
    <row r="634" spans="1:35">
      <c r="A634">
        <f t="shared" si="80"/>
        <v>0</v>
      </c>
      <c r="B634">
        <f t="shared" si="81"/>
        <v>0</v>
      </c>
      <c r="C634">
        <f t="shared" si="82"/>
        <v>1</v>
      </c>
      <c r="D634">
        <f t="shared" si="83"/>
        <v>0</v>
      </c>
      <c r="E634">
        <f t="shared" si="84"/>
        <v>1</v>
      </c>
      <c r="F634">
        <f t="shared" si="85"/>
        <v>1</v>
      </c>
      <c r="G634">
        <f t="shared" si="86"/>
        <v>0</v>
      </c>
      <c r="H634">
        <v>0</v>
      </c>
      <c r="I634">
        <f t="shared" si="87"/>
        <v>0</v>
      </c>
      <c r="J634">
        <v>0</v>
      </c>
      <c r="K634" t="s">
        <v>2933</v>
      </c>
      <c r="L634" t="s">
        <v>2934</v>
      </c>
      <c r="M634" t="s">
        <v>27</v>
      </c>
      <c r="N634" t="s">
        <v>27</v>
      </c>
      <c r="O634">
        <v>15.25</v>
      </c>
      <c r="P634" t="s">
        <v>27</v>
      </c>
      <c r="Q634" t="s">
        <v>27</v>
      </c>
      <c r="R634">
        <v>19.799999237060501</v>
      </c>
      <c r="S634">
        <v>17.5</v>
      </c>
      <c r="T634" t="s">
        <v>27</v>
      </c>
      <c r="U634" t="s">
        <v>27</v>
      </c>
      <c r="V634" t="s">
        <v>27</v>
      </c>
      <c r="W634" t="s">
        <v>27</v>
      </c>
      <c r="X634" t="s">
        <v>27</v>
      </c>
      <c r="Y634" t="s">
        <v>27</v>
      </c>
      <c r="Z634" t="s">
        <v>27</v>
      </c>
      <c r="AA634" t="s">
        <v>27</v>
      </c>
      <c r="AB634" t="s">
        <v>38</v>
      </c>
      <c r="AC634" t="s">
        <v>157</v>
      </c>
      <c r="AD634" t="s">
        <v>27</v>
      </c>
      <c r="AE634" t="s">
        <v>27</v>
      </c>
      <c r="AF634" t="s">
        <v>27</v>
      </c>
      <c r="AG634" t="s">
        <v>27</v>
      </c>
      <c r="AH634" t="s">
        <v>27</v>
      </c>
      <c r="AI634" t="s">
        <v>27</v>
      </c>
    </row>
    <row r="635" spans="1:35">
      <c r="A635">
        <f t="shared" si="80"/>
        <v>0</v>
      </c>
      <c r="B635">
        <f t="shared" si="81"/>
        <v>1</v>
      </c>
      <c r="C635">
        <f t="shared" si="82"/>
        <v>0</v>
      </c>
      <c r="D635">
        <f t="shared" si="83"/>
        <v>0</v>
      </c>
      <c r="E635">
        <f t="shared" si="84"/>
        <v>0</v>
      </c>
      <c r="F635">
        <f t="shared" si="85"/>
        <v>1</v>
      </c>
      <c r="G635">
        <f t="shared" si="86"/>
        <v>0</v>
      </c>
      <c r="H635">
        <v>0</v>
      </c>
      <c r="I635">
        <f t="shared" si="87"/>
        <v>0</v>
      </c>
      <c r="J635">
        <v>0</v>
      </c>
      <c r="K635" t="s">
        <v>2937</v>
      </c>
      <c r="L635" t="s">
        <v>2938</v>
      </c>
      <c r="M635" t="s">
        <v>27</v>
      </c>
      <c r="N635" t="s">
        <v>27</v>
      </c>
      <c r="O635">
        <v>4.5</v>
      </c>
      <c r="P635">
        <v>2.0275681018829301</v>
      </c>
      <c r="Q635" t="s">
        <v>27</v>
      </c>
      <c r="R635">
        <v>10.050000190734901</v>
      </c>
      <c r="S635">
        <v>13.75</v>
      </c>
      <c r="T635">
        <v>0</v>
      </c>
      <c r="U635">
        <v>28.611837387085</v>
      </c>
      <c r="V635">
        <v>-1630000.125</v>
      </c>
      <c r="W635">
        <v>-3.0169489383697501</v>
      </c>
      <c r="X635">
        <v>0.109999999403954</v>
      </c>
      <c r="Y635">
        <v>0.83333301544189498</v>
      </c>
      <c r="Z635">
        <v>-4.6739130020141602</v>
      </c>
      <c r="AA635">
        <v>44450000</v>
      </c>
      <c r="AB635" t="s">
        <v>27</v>
      </c>
      <c r="AC635" t="s">
        <v>27</v>
      </c>
      <c r="AD635">
        <v>-0.140000000596046</v>
      </c>
      <c r="AE635">
        <v>14.0284337997437</v>
      </c>
      <c r="AF635" t="s">
        <v>27</v>
      </c>
      <c r="AG635">
        <v>44999000</v>
      </c>
      <c r="AH635">
        <v>0</v>
      </c>
      <c r="AI635">
        <v>3.5427589416503902</v>
      </c>
    </row>
    <row r="636" spans="1:35">
      <c r="A636">
        <f t="shared" si="80"/>
        <v>1</v>
      </c>
      <c r="B636">
        <f t="shared" si="81"/>
        <v>0</v>
      </c>
      <c r="C636">
        <f t="shared" si="82"/>
        <v>1</v>
      </c>
      <c r="D636">
        <f t="shared" si="83"/>
        <v>1</v>
      </c>
      <c r="E636">
        <f t="shared" si="84"/>
        <v>0</v>
      </c>
      <c r="F636">
        <f t="shared" si="85"/>
        <v>0</v>
      </c>
      <c r="G636">
        <f t="shared" si="86"/>
        <v>0</v>
      </c>
      <c r="H636">
        <v>0</v>
      </c>
      <c r="I636">
        <f t="shared" si="87"/>
        <v>0</v>
      </c>
      <c r="J636">
        <v>0</v>
      </c>
      <c r="K636" t="s">
        <v>2947</v>
      </c>
      <c r="L636" t="s">
        <v>2948</v>
      </c>
      <c r="M636" t="s">
        <v>27</v>
      </c>
      <c r="N636" t="s">
        <v>27</v>
      </c>
      <c r="O636">
        <v>3.63</v>
      </c>
      <c r="P636" t="s">
        <v>27</v>
      </c>
      <c r="Q636" t="s">
        <v>27</v>
      </c>
      <c r="R636">
        <v>5.9800000190734899</v>
      </c>
      <c r="S636">
        <v>7.0999999046325701</v>
      </c>
      <c r="T636">
        <v>50.612873077392599</v>
      </c>
      <c r="U636" t="s">
        <v>27</v>
      </c>
      <c r="V636">
        <v>32961000</v>
      </c>
      <c r="W636">
        <v>-4.1124730110168501</v>
      </c>
      <c r="X636">
        <v>-1.29999995231628</v>
      </c>
      <c r="Y636">
        <v>-3.72016406059265</v>
      </c>
      <c r="Z636">
        <v>-49.333332061767599</v>
      </c>
      <c r="AA636">
        <v>24460000</v>
      </c>
      <c r="AB636" t="s">
        <v>27</v>
      </c>
      <c r="AC636" t="s">
        <v>27</v>
      </c>
      <c r="AD636">
        <v>-1.0299999713897701</v>
      </c>
      <c r="AE636" t="s">
        <v>27</v>
      </c>
      <c r="AF636">
        <v>2.1376120425791201</v>
      </c>
      <c r="AG636">
        <v>24510000</v>
      </c>
      <c r="AH636">
        <v>48.873008728027301</v>
      </c>
      <c r="AI636">
        <v>-9.1252126693725604</v>
      </c>
    </row>
    <row r="637" spans="1:35">
      <c r="A637">
        <f t="shared" si="80"/>
        <v>1</v>
      </c>
      <c r="B637">
        <f t="shared" si="81"/>
        <v>0</v>
      </c>
      <c r="C637">
        <f t="shared" si="82"/>
        <v>0</v>
      </c>
      <c r="D637">
        <f t="shared" si="83"/>
        <v>0</v>
      </c>
      <c r="E637">
        <f t="shared" si="84"/>
        <v>0</v>
      </c>
      <c r="F637">
        <f t="shared" si="85"/>
        <v>0</v>
      </c>
      <c r="G637">
        <f t="shared" si="86"/>
        <v>0</v>
      </c>
      <c r="H637">
        <v>0</v>
      </c>
      <c r="I637">
        <f t="shared" si="87"/>
        <v>0</v>
      </c>
      <c r="J637">
        <v>0</v>
      </c>
      <c r="K637" t="s">
        <v>2949</v>
      </c>
      <c r="L637" t="s">
        <v>2950</v>
      </c>
      <c r="M637" t="s">
        <v>27</v>
      </c>
      <c r="N637" t="s">
        <v>27</v>
      </c>
      <c r="O637">
        <v>2.58</v>
      </c>
      <c r="P637" t="s">
        <v>27</v>
      </c>
      <c r="Q637" t="s">
        <v>27</v>
      </c>
      <c r="R637">
        <v>4</v>
      </c>
      <c r="S637">
        <v>11.930000305175801</v>
      </c>
      <c r="T637">
        <v>61.1390571594238</v>
      </c>
      <c r="U637">
        <v>75.052223205566406</v>
      </c>
      <c r="V637">
        <v>-20798000</v>
      </c>
      <c r="W637">
        <v>-4.1737599372863796</v>
      </c>
      <c r="X637">
        <v>-0.34000000357627902</v>
      </c>
      <c r="Y637">
        <v>-7.2061071395873997</v>
      </c>
      <c r="Z637">
        <v>-78.297874450683594</v>
      </c>
      <c r="AA637">
        <v>166890000</v>
      </c>
      <c r="AB637" t="s">
        <v>27</v>
      </c>
      <c r="AC637" t="s">
        <v>27</v>
      </c>
      <c r="AD637">
        <v>-1.28999996185303</v>
      </c>
      <c r="AE637">
        <v>72.09716796875</v>
      </c>
      <c r="AF637" t="s">
        <v>27</v>
      </c>
      <c r="AG637">
        <v>244526992</v>
      </c>
      <c r="AH637">
        <v>58.710506439208999</v>
      </c>
      <c r="AI637">
        <v>-12.8643913269043</v>
      </c>
    </row>
    <row r="638" spans="1:35">
      <c r="A638">
        <f t="shared" si="80"/>
        <v>1</v>
      </c>
      <c r="B638">
        <f t="shared" si="81"/>
        <v>1</v>
      </c>
      <c r="C638">
        <f t="shared" si="82"/>
        <v>0</v>
      </c>
      <c r="D638">
        <f t="shared" si="83"/>
        <v>0</v>
      </c>
      <c r="E638">
        <f t="shared" si="84"/>
        <v>0</v>
      </c>
      <c r="F638">
        <f t="shared" si="85"/>
        <v>1</v>
      </c>
      <c r="G638">
        <f t="shared" si="86"/>
        <v>0</v>
      </c>
      <c r="H638">
        <v>0</v>
      </c>
      <c r="I638">
        <f t="shared" si="87"/>
        <v>1</v>
      </c>
      <c r="J638">
        <v>0</v>
      </c>
      <c r="K638" t="s">
        <v>2953</v>
      </c>
      <c r="L638" t="s">
        <v>2954</v>
      </c>
      <c r="M638" t="s">
        <v>27</v>
      </c>
      <c r="N638" t="s">
        <v>27</v>
      </c>
      <c r="O638">
        <v>3.08</v>
      </c>
      <c r="P638">
        <v>8.6226472854614293</v>
      </c>
      <c r="Q638" t="s">
        <v>27</v>
      </c>
      <c r="R638">
        <v>2.0799999237060498</v>
      </c>
      <c r="S638">
        <v>3.8125</v>
      </c>
      <c r="T638">
        <v>4.3507590293884304</v>
      </c>
      <c r="U638">
        <v>71.199600219726605</v>
      </c>
      <c r="V638">
        <v>-3957000</v>
      </c>
      <c r="W638">
        <v>5.5176091194152797</v>
      </c>
      <c r="X638">
        <v>5.9999998658895499E-2</v>
      </c>
      <c r="Y638">
        <v>5.1666669845581099</v>
      </c>
      <c r="Z638">
        <v>6.4516129493713397</v>
      </c>
      <c r="AA638">
        <v>17422000</v>
      </c>
      <c r="AB638" t="s">
        <v>27</v>
      </c>
      <c r="AC638" t="s">
        <v>27</v>
      </c>
      <c r="AD638">
        <v>-2.9999999329447701E-2</v>
      </c>
      <c r="AE638">
        <v>34.269901275634801</v>
      </c>
      <c r="AF638">
        <v>18.053121637010001</v>
      </c>
      <c r="AG638">
        <v>17397000</v>
      </c>
      <c r="AH638">
        <v>3.1296770572662398</v>
      </c>
      <c r="AI638">
        <v>28.922155380248999</v>
      </c>
    </row>
    <row r="639" spans="1:35">
      <c r="A639">
        <f t="shared" si="80"/>
        <v>0</v>
      </c>
      <c r="B639">
        <f t="shared" si="81"/>
        <v>0</v>
      </c>
      <c r="C639">
        <f t="shared" si="82"/>
        <v>1</v>
      </c>
      <c r="D639">
        <f t="shared" si="83"/>
        <v>0</v>
      </c>
      <c r="E639">
        <f t="shared" si="84"/>
        <v>0</v>
      </c>
      <c r="F639">
        <f t="shared" si="85"/>
        <v>0</v>
      </c>
      <c r="G639">
        <f t="shared" si="86"/>
        <v>0</v>
      </c>
      <c r="H639">
        <v>0</v>
      </c>
      <c r="I639">
        <f t="shared" si="87"/>
        <v>1</v>
      </c>
      <c r="J639">
        <v>0</v>
      </c>
      <c r="K639" t="s">
        <v>2959</v>
      </c>
      <c r="L639" t="s">
        <v>2960</v>
      </c>
      <c r="M639" t="s">
        <v>27</v>
      </c>
      <c r="N639" t="s">
        <v>27</v>
      </c>
      <c r="O639">
        <v>19.04</v>
      </c>
      <c r="P639">
        <v>8.5380001068115199</v>
      </c>
      <c r="Q639" t="s">
        <v>27</v>
      </c>
      <c r="R639">
        <v>13.7399997711182</v>
      </c>
      <c r="S639">
        <v>13.1875</v>
      </c>
      <c r="T639">
        <v>3.0737121105194101</v>
      </c>
      <c r="U639" t="s">
        <v>27</v>
      </c>
      <c r="V639">
        <v>12822000</v>
      </c>
      <c r="W639">
        <v>0.42168000340461698</v>
      </c>
      <c r="X639">
        <v>0.140000000596046</v>
      </c>
      <c r="Y639">
        <v>6.1298699378967303</v>
      </c>
      <c r="Z639">
        <v>-6.5998821258544904</v>
      </c>
      <c r="AA639">
        <v>10556000</v>
      </c>
      <c r="AB639" t="s">
        <v>27</v>
      </c>
      <c r="AC639" t="s">
        <v>27</v>
      </c>
      <c r="AD639">
        <v>-0.270000010728836</v>
      </c>
      <c r="AE639" t="s">
        <v>27</v>
      </c>
      <c r="AF639" t="s">
        <v>27</v>
      </c>
      <c r="AG639">
        <v>11332000</v>
      </c>
      <c r="AH639">
        <v>3.9882609844207799</v>
      </c>
      <c r="AI639">
        <v>-0.18367600440979001</v>
      </c>
    </row>
    <row r="640" spans="1:35">
      <c r="A640">
        <f t="shared" si="80"/>
        <v>0</v>
      </c>
      <c r="B640">
        <f t="shared" si="81"/>
        <v>1</v>
      </c>
      <c r="C640">
        <f t="shared" si="82"/>
        <v>0</v>
      </c>
      <c r="D640">
        <f t="shared" si="83"/>
        <v>1</v>
      </c>
      <c r="E640">
        <f t="shared" si="84"/>
        <v>0</v>
      </c>
      <c r="F640">
        <f t="shared" si="85"/>
        <v>0</v>
      </c>
      <c r="G640">
        <f t="shared" si="86"/>
        <v>0</v>
      </c>
      <c r="H640">
        <v>0</v>
      </c>
      <c r="I640">
        <f t="shared" si="87"/>
        <v>0</v>
      </c>
      <c r="J640">
        <v>0</v>
      </c>
      <c r="K640" t="s">
        <v>2963</v>
      </c>
      <c r="L640" t="s">
        <v>2964</v>
      </c>
      <c r="M640" t="s">
        <v>27</v>
      </c>
      <c r="N640" t="s">
        <v>27</v>
      </c>
      <c r="O640">
        <v>7.34</v>
      </c>
      <c r="P640" t="s">
        <v>27</v>
      </c>
      <c r="Q640" t="s">
        <v>27</v>
      </c>
      <c r="R640">
        <v>18.310375213623001</v>
      </c>
      <c r="S640">
        <v>20.6875</v>
      </c>
      <c r="T640">
        <v>0</v>
      </c>
      <c r="U640" t="s">
        <v>27</v>
      </c>
      <c r="V640">
        <v>-403000</v>
      </c>
      <c r="W640">
        <v>-33.468780517578097</v>
      </c>
      <c r="X640">
        <v>-0.129999995231628</v>
      </c>
      <c r="Y640" t="s">
        <v>27</v>
      </c>
      <c r="Z640" t="s">
        <v>27</v>
      </c>
      <c r="AA640">
        <v>11524000</v>
      </c>
      <c r="AB640" t="s">
        <v>38</v>
      </c>
      <c r="AC640" t="s">
        <v>146</v>
      </c>
      <c r="AD640">
        <v>-0.10000000149011599</v>
      </c>
      <c r="AE640" t="s">
        <v>27</v>
      </c>
      <c r="AF640" t="s">
        <v>27</v>
      </c>
      <c r="AG640">
        <v>12104000</v>
      </c>
      <c r="AH640">
        <v>0</v>
      </c>
      <c r="AI640">
        <v>-33.453670501708999</v>
      </c>
    </row>
    <row r="641" spans="1:35">
      <c r="A641">
        <f t="shared" si="80"/>
        <v>1</v>
      </c>
      <c r="B641">
        <f t="shared" si="81"/>
        <v>0</v>
      </c>
      <c r="C641">
        <f t="shared" si="82"/>
        <v>0</v>
      </c>
      <c r="D641">
        <f t="shared" si="83"/>
        <v>0</v>
      </c>
      <c r="E641">
        <f t="shared" si="84"/>
        <v>0</v>
      </c>
      <c r="F641">
        <f t="shared" si="85"/>
        <v>0</v>
      </c>
      <c r="G641">
        <f t="shared" si="86"/>
        <v>0</v>
      </c>
      <c r="H641">
        <v>0</v>
      </c>
      <c r="I641">
        <f t="shared" si="87"/>
        <v>0</v>
      </c>
      <c r="J641">
        <v>0</v>
      </c>
      <c r="K641" t="s">
        <v>2973</v>
      </c>
      <c r="L641" t="s">
        <v>2974</v>
      </c>
      <c r="M641" t="s">
        <v>27</v>
      </c>
      <c r="N641" t="s">
        <v>27</v>
      </c>
      <c r="O641">
        <v>2.2999999999999998</v>
      </c>
      <c r="P641" t="s">
        <v>27</v>
      </c>
      <c r="Q641" t="s">
        <v>27</v>
      </c>
      <c r="R641">
        <v>10.170000076293899</v>
      </c>
      <c r="S641">
        <v>1.9375</v>
      </c>
      <c r="T641">
        <v>24.8999118804932</v>
      </c>
      <c r="U641">
        <v>25.127082824706999</v>
      </c>
      <c r="V641">
        <v>-18423000</v>
      </c>
      <c r="W641">
        <v>-1.5752929449081401</v>
      </c>
      <c r="X641">
        <v>-0.30000001192092901</v>
      </c>
      <c r="Y641">
        <v>-18.196079254150401</v>
      </c>
      <c r="Z641">
        <v>-16.0526313781738</v>
      </c>
      <c r="AA641">
        <v>17089000</v>
      </c>
      <c r="AB641" t="s">
        <v>27</v>
      </c>
      <c r="AC641" t="s">
        <v>27</v>
      </c>
      <c r="AD641">
        <v>-0.36000001430511502</v>
      </c>
      <c r="AE641">
        <v>18.372533798217798</v>
      </c>
      <c r="AF641" t="s">
        <v>27</v>
      </c>
      <c r="AG641">
        <v>23868000</v>
      </c>
      <c r="AH641">
        <v>15.573422431945801</v>
      </c>
      <c r="AI641">
        <v>-2.0018169879913299</v>
      </c>
    </row>
    <row r="642" spans="1:35">
      <c r="A642">
        <f t="shared" si="80"/>
        <v>1</v>
      </c>
      <c r="B642">
        <f t="shared" si="81"/>
        <v>0</v>
      </c>
      <c r="C642">
        <f t="shared" si="82"/>
        <v>0</v>
      </c>
      <c r="D642">
        <f t="shared" si="83"/>
        <v>1</v>
      </c>
      <c r="E642">
        <f t="shared" si="84"/>
        <v>0</v>
      </c>
      <c r="F642">
        <f t="shared" si="85"/>
        <v>0</v>
      </c>
      <c r="G642">
        <f t="shared" si="86"/>
        <v>1</v>
      </c>
      <c r="H642">
        <v>0</v>
      </c>
      <c r="I642">
        <f t="shared" si="87"/>
        <v>0</v>
      </c>
      <c r="J642">
        <v>0</v>
      </c>
      <c r="K642" t="s">
        <v>2975</v>
      </c>
      <c r="L642" t="s">
        <v>2976</v>
      </c>
      <c r="M642" t="s">
        <v>27</v>
      </c>
      <c r="N642" t="s">
        <v>27</v>
      </c>
      <c r="O642">
        <v>3.24</v>
      </c>
      <c r="P642" t="s">
        <v>27</v>
      </c>
      <c r="Q642" t="s">
        <v>27</v>
      </c>
      <c r="R642">
        <v>24.149999618530298</v>
      </c>
      <c r="S642">
        <v>33.4375</v>
      </c>
      <c r="T642">
        <v>0.282546997070313</v>
      </c>
      <c r="U642">
        <v>48.611637115478501</v>
      </c>
      <c r="V642">
        <v>-606999.375</v>
      </c>
      <c r="W642">
        <v>-5.2248969078064</v>
      </c>
      <c r="X642">
        <v>-0.20000000298023199</v>
      </c>
      <c r="Y642">
        <v>-1.2075469493866</v>
      </c>
      <c r="Z642">
        <v>-0.475436002016068</v>
      </c>
      <c r="AA642">
        <v>47656000</v>
      </c>
      <c r="AB642" t="s">
        <v>27</v>
      </c>
      <c r="AC642" t="s">
        <v>27</v>
      </c>
      <c r="AD642">
        <v>-0.140000000596046</v>
      </c>
      <c r="AE642">
        <v>56.2298774719238</v>
      </c>
      <c r="AF642">
        <v>6.86884039151332</v>
      </c>
      <c r="AG642">
        <v>50740000</v>
      </c>
      <c r="AH642">
        <v>9.0721003711223602E-2</v>
      </c>
      <c r="AI642">
        <v>-24.558118820190401</v>
      </c>
    </row>
    <row r="643" spans="1:35">
      <c r="A643">
        <f t="shared" si="80"/>
        <v>0</v>
      </c>
      <c r="B643">
        <f t="shared" si="81"/>
        <v>1</v>
      </c>
      <c r="C643">
        <f t="shared" si="82"/>
        <v>0</v>
      </c>
      <c r="D643">
        <f t="shared" si="83"/>
        <v>1</v>
      </c>
      <c r="E643">
        <f t="shared" si="84"/>
        <v>0</v>
      </c>
      <c r="F643">
        <f t="shared" si="85"/>
        <v>0</v>
      </c>
      <c r="G643">
        <f t="shared" si="86"/>
        <v>0</v>
      </c>
      <c r="H643">
        <v>0</v>
      </c>
      <c r="I643">
        <f t="shared" si="87"/>
        <v>0</v>
      </c>
      <c r="J643">
        <v>0</v>
      </c>
      <c r="K643" t="s">
        <v>2977</v>
      </c>
      <c r="L643" t="s">
        <v>2978</v>
      </c>
      <c r="M643" t="s">
        <v>27</v>
      </c>
      <c r="N643" t="s">
        <v>27</v>
      </c>
      <c r="O643">
        <v>2.82</v>
      </c>
      <c r="P643" t="s">
        <v>27</v>
      </c>
      <c r="Q643" t="s">
        <v>27</v>
      </c>
      <c r="R643">
        <v>5.2399997711181596</v>
      </c>
      <c r="S643">
        <v>5.8000001907348597</v>
      </c>
      <c r="T643">
        <v>141.992919921875</v>
      </c>
      <c r="U643">
        <v>64.563796997070298</v>
      </c>
      <c r="V643">
        <v>-29700000</v>
      </c>
      <c r="W643">
        <v>-21.928400039672901</v>
      </c>
      <c r="X643">
        <v>-0.5</v>
      </c>
      <c r="Y643">
        <v>-53.084110260009801</v>
      </c>
      <c r="Z643">
        <v>-31.428571701049801</v>
      </c>
      <c r="AA643">
        <v>51366000</v>
      </c>
      <c r="AB643" t="s">
        <v>194</v>
      </c>
      <c r="AC643" t="s">
        <v>1176</v>
      </c>
      <c r="AD643">
        <v>-0.43999999761581399</v>
      </c>
      <c r="AE643">
        <v>59.462837219238303</v>
      </c>
      <c r="AF643">
        <v>10.9250597679814</v>
      </c>
      <c r="AG643">
        <v>51766000</v>
      </c>
      <c r="AH643">
        <v>163.366134643555</v>
      </c>
      <c r="AI643">
        <v>-9.7526130676269496</v>
      </c>
    </row>
    <row r="644" spans="1:35">
      <c r="A644">
        <f t="shared" si="80"/>
        <v>0</v>
      </c>
      <c r="B644">
        <f t="shared" si="81"/>
        <v>1</v>
      </c>
      <c r="C644">
        <f t="shared" si="82"/>
        <v>1</v>
      </c>
      <c r="D644">
        <f t="shared" si="83"/>
        <v>1</v>
      </c>
      <c r="E644">
        <f t="shared" si="84"/>
        <v>0</v>
      </c>
      <c r="F644">
        <f t="shared" si="85"/>
        <v>0</v>
      </c>
      <c r="G644">
        <f t="shared" si="86"/>
        <v>0</v>
      </c>
      <c r="H644">
        <v>0</v>
      </c>
      <c r="I644">
        <f t="shared" si="87"/>
        <v>1</v>
      </c>
      <c r="J644">
        <v>0</v>
      </c>
      <c r="K644" t="s">
        <v>2979</v>
      </c>
      <c r="L644" t="s">
        <v>2980</v>
      </c>
      <c r="M644" t="s">
        <v>27</v>
      </c>
      <c r="N644" t="s">
        <v>27</v>
      </c>
      <c r="O644">
        <v>10.029999999999999</v>
      </c>
      <c r="P644" t="s">
        <v>27</v>
      </c>
      <c r="Q644" t="s">
        <v>27</v>
      </c>
      <c r="R644">
        <v>5.5</v>
      </c>
      <c r="S644">
        <v>2.7999999523162802</v>
      </c>
      <c r="T644">
        <v>48.727169036865199</v>
      </c>
      <c r="U644">
        <v>45.8820190429688</v>
      </c>
      <c r="V644">
        <v>2182000</v>
      </c>
      <c r="W644">
        <v>-10.7121334075928</v>
      </c>
      <c r="X644">
        <v>-0.31000000238418601</v>
      </c>
      <c r="Y644">
        <v>-4.4705882072448704</v>
      </c>
      <c r="Z644">
        <v>-3.1428570747375502</v>
      </c>
      <c r="AA644">
        <v>14537000</v>
      </c>
      <c r="AB644" t="s">
        <v>27</v>
      </c>
      <c r="AC644" t="s">
        <v>27</v>
      </c>
      <c r="AD644">
        <v>2.9999999329447701E-2</v>
      </c>
      <c r="AE644">
        <v>34.307895660400398</v>
      </c>
      <c r="AF644" t="s">
        <v>27</v>
      </c>
      <c r="AG644">
        <v>15783000</v>
      </c>
      <c r="AH644">
        <v>48.868110656738303</v>
      </c>
      <c r="AI644">
        <v>-6.4469871520996103</v>
      </c>
    </row>
    <row r="645" spans="1:35">
      <c r="A645">
        <f t="shared" si="80"/>
        <v>0</v>
      </c>
      <c r="B645">
        <f t="shared" si="81"/>
        <v>0</v>
      </c>
      <c r="C645">
        <f t="shared" si="82"/>
        <v>1</v>
      </c>
      <c r="D645">
        <f t="shared" si="83"/>
        <v>0</v>
      </c>
      <c r="E645">
        <f t="shared" si="84"/>
        <v>1</v>
      </c>
      <c r="F645">
        <f t="shared" si="85"/>
        <v>1</v>
      </c>
      <c r="G645">
        <f t="shared" si="86"/>
        <v>0</v>
      </c>
      <c r="H645">
        <v>0</v>
      </c>
      <c r="I645">
        <f t="shared" si="87"/>
        <v>0</v>
      </c>
      <c r="J645">
        <v>0</v>
      </c>
      <c r="K645" t="s">
        <v>2981</v>
      </c>
      <c r="L645" t="s">
        <v>2982</v>
      </c>
      <c r="M645" t="s">
        <v>27</v>
      </c>
      <c r="N645" t="s">
        <v>27</v>
      </c>
      <c r="O645">
        <v>10.14</v>
      </c>
      <c r="P645" t="s">
        <v>27</v>
      </c>
      <c r="Q645" t="s">
        <v>27</v>
      </c>
      <c r="R645">
        <v>19.633333841959601</v>
      </c>
      <c r="S645">
        <v>8.8622224595811598</v>
      </c>
      <c r="T645" t="s">
        <v>27</v>
      </c>
      <c r="U645" t="s">
        <v>27</v>
      </c>
      <c r="V645" t="s">
        <v>27</v>
      </c>
      <c r="W645" t="s">
        <v>27</v>
      </c>
      <c r="X645" t="s">
        <v>27</v>
      </c>
      <c r="Y645" t="s">
        <v>27</v>
      </c>
      <c r="Z645" t="s">
        <v>27</v>
      </c>
      <c r="AA645" t="s">
        <v>27</v>
      </c>
      <c r="AB645" t="s">
        <v>328</v>
      </c>
      <c r="AC645" t="s">
        <v>329</v>
      </c>
      <c r="AD645" t="s">
        <v>27</v>
      </c>
      <c r="AE645" t="s">
        <v>27</v>
      </c>
      <c r="AF645">
        <v>8.1209473602844593</v>
      </c>
      <c r="AG645" t="s">
        <v>27</v>
      </c>
      <c r="AH645" t="s">
        <v>27</v>
      </c>
      <c r="AI645">
        <v>6.0937910079956099</v>
      </c>
    </row>
    <row r="646" spans="1:35">
      <c r="A646">
        <f t="shared" si="80"/>
        <v>0</v>
      </c>
      <c r="B646">
        <f t="shared" si="81"/>
        <v>0</v>
      </c>
      <c r="C646">
        <f t="shared" si="82"/>
        <v>1</v>
      </c>
      <c r="D646">
        <f t="shared" si="83"/>
        <v>0</v>
      </c>
      <c r="E646">
        <f t="shared" si="84"/>
        <v>0</v>
      </c>
      <c r="F646">
        <f t="shared" si="85"/>
        <v>0</v>
      </c>
      <c r="G646">
        <f t="shared" si="86"/>
        <v>0</v>
      </c>
      <c r="H646">
        <v>0</v>
      </c>
      <c r="I646">
        <f t="shared" si="87"/>
        <v>1</v>
      </c>
      <c r="J646">
        <v>0</v>
      </c>
      <c r="K646" t="s">
        <v>2983</v>
      </c>
      <c r="L646" t="s">
        <v>2984</v>
      </c>
      <c r="M646" t="s">
        <v>27</v>
      </c>
      <c r="N646" t="s">
        <v>27</v>
      </c>
      <c r="O646">
        <v>3.24</v>
      </c>
      <c r="P646">
        <v>2.4596409797668501</v>
      </c>
      <c r="Q646" t="s">
        <v>27</v>
      </c>
      <c r="R646">
        <v>2.25</v>
      </c>
      <c r="S646">
        <v>7.9899997711181596</v>
      </c>
      <c r="T646">
        <v>42.335472106933601</v>
      </c>
      <c r="U646">
        <v>29.557252883911101</v>
      </c>
      <c r="V646">
        <v>38500000</v>
      </c>
      <c r="W646">
        <v>1.30434799194336</v>
      </c>
      <c r="X646">
        <v>-0.72000002861022905</v>
      </c>
      <c r="Y646">
        <v>9.9622640609741193</v>
      </c>
      <c r="Z646">
        <v>-1.73913097381592</v>
      </c>
      <c r="AA646">
        <v>77060000</v>
      </c>
      <c r="AB646" t="s">
        <v>27</v>
      </c>
      <c r="AC646" t="s">
        <v>27</v>
      </c>
      <c r="AD646">
        <v>-3.78999996185303</v>
      </c>
      <c r="AE646">
        <v>28.678308486938501</v>
      </c>
      <c r="AF646">
        <v>7.5572831348907297</v>
      </c>
      <c r="AG646">
        <v>74287000</v>
      </c>
      <c r="AH646">
        <v>65.130599975585895</v>
      </c>
      <c r="AI646">
        <v>-23.9784240722656</v>
      </c>
    </row>
    <row r="647" spans="1:35">
      <c r="A647">
        <f t="shared" si="80"/>
        <v>0</v>
      </c>
      <c r="B647">
        <f t="shared" si="81"/>
        <v>0</v>
      </c>
      <c r="C647">
        <f t="shared" si="82"/>
        <v>1</v>
      </c>
      <c r="D647">
        <f t="shared" si="83"/>
        <v>0</v>
      </c>
      <c r="E647">
        <f t="shared" si="84"/>
        <v>0</v>
      </c>
      <c r="F647">
        <f t="shared" si="85"/>
        <v>1</v>
      </c>
      <c r="G647">
        <f t="shared" si="86"/>
        <v>0</v>
      </c>
      <c r="H647">
        <v>0</v>
      </c>
      <c r="I647">
        <f t="shared" si="87"/>
        <v>0</v>
      </c>
      <c r="J647">
        <v>0</v>
      </c>
      <c r="K647" t="s">
        <v>2985</v>
      </c>
      <c r="L647" t="s">
        <v>2986</v>
      </c>
      <c r="M647" t="s">
        <v>27</v>
      </c>
      <c r="N647" t="s">
        <v>27</v>
      </c>
      <c r="O647">
        <v>10.47</v>
      </c>
      <c r="P647">
        <v>5.4404129981994602</v>
      </c>
      <c r="Q647" t="s">
        <v>27</v>
      </c>
      <c r="R647">
        <v>13.050000190734901</v>
      </c>
      <c r="S647">
        <v>14.7600002288818</v>
      </c>
      <c r="T647">
        <v>43.577709197997997</v>
      </c>
      <c r="U647" t="s">
        <v>27</v>
      </c>
      <c r="V647">
        <v>6603999.5</v>
      </c>
      <c r="W647">
        <v>5.1034359931945801</v>
      </c>
      <c r="X647">
        <v>0.75999999046325695</v>
      </c>
      <c r="Y647">
        <v>3.80198001861572</v>
      </c>
      <c r="Z647">
        <v>30.2415466308594</v>
      </c>
      <c r="AA647">
        <v>24511000</v>
      </c>
      <c r="AB647" t="s">
        <v>27</v>
      </c>
      <c r="AC647" t="s">
        <v>27</v>
      </c>
      <c r="AD647">
        <v>0.230000004172325</v>
      </c>
      <c r="AE647" t="s">
        <v>27</v>
      </c>
      <c r="AF647">
        <v>4.5338105686489003</v>
      </c>
      <c r="AG647">
        <v>25235000</v>
      </c>
      <c r="AH647">
        <v>44.806251525878899</v>
      </c>
      <c r="AI647">
        <v>4.5255818367004403</v>
      </c>
    </row>
    <row r="648" spans="1:35">
      <c r="A648">
        <f t="shared" si="80"/>
        <v>0</v>
      </c>
      <c r="B648">
        <f t="shared" si="81"/>
        <v>1</v>
      </c>
      <c r="C648">
        <f t="shared" si="82"/>
        <v>1</v>
      </c>
      <c r="D648">
        <f t="shared" si="83"/>
        <v>0</v>
      </c>
      <c r="E648">
        <f t="shared" si="84"/>
        <v>0</v>
      </c>
      <c r="F648">
        <f t="shared" si="85"/>
        <v>1</v>
      </c>
      <c r="G648">
        <f t="shared" si="86"/>
        <v>0</v>
      </c>
      <c r="H648">
        <v>0</v>
      </c>
      <c r="I648">
        <f t="shared" si="87"/>
        <v>0</v>
      </c>
      <c r="J648">
        <v>0</v>
      </c>
      <c r="K648" t="s">
        <v>2989</v>
      </c>
      <c r="L648" t="s">
        <v>2990</v>
      </c>
      <c r="M648" t="s">
        <v>27</v>
      </c>
      <c r="N648" t="s">
        <v>27</v>
      </c>
      <c r="O648">
        <v>7.83</v>
      </c>
      <c r="P648">
        <v>8.6861114501953107</v>
      </c>
      <c r="Q648" t="s">
        <v>27</v>
      </c>
      <c r="R648">
        <v>12</v>
      </c>
      <c r="S648">
        <v>14.5</v>
      </c>
      <c r="T648">
        <v>45.394737243652301</v>
      </c>
      <c r="U648">
        <v>26.2504558563232</v>
      </c>
      <c r="V648">
        <v>5241000</v>
      </c>
      <c r="W648">
        <v>-10.301761627197299</v>
      </c>
      <c r="X648">
        <v>0.36000001430511502</v>
      </c>
      <c r="Y648">
        <v>8.0406093597412092</v>
      </c>
      <c r="Z648" t="s">
        <v>27</v>
      </c>
      <c r="AA648">
        <v>13181000</v>
      </c>
      <c r="AB648" t="s">
        <v>38</v>
      </c>
      <c r="AC648" t="s">
        <v>146</v>
      </c>
      <c r="AD648">
        <v>0.28000000119209301</v>
      </c>
      <c r="AE648">
        <v>26.245395660400401</v>
      </c>
      <c r="AF648" t="s">
        <v>27</v>
      </c>
      <c r="AG648">
        <v>13470000</v>
      </c>
      <c r="AH648">
        <v>48.314849853515597</v>
      </c>
      <c r="AI648">
        <v>1.7040270566940301</v>
      </c>
    </row>
    <row r="649" spans="1:35">
      <c r="A649">
        <f t="shared" si="80"/>
        <v>1</v>
      </c>
      <c r="B649">
        <f t="shared" si="81"/>
        <v>1</v>
      </c>
      <c r="C649">
        <f t="shared" si="82"/>
        <v>0</v>
      </c>
      <c r="D649">
        <f t="shared" si="83"/>
        <v>0</v>
      </c>
      <c r="E649">
        <f t="shared" si="84"/>
        <v>0</v>
      </c>
      <c r="F649">
        <f t="shared" si="85"/>
        <v>0</v>
      </c>
      <c r="G649">
        <f t="shared" si="86"/>
        <v>0</v>
      </c>
      <c r="H649">
        <v>0</v>
      </c>
      <c r="I649">
        <f t="shared" si="87"/>
        <v>0</v>
      </c>
      <c r="J649">
        <v>0</v>
      </c>
      <c r="K649" t="s">
        <v>2991</v>
      </c>
      <c r="L649" t="s">
        <v>2992</v>
      </c>
      <c r="M649" t="s">
        <v>27</v>
      </c>
      <c r="N649" t="s">
        <v>27</v>
      </c>
      <c r="O649">
        <v>0.89</v>
      </c>
      <c r="P649" t="s">
        <v>27</v>
      </c>
      <c r="Q649" t="s">
        <v>27</v>
      </c>
      <c r="R649">
        <v>4.6399998664856001</v>
      </c>
      <c r="S649">
        <v>9.4375</v>
      </c>
      <c r="T649" t="s">
        <v>27</v>
      </c>
      <c r="U649" t="s">
        <v>27</v>
      </c>
      <c r="V649">
        <v>-3362000</v>
      </c>
      <c r="W649">
        <v>-86.781990051269503</v>
      </c>
      <c r="X649" t="s">
        <v>27</v>
      </c>
      <c r="Y649" t="s">
        <v>27</v>
      </c>
      <c r="Z649" t="s">
        <v>27</v>
      </c>
      <c r="AA649" t="s">
        <v>27</v>
      </c>
      <c r="AB649" t="s">
        <v>73</v>
      </c>
      <c r="AC649" t="s">
        <v>141</v>
      </c>
      <c r="AD649">
        <v>-0.17000000178813901</v>
      </c>
      <c r="AE649" t="s">
        <v>27</v>
      </c>
      <c r="AF649" t="s">
        <v>27</v>
      </c>
      <c r="AG649">
        <v>37557000</v>
      </c>
      <c r="AH649">
        <v>15.1130018234253</v>
      </c>
      <c r="AI649">
        <v>-62.285861968994098</v>
      </c>
    </row>
    <row r="650" spans="1:35">
      <c r="A650">
        <f t="shared" si="80"/>
        <v>1</v>
      </c>
      <c r="B650">
        <f t="shared" si="81"/>
        <v>1</v>
      </c>
      <c r="C650">
        <f t="shared" si="82"/>
        <v>0</v>
      </c>
      <c r="D650">
        <f t="shared" si="83"/>
        <v>1</v>
      </c>
      <c r="E650">
        <f t="shared" si="84"/>
        <v>0</v>
      </c>
      <c r="F650">
        <f t="shared" si="85"/>
        <v>0</v>
      </c>
      <c r="G650">
        <f t="shared" si="86"/>
        <v>1</v>
      </c>
      <c r="H650">
        <v>0</v>
      </c>
      <c r="I650">
        <f t="shared" si="87"/>
        <v>0</v>
      </c>
      <c r="J650">
        <v>0</v>
      </c>
      <c r="K650" t="s">
        <v>2997</v>
      </c>
      <c r="L650" t="s">
        <v>2998</v>
      </c>
      <c r="M650" t="s">
        <v>27</v>
      </c>
      <c r="N650" t="s">
        <v>27</v>
      </c>
      <c r="O650">
        <v>4.5819999999999999</v>
      </c>
      <c r="P650" t="s">
        <v>27</v>
      </c>
      <c r="Q650" t="s">
        <v>27</v>
      </c>
      <c r="R650">
        <v>5.8499999046325701</v>
      </c>
      <c r="S650">
        <v>5.5</v>
      </c>
      <c r="T650">
        <v>3.77494192123413</v>
      </c>
      <c r="U650">
        <v>40.191738128662102</v>
      </c>
      <c r="V650">
        <v>-4839000</v>
      </c>
      <c r="W650">
        <v>-60.775272369384801</v>
      </c>
      <c r="X650">
        <v>-0.31000000238418601</v>
      </c>
      <c r="Y650" t="s">
        <v>27</v>
      </c>
      <c r="Z650">
        <v>-28.070175170898398</v>
      </c>
      <c r="AA650">
        <v>13984000</v>
      </c>
      <c r="AB650" t="s">
        <v>27</v>
      </c>
      <c r="AC650" t="s">
        <v>27</v>
      </c>
      <c r="AD650">
        <v>-0.20999999344348899</v>
      </c>
      <c r="AE650">
        <v>60.291339874267599</v>
      </c>
      <c r="AF650" t="s">
        <v>27</v>
      </c>
      <c r="AG650">
        <v>14533000</v>
      </c>
      <c r="AH650">
        <v>0.68949401378631603</v>
      </c>
      <c r="AI650">
        <v>-41.3295707702637</v>
      </c>
    </row>
    <row r="651" spans="1:35">
      <c r="A651">
        <f t="shared" si="80"/>
        <v>0</v>
      </c>
      <c r="B651">
        <f t="shared" si="81"/>
        <v>0</v>
      </c>
      <c r="C651">
        <f t="shared" si="82"/>
        <v>0</v>
      </c>
      <c r="D651">
        <f t="shared" si="83"/>
        <v>0</v>
      </c>
      <c r="E651">
        <f t="shared" si="84"/>
        <v>0</v>
      </c>
      <c r="F651">
        <f t="shared" si="85"/>
        <v>0</v>
      </c>
      <c r="G651">
        <f t="shared" si="86"/>
        <v>0</v>
      </c>
      <c r="H651">
        <v>0</v>
      </c>
      <c r="I651">
        <f t="shared" si="87"/>
        <v>0</v>
      </c>
      <c r="J651">
        <v>0</v>
      </c>
      <c r="K651" t="s">
        <v>3003</v>
      </c>
      <c r="L651" t="s">
        <v>3004</v>
      </c>
      <c r="M651" t="s">
        <v>27</v>
      </c>
      <c r="N651" t="s">
        <v>27</v>
      </c>
      <c r="O651">
        <v>9.7200000000000006</v>
      </c>
      <c r="P651">
        <v>12.772351264953601</v>
      </c>
      <c r="Q651" t="s">
        <v>27</v>
      </c>
      <c r="R651">
        <v>17.25</v>
      </c>
      <c r="S651">
        <v>5.3125</v>
      </c>
      <c r="T651">
        <v>0</v>
      </c>
      <c r="U651">
        <v>24.4550075531006</v>
      </c>
      <c r="V651">
        <v>-8437000</v>
      </c>
      <c r="W651">
        <v>7.54168605804443</v>
      </c>
      <c r="X651">
        <v>0.109999999403954</v>
      </c>
      <c r="Y651">
        <v>2.11673188209534</v>
      </c>
      <c r="Z651">
        <v>-15.9069766998291</v>
      </c>
      <c r="AA651">
        <v>8438000</v>
      </c>
      <c r="AB651" t="s">
        <v>27</v>
      </c>
      <c r="AC651" t="s">
        <v>27</v>
      </c>
      <c r="AD651">
        <v>9.00000035762787E-2</v>
      </c>
      <c r="AE651">
        <v>21.2857551574707</v>
      </c>
      <c r="AF651">
        <v>31.489393725600902</v>
      </c>
      <c r="AG651">
        <v>13193000</v>
      </c>
      <c r="AH651">
        <v>37.260288238525398</v>
      </c>
      <c r="AI651">
        <v>-24.648378372192401</v>
      </c>
    </row>
    <row r="652" spans="1:35">
      <c r="A652">
        <f t="shared" si="80"/>
        <v>1</v>
      </c>
      <c r="B652">
        <f t="shared" si="81"/>
        <v>1</v>
      </c>
      <c r="C652">
        <f t="shared" si="82"/>
        <v>0</v>
      </c>
      <c r="D652">
        <f t="shared" si="83"/>
        <v>0</v>
      </c>
      <c r="E652">
        <f t="shared" si="84"/>
        <v>0</v>
      </c>
      <c r="F652">
        <f t="shared" si="85"/>
        <v>0</v>
      </c>
      <c r="G652">
        <f t="shared" si="86"/>
        <v>0</v>
      </c>
      <c r="H652">
        <v>0</v>
      </c>
      <c r="I652">
        <f t="shared" si="87"/>
        <v>0</v>
      </c>
      <c r="J652">
        <v>0</v>
      </c>
      <c r="K652" t="s">
        <v>3005</v>
      </c>
      <c r="L652" t="s">
        <v>3006</v>
      </c>
      <c r="M652" t="s">
        <v>27</v>
      </c>
      <c r="N652" t="s">
        <v>27</v>
      </c>
      <c r="O652">
        <v>2.0699999999999998</v>
      </c>
      <c r="P652" t="s">
        <v>27</v>
      </c>
      <c r="Q652" t="s">
        <v>27</v>
      </c>
      <c r="R652">
        <v>17.069999694824201</v>
      </c>
      <c r="S652" t="s">
        <v>27</v>
      </c>
      <c r="T652" t="s">
        <v>27</v>
      </c>
      <c r="U652" t="s">
        <v>27</v>
      </c>
      <c r="V652">
        <v>-2252000</v>
      </c>
      <c r="W652">
        <v>-129.57058715820301</v>
      </c>
      <c r="X652" t="s">
        <v>27</v>
      </c>
      <c r="Y652" t="s">
        <v>27</v>
      </c>
      <c r="Z652" t="s">
        <v>27</v>
      </c>
      <c r="AA652" t="s">
        <v>27</v>
      </c>
      <c r="AB652" t="s">
        <v>27</v>
      </c>
      <c r="AC652" t="s">
        <v>27</v>
      </c>
      <c r="AD652">
        <v>1.9999999552965199E-2</v>
      </c>
      <c r="AE652">
        <v>57.003463745117202</v>
      </c>
      <c r="AF652" t="s">
        <v>27</v>
      </c>
      <c r="AG652">
        <v>121211000</v>
      </c>
      <c r="AH652">
        <v>27.867130279541001</v>
      </c>
      <c r="AI652">
        <v>-44.250247955322301</v>
      </c>
    </row>
    <row r="653" spans="1:35">
      <c r="A653">
        <f t="shared" si="80"/>
        <v>0</v>
      </c>
      <c r="B653">
        <f t="shared" si="81"/>
        <v>0</v>
      </c>
      <c r="C653">
        <f t="shared" si="82"/>
        <v>1</v>
      </c>
      <c r="D653">
        <f t="shared" si="83"/>
        <v>0</v>
      </c>
      <c r="E653">
        <f t="shared" si="84"/>
        <v>1</v>
      </c>
      <c r="F653">
        <f t="shared" si="85"/>
        <v>1</v>
      </c>
      <c r="G653">
        <f t="shared" si="86"/>
        <v>0</v>
      </c>
      <c r="H653">
        <v>0</v>
      </c>
      <c r="I653">
        <f t="shared" si="87"/>
        <v>0</v>
      </c>
      <c r="J653">
        <v>0</v>
      </c>
      <c r="K653" t="s">
        <v>3021</v>
      </c>
      <c r="L653" t="s">
        <v>3022</v>
      </c>
      <c r="M653" t="s">
        <v>27</v>
      </c>
      <c r="N653" t="s">
        <v>27</v>
      </c>
      <c r="O653">
        <v>12.13</v>
      </c>
      <c r="P653" t="s">
        <v>27</v>
      </c>
      <c r="Q653" t="s">
        <v>27</v>
      </c>
      <c r="R653">
        <v>30.399999618530298</v>
      </c>
      <c r="S653">
        <v>75</v>
      </c>
      <c r="T653" t="s">
        <v>27</v>
      </c>
      <c r="U653" t="s">
        <v>27</v>
      </c>
      <c r="V653" t="s">
        <v>27</v>
      </c>
      <c r="W653" t="s">
        <v>27</v>
      </c>
      <c r="X653" t="s">
        <v>27</v>
      </c>
      <c r="Y653" t="s">
        <v>27</v>
      </c>
      <c r="Z653" t="s">
        <v>27</v>
      </c>
      <c r="AA653" t="s">
        <v>27</v>
      </c>
      <c r="AB653" t="s">
        <v>38</v>
      </c>
      <c r="AC653" t="s">
        <v>89</v>
      </c>
      <c r="AD653" t="s">
        <v>27</v>
      </c>
      <c r="AE653" t="s">
        <v>27</v>
      </c>
      <c r="AF653" t="s">
        <v>27</v>
      </c>
      <c r="AG653" t="s">
        <v>27</v>
      </c>
      <c r="AH653" t="s">
        <v>27</v>
      </c>
      <c r="AI653" t="s">
        <v>27</v>
      </c>
    </row>
    <row r="654" spans="1:35">
      <c r="A654">
        <f t="shared" si="80"/>
        <v>0</v>
      </c>
      <c r="B654">
        <f t="shared" si="81"/>
        <v>1</v>
      </c>
      <c r="C654">
        <f t="shared" si="82"/>
        <v>1</v>
      </c>
      <c r="D654">
        <f t="shared" si="83"/>
        <v>0</v>
      </c>
      <c r="E654">
        <f t="shared" si="84"/>
        <v>0</v>
      </c>
      <c r="F654">
        <f t="shared" si="85"/>
        <v>1</v>
      </c>
      <c r="G654">
        <f t="shared" si="86"/>
        <v>0</v>
      </c>
      <c r="H654">
        <v>0</v>
      </c>
      <c r="I654">
        <f t="shared" si="87"/>
        <v>0</v>
      </c>
      <c r="J654">
        <v>0</v>
      </c>
      <c r="K654" t="s">
        <v>3035</v>
      </c>
      <c r="L654" t="s">
        <v>3036</v>
      </c>
      <c r="M654" t="s">
        <v>27</v>
      </c>
      <c r="N654" t="s">
        <v>27</v>
      </c>
      <c r="O654">
        <v>16.03</v>
      </c>
      <c r="P654">
        <v>2.0281839370727499</v>
      </c>
      <c r="Q654" t="s">
        <v>27</v>
      </c>
      <c r="R654">
        <v>16</v>
      </c>
      <c r="S654">
        <v>19.059999465942401</v>
      </c>
      <c r="T654">
        <v>40.161533355712898</v>
      </c>
      <c r="U654">
        <v>31.042650222778299</v>
      </c>
      <c r="V654">
        <v>2748999.75</v>
      </c>
      <c r="W654">
        <v>0.72727400064468395</v>
      </c>
      <c r="X654">
        <v>1.9999999552965199E-2</v>
      </c>
      <c r="Y654">
        <v>11.527559280395501</v>
      </c>
      <c r="Z654">
        <v>11.216315269470201</v>
      </c>
      <c r="AA654">
        <v>32286998</v>
      </c>
      <c r="AB654" t="s">
        <v>27</v>
      </c>
      <c r="AC654" t="s">
        <v>27</v>
      </c>
      <c r="AD654">
        <v>-0.479999989271164</v>
      </c>
      <c r="AE654">
        <v>25.168220520019499</v>
      </c>
      <c r="AF654">
        <v>7.4120726381656699</v>
      </c>
      <c r="AG654">
        <v>31983000</v>
      </c>
      <c r="AH654">
        <v>42.458877563476598</v>
      </c>
      <c r="AI654">
        <v>1.2587310075759901</v>
      </c>
    </row>
    <row r="655" spans="1:35">
      <c r="A655">
        <f t="shared" si="80"/>
        <v>1</v>
      </c>
      <c r="B655">
        <f t="shared" si="81"/>
        <v>0</v>
      </c>
      <c r="C655">
        <f t="shared" si="82"/>
        <v>0</v>
      </c>
      <c r="D655">
        <f t="shared" si="83"/>
        <v>0</v>
      </c>
      <c r="E655">
        <f t="shared" si="84"/>
        <v>0</v>
      </c>
      <c r="F655">
        <f t="shared" si="85"/>
        <v>0</v>
      </c>
      <c r="G655">
        <f t="shared" si="86"/>
        <v>0</v>
      </c>
      <c r="H655">
        <v>0</v>
      </c>
      <c r="I655">
        <f t="shared" si="87"/>
        <v>0</v>
      </c>
      <c r="J655">
        <v>0</v>
      </c>
      <c r="K655" t="s">
        <v>3041</v>
      </c>
      <c r="L655" t="s">
        <v>3042</v>
      </c>
      <c r="M655" t="s">
        <v>27</v>
      </c>
      <c r="N655" t="s">
        <v>27</v>
      </c>
      <c r="O655">
        <v>6.08</v>
      </c>
      <c r="P655" t="s">
        <v>27</v>
      </c>
      <c r="Q655" t="s">
        <v>27</v>
      </c>
      <c r="R655">
        <v>12.25</v>
      </c>
      <c r="S655">
        <v>9.6300001144409197</v>
      </c>
      <c r="T655">
        <v>26.800502777099599</v>
      </c>
      <c r="U655" t="s">
        <v>27</v>
      </c>
      <c r="V655">
        <v>-9800000</v>
      </c>
      <c r="W655" t="s">
        <v>27</v>
      </c>
      <c r="X655" t="s">
        <v>27</v>
      </c>
      <c r="Y655" t="s">
        <v>27</v>
      </c>
      <c r="Z655">
        <v>-7.9681267738342303</v>
      </c>
      <c r="AA655">
        <v>24772000</v>
      </c>
      <c r="AB655" t="s">
        <v>27</v>
      </c>
      <c r="AC655" t="s">
        <v>27</v>
      </c>
      <c r="AD655">
        <v>-0.46999999880790699</v>
      </c>
      <c r="AE655">
        <v>17.366479873657202</v>
      </c>
      <c r="AF655">
        <v>30.649787553305</v>
      </c>
      <c r="AG655">
        <v>24788000</v>
      </c>
      <c r="AH655">
        <v>9.5310277938842791</v>
      </c>
      <c r="AI655">
        <v>-2.1672160625457799</v>
      </c>
    </row>
    <row r="656" spans="1:35">
      <c r="A656">
        <f t="shared" si="80"/>
        <v>0</v>
      </c>
      <c r="B656">
        <f t="shared" si="81"/>
        <v>0</v>
      </c>
      <c r="C656">
        <f t="shared" si="82"/>
        <v>1</v>
      </c>
      <c r="D656">
        <f t="shared" si="83"/>
        <v>1</v>
      </c>
      <c r="E656">
        <f t="shared" si="84"/>
        <v>0</v>
      </c>
      <c r="F656">
        <f t="shared" si="85"/>
        <v>0</v>
      </c>
      <c r="G656">
        <f t="shared" si="86"/>
        <v>1</v>
      </c>
      <c r="H656">
        <v>0</v>
      </c>
      <c r="I656">
        <f t="shared" si="87"/>
        <v>0</v>
      </c>
      <c r="J656">
        <v>0</v>
      </c>
      <c r="K656" t="s">
        <v>3047</v>
      </c>
      <c r="L656" t="s">
        <v>3048</v>
      </c>
      <c r="M656" t="s">
        <v>27</v>
      </c>
      <c r="N656" t="s">
        <v>27</v>
      </c>
      <c r="O656">
        <v>4.95</v>
      </c>
      <c r="P656" t="s">
        <v>27</v>
      </c>
      <c r="Q656" t="s">
        <v>27</v>
      </c>
      <c r="R656">
        <v>15.810000419616699</v>
      </c>
      <c r="S656">
        <v>10.0625</v>
      </c>
      <c r="T656">
        <v>1.43758904933929</v>
      </c>
      <c r="U656">
        <v>43.981731414794901</v>
      </c>
      <c r="V656">
        <v>2534999.75</v>
      </c>
      <c r="W656">
        <v>-21.187179565429702</v>
      </c>
      <c r="X656">
        <v>-2.46000003814697</v>
      </c>
      <c r="Y656">
        <v>-9.21465969085693</v>
      </c>
      <c r="Z656">
        <v>-25.531915664672901</v>
      </c>
      <c r="AA656">
        <v>55868136</v>
      </c>
      <c r="AB656" t="s">
        <v>27</v>
      </c>
      <c r="AC656" t="s">
        <v>27</v>
      </c>
      <c r="AD656">
        <v>-0.5</v>
      </c>
      <c r="AE656">
        <v>57.222610473632798</v>
      </c>
      <c r="AF656">
        <v>5.1666264870436702</v>
      </c>
      <c r="AG656">
        <v>60556000</v>
      </c>
      <c r="AH656">
        <v>2.1714730262756299</v>
      </c>
      <c r="AI656">
        <v>-135.42825317382801</v>
      </c>
    </row>
    <row r="657" spans="1:35">
      <c r="A657">
        <f t="shared" si="80"/>
        <v>0</v>
      </c>
      <c r="B657">
        <f t="shared" si="81"/>
        <v>0</v>
      </c>
      <c r="C657">
        <f t="shared" si="82"/>
        <v>1</v>
      </c>
      <c r="D657">
        <f t="shared" si="83"/>
        <v>0</v>
      </c>
      <c r="E657">
        <f t="shared" si="84"/>
        <v>0</v>
      </c>
      <c r="F657">
        <f t="shared" si="85"/>
        <v>0</v>
      </c>
      <c r="G657">
        <f t="shared" si="86"/>
        <v>1</v>
      </c>
      <c r="H657">
        <v>0</v>
      </c>
      <c r="I657">
        <f t="shared" si="87"/>
        <v>0</v>
      </c>
      <c r="J657">
        <v>0</v>
      </c>
      <c r="K657" t="s">
        <v>3049</v>
      </c>
      <c r="L657" t="s">
        <v>3050</v>
      </c>
      <c r="M657" t="s">
        <v>27</v>
      </c>
      <c r="N657" t="s">
        <v>27</v>
      </c>
      <c r="O657">
        <v>1.43</v>
      </c>
      <c r="P657">
        <v>-2.3138439655303999</v>
      </c>
      <c r="Q657" t="s">
        <v>27</v>
      </c>
      <c r="R657">
        <v>3.5999999046325701</v>
      </c>
      <c r="S657">
        <v>11.789999961853001</v>
      </c>
      <c r="T657">
        <v>13.1763048171997</v>
      </c>
      <c r="U657">
        <v>12.383288383483899</v>
      </c>
      <c r="V657">
        <v>4970000.5</v>
      </c>
      <c r="W657">
        <v>9.6182737350463903</v>
      </c>
      <c r="X657">
        <v>-0.21999999880790699</v>
      </c>
      <c r="Y657">
        <v>3.9580709934234601</v>
      </c>
      <c r="Z657">
        <v>-316.94915771484398</v>
      </c>
      <c r="AA657">
        <v>116877000</v>
      </c>
      <c r="AB657" t="s">
        <v>34</v>
      </c>
      <c r="AC657" t="s">
        <v>237</v>
      </c>
      <c r="AD657">
        <v>-0.64999997615814198</v>
      </c>
      <c r="AE657">
        <v>16.9200744628906</v>
      </c>
      <c r="AF657" t="s">
        <v>27</v>
      </c>
      <c r="AG657">
        <v>117683000</v>
      </c>
      <c r="AH657">
        <v>18.595359802246101</v>
      </c>
      <c r="AI657">
        <v>-13.493945121765099</v>
      </c>
    </row>
    <row r="658" spans="1:35">
      <c r="A658">
        <f t="shared" si="80"/>
        <v>0</v>
      </c>
      <c r="B658">
        <f t="shared" si="81"/>
        <v>1</v>
      </c>
      <c r="C658">
        <f t="shared" si="82"/>
        <v>0</v>
      </c>
      <c r="D658">
        <f t="shared" si="83"/>
        <v>0</v>
      </c>
      <c r="E658">
        <f t="shared" si="84"/>
        <v>0</v>
      </c>
      <c r="F658">
        <f t="shared" si="85"/>
        <v>0</v>
      </c>
      <c r="G658">
        <f t="shared" si="86"/>
        <v>0</v>
      </c>
      <c r="H658">
        <v>0</v>
      </c>
      <c r="I658">
        <f t="shared" si="87"/>
        <v>0</v>
      </c>
      <c r="J658">
        <v>0</v>
      </c>
      <c r="K658" t="s">
        <v>3055</v>
      </c>
      <c r="L658" t="s">
        <v>3056</v>
      </c>
      <c r="M658" t="s">
        <v>27</v>
      </c>
      <c r="N658" t="s">
        <v>27</v>
      </c>
      <c r="O658">
        <v>5.52</v>
      </c>
      <c r="P658" t="s">
        <v>27</v>
      </c>
      <c r="Q658" t="s">
        <v>27</v>
      </c>
      <c r="R658">
        <v>17.25</v>
      </c>
      <c r="S658">
        <v>12.875</v>
      </c>
      <c r="T658">
        <v>0</v>
      </c>
      <c r="U658">
        <v>95.297233581542997</v>
      </c>
      <c r="V658">
        <v>-2473000</v>
      </c>
      <c r="W658">
        <v>-77.398239135742202</v>
      </c>
      <c r="X658">
        <v>1.9999999552965199E-2</v>
      </c>
      <c r="Y658" t="s">
        <v>27</v>
      </c>
      <c r="Z658">
        <v>-9.0636701583862305</v>
      </c>
      <c r="AA658">
        <v>11269000</v>
      </c>
      <c r="AB658" t="s">
        <v>73</v>
      </c>
      <c r="AC658" t="s">
        <v>413</v>
      </c>
      <c r="AD658">
        <v>-0.30000001192092901</v>
      </c>
      <c r="AE658">
        <v>87.534576416015597</v>
      </c>
      <c r="AF658" t="s">
        <v>27</v>
      </c>
      <c r="AG658">
        <v>16646999</v>
      </c>
      <c r="AH658">
        <v>0</v>
      </c>
      <c r="AI658">
        <v>-20.224336624145501</v>
      </c>
    </row>
    <row r="659" spans="1:35">
      <c r="A659">
        <f t="shared" si="80"/>
        <v>0</v>
      </c>
      <c r="B659">
        <f t="shared" si="81"/>
        <v>1</v>
      </c>
      <c r="C659">
        <f t="shared" si="82"/>
        <v>0</v>
      </c>
      <c r="D659">
        <f t="shared" si="83"/>
        <v>0</v>
      </c>
      <c r="E659">
        <f t="shared" si="84"/>
        <v>0</v>
      </c>
      <c r="F659">
        <f t="shared" si="85"/>
        <v>1</v>
      </c>
      <c r="G659">
        <f t="shared" si="86"/>
        <v>0</v>
      </c>
      <c r="H659">
        <v>0</v>
      </c>
      <c r="I659">
        <f t="shared" si="87"/>
        <v>0</v>
      </c>
      <c r="J659">
        <v>0</v>
      </c>
      <c r="K659" t="s">
        <v>3061</v>
      </c>
      <c r="L659" t="s">
        <v>3062</v>
      </c>
      <c r="M659" t="s">
        <v>27</v>
      </c>
      <c r="N659" t="s">
        <v>27</v>
      </c>
      <c r="O659">
        <v>15.252000000000001</v>
      </c>
      <c r="P659">
        <v>10.6448202133179</v>
      </c>
      <c r="Q659" t="s">
        <v>27</v>
      </c>
      <c r="R659">
        <v>15.4099998474121</v>
      </c>
      <c r="S659">
        <v>31.9375</v>
      </c>
      <c r="T659">
        <v>0</v>
      </c>
      <c r="U659">
        <v>40.368419647216797</v>
      </c>
      <c r="V659">
        <v>-37341000</v>
      </c>
      <c r="W659">
        <v>5.8130297660827601</v>
      </c>
      <c r="X659">
        <v>0.37999999523162797</v>
      </c>
      <c r="Y659">
        <v>1.5580519437789899</v>
      </c>
      <c r="Z659">
        <v>-0.40568000078201299</v>
      </c>
      <c r="AA659">
        <v>67304000</v>
      </c>
      <c r="AB659" t="s">
        <v>38</v>
      </c>
      <c r="AC659" t="s">
        <v>39</v>
      </c>
      <c r="AD659">
        <v>-2.5</v>
      </c>
      <c r="AE659">
        <v>-35.726322174072301</v>
      </c>
      <c r="AF659">
        <v>35.933190726716703</v>
      </c>
      <c r="AG659">
        <v>68289000</v>
      </c>
      <c r="AH659">
        <v>0</v>
      </c>
      <c r="AI659">
        <v>33.831756591796903</v>
      </c>
    </row>
    <row r="660" spans="1:35">
      <c r="A660">
        <f t="shared" si="80"/>
        <v>1</v>
      </c>
      <c r="B660">
        <f t="shared" si="81"/>
        <v>0</v>
      </c>
      <c r="C660">
        <f t="shared" si="82"/>
        <v>0</v>
      </c>
      <c r="D660">
        <f t="shared" si="83"/>
        <v>0</v>
      </c>
      <c r="E660">
        <f t="shared" si="84"/>
        <v>0</v>
      </c>
      <c r="F660">
        <f t="shared" si="85"/>
        <v>1</v>
      </c>
      <c r="G660">
        <f t="shared" si="86"/>
        <v>1</v>
      </c>
      <c r="H660">
        <v>0</v>
      </c>
      <c r="I660">
        <f t="shared" si="87"/>
        <v>0</v>
      </c>
      <c r="J660">
        <v>0</v>
      </c>
      <c r="K660" t="s">
        <v>3065</v>
      </c>
      <c r="L660" t="s">
        <v>3066</v>
      </c>
      <c r="M660" t="s">
        <v>27</v>
      </c>
      <c r="N660" t="s">
        <v>27</v>
      </c>
      <c r="O660">
        <v>3.3</v>
      </c>
      <c r="P660" t="s">
        <v>27</v>
      </c>
      <c r="Q660" t="s">
        <v>27</v>
      </c>
      <c r="R660">
        <v>9.3500003814697301</v>
      </c>
      <c r="S660">
        <v>24.6875</v>
      </c>
      <c r="T660">
        <v>54.984748840332003</v>
      </c>
      <c r="U660">
        <v>-250.43371582031301</v>
      </c>
      <c r="V660">
        <v>-971000</v>
      </c>
      <c r="W660" t="s">
        <v>27</v>
      </c>
      <c r="X660" t="s">
        <v>27</v>
      </c>
      <c r="Y660" t="s">
        <v>27</v>
      </c>
      <c r="Z660" t="s">
        <v>27</v>
      </c>
      <c r="AA660" t="s">
        <v>27</v>
      </c>
      <c r="AB660" t="s">
        <v>73</v>
      </c>
      <c r="AC660" t="s">
        <v>141</v>
      </c>
      <c r="AD660">
        <v>-9.00000035762787E-2</v>
      </c>
      <c r="AE660" t="s">
        <v>27</v>
      </c>
      <c r="AF660" t="s">
        <v>27</v>
      </c>
      <c r="AG660">
        <v>22263000</v>
      </c>
      <c r="AH660">
        <v>0</v>
      </c>
      <c r="AI660" t="s">
        <v>27</v>
      </c>
    </row>
    <row r="661" spans="1:35">
      <c r="A661">
        <f t="shared" si="80"/>
        <v>1</v>
      </c>
      <c r="B661">
        <f t="shared" si="81"/>
        <v>0</v>
      </c>
      <c r="C661">
        <f t="shared" si="82"/>
        <v>0</v>
      </c>
      <c r="D661">
        <f t="shared" si="83"/>
        <v>1</v>
      </c>
      <c r="E661">
        <f t="shared" si="84"/>
        <v>0</v>
      </c>
      <c r="F661">
        <f t="shared" si="85"/>
        <v>0</v>
      </c>
      <c r="G661">
        <f t="shared" si="86"/>
        <v>0</v>
      </c>
      <c r="H661">
        <v>0</v>
      </c>
      <c r="I661">
        <f t="shared" si="87"/>
        <v>0</v>
      </c>
      <c r="J661">
        <v>0</v>
      </c>
      <c r="K661" t="s">
        <v>3067</v>
      </c>
      <c r="L661" t="s">
        <v>3068</v>
      </c>
      <c r="M661" t="s">
        <v>27</v>
      </c>
      <c r="N661" t="s">
        <v>27</v>
      </c>
      <c r="O661">
        <v>10.71</v>
      </c>
      <c r="P661" t="s">
        <v>27</v>
      </c>
      <c r="Q661" t="s">
        <v>27</v>
      </c>
      <c r="R661">
        <v>17.870000839233398</v>
      </c>
      <c r="S661">
        <v>11.9375</v>
      </c>
      <c r="T661">
        <v>44.195972442627003</v>
      </c>
      <c r="U661">
        <v>62.608024597167997</v>
      </c>
      <c r="V661">
        <v>-5992000</v>
      </c>
      <c r="W661">
        <v>-29.388668060302699</v>
      </c>
      <c r="X661">
        <v>-0.60000002384185802</v>
      </c>
      <c r="Y661">
        <v>-12.643902778625501</v>
      </c>
      <c r="Z661">
        <v>-3.5268580913543701</v>
      </c>
      <c r="AA661">
        <v>18047000</v>
      </c>
      <c r="AB661" t="s">
        <v>27</v>
      </c>
      <c r="AC661" t="s">
        <v>27</v>
      </c>
      <c r="AD661">
        <v>-2.9999999329447701E-2</v>
      </c>
      <c r="AE661">
        <v>53.621513366699197</v>
      </c>
      <c r="AF661">
        <v>20.336901466639102</v>
      </c>
      <c r="AG661">
        <v>20883000</v>
      </c>
      <c r="AH661">
        <v>33.345314025878899</v>
      </c>
      <c r="AI661">
        <v>-38.304412841796903</v>
      </c>
    </row>
    <row r="662" spans="1:35">
      <c r="A662">
        <f t="shared" si="80"/>
        <v>0</v>
      </c>
      <c r="B662">
        <f t="shared" si="81"/>
        <v>0</v>
      </c>
      <c r="C662">
        <f t="shared" si="82"/>
        <v>0</v>
      </c>
      <c r="D662">
        <f t="shared" si="83"/>
        <v>0</v>
      </c>
      <c r="E662">
        <f t="shared" si="84"/>
        <v>0</v>
      </c>
      <c r="F662">
        <f t="shared" si="85"/>
        <v>1</v>
      </c>
      <c r="G662">
        <f t="shared" si="86"/>
        <v>0</v>
      </c>
      <c r="H662">
        <v>0</v>
      </c>
      <c r="I662">
        <f t="shared" si="87"/>
        <v>0</v>
      </c>
      <c r="J662">
        <v>0</v>
      </c>
      <c r="K662" t="s">
        <v>3069</v>
      </c>
      <c r="L662" t="s">
        <v>3070</v>
      </c>
      <c r="M662" t="s">
        <v>27</v>
      </c>
      <c r="N662" t="s">
        <v>27</v>
      </c>
      <c r="O662">
        <v>13.8</v>
      </c>
      <c r="P662">
        <v>4.28768014907837</v>
      </c>
      <c r="Q662" t="s">
        <v>27</v>
      </c>
      <c r="R662">
        <v>17.609091672030399</v>
      </c>
      <c r="S662">
        <v>17.490908882834699</v>
      </c>
      <c r="T662">
        <v>26.338607788085898</v>
      </c>
      <c r="U662" t="s">
        <v>27</v>
      </c>
      <c r="V662">
        <v>-3999000</v>
      </c>
      <c r="W662">
        <v>0.97633999586105302</v>
      </c>
      <c r="X662">
        <v>0.36363636905496799</v>
      </c>
      <c r="Y662">
        <v>8.88311672210693</v>
      </c>
      <c r="Z662">
        <v>6.9860901832580602</v>
      </c>
      <c r="AA662">
        <v>45045000</v>
      </c>
      <c r="AB662" t="s">
        <v>27</v>
      </c>
      <c r="AC662" t="s">
        <v>27</v>
      </c>
      <c r="AD662">
        <v>0.15999999913302301</v>
      </c>
      <c r="AE662" t="s">
        <v>27</v>
      </c>
      <c r="AF662" t="s">
        <v>27</v>
      </c>
      <c r="AG662">
        <v>43327900</v>
      </c>
      <c r="AH662">
        <v>28.2070636749268</v>
      </c>
      <c r="AI662">
        <v>0.68485200405120805</v>
      </c>
    </row>
    <row r="663" spans="1:35">
      <c r="A663">
        <f t="shared" si="80"/>
        <v>0</v>
      </c>
      <c r="B663">
        <f t="shared" si="81"/>
        <v>0</v>
      </c>
      <c r="C663">
        <f t="shared" si="82"/>
        <v>0</v>
      </c>
      <c r="D663">
        <f t="shared" si="83"/>
        <v>0</v>
      </c>
      <c r="E663">
        <f t="shared" si="84"/>
        <v>0</v>
      </c>
      <c r="F663">
        <f t="shared" si="85"/>
        <v>1</v>
      </c>
      <c r="G663">
        <f t="shared" si="86"/>
        <v>0</v>
      </c>
      <c r="H663">
        <v>0</v>
      </c>
      <c r="I663">
        <f t="shared" si="87"/>
        <v>0</v>
      </c>
      <c r="J663">
        <v>0</v>
      </c>
      <c r="K663" t="s">
        <v>3071</v>
      </c>
      <c r="L663" t="s">
        <v>3072</v>
      </c>
      <c r="M663" t="s">
        <v>27</v>
      </c>
      <c r="N663" t="s">
        <v>27</v>
      </c>
      <c r="O663">
        <v>1.77</v>
      </c>
      <c r="P663">
        <v>11.859715461731</v>
      </c>
      <c r="Q663" t="s">
        <v>27</v>
      </c>
      <c r="R663">
        <v>5.5</v>
      </c>
      <c r="S663">
        <v>16.875</v>
      </c>
      <c r="T663">
        <v>0</v>
      </c>
      <c r="U663" t="s">
        <v>27</v>
      </c>
      <c r="V663">
        <v>-40089000</v>
      </c>
      <c r="W663">
        <v>11.517759323120099</v>
      </c>
      <c r="X663">
        <v>0.10000000149011599</v>
      </c>
      <c r="Y663">
        <v>1.00768005847931</v>
      </c>
      <c r="Z663">
        <v>-5.7142858505248997</v>
      </c>
      <c r="AA663">
        <v>120803000</v>
      </c>
      <c r="AB663" t="s">
        <v>38</v>
      </c>
      <c r="AC663" t="s">
        <v>628</v>
      </c>
      <c r="AD663">
        <v>-0.75999999046325695</v>
      </c>
      <c r="AE663" t="s">
        <v>27</v>
      </c>
      <c r="AF663" t="s">
        <v>27</v>
      </c>
      <c r="AG663">
        <v>126212000</v>
      </c>
      <c r="AH663">
        <v>0</v>
      </c>
      <c r="AI663">
        <v>9.9140443801879901</v>
      </c>
    </row>
    <row r="664" spans="1:35">
      <c r="A664">
        <f t="shared" si="80"/>
        <v>0</v>
      </c>
      <c r="B664">
        <f t="shared" si="81"/>
        <v>0</v>
      </c>
      <c r="C664">
        <f t="shared" si="82"/>
        <v>1</v>
      </c>
      <c r="D664">
        <f t="shared" si="83"/>
        <v>0</v>
      </c>
      <c r="E664">
        <f t="shared" si="84"/>
        <v>0</v>
      </c>
      <c r="F664">
        <f t="shared" si="85"/>
        <v>1</v>
      </c>
      <c r="G664">
        <f t="shared" si="86"/>
        <v>0</v>
      </c>
      <c r="H664">
        <v>0</v>
      </c>
      <c r="I664">
        <f t="shared" si="87"/>
        <v>0</v>
      </c>
      <c r="J664">
        <v>0</v>
      </c>
      <c r="K664" t="s">
        <v>3075</v>
      </c>
      <c r="L664" t="s">
        <v>3076</v>
      </c>
      <c r="M664" t="s">
        <v>27</v>
      </c>
      <c r="N664" t="s">
        <v>27</v>
      </c>
      <c r="O664">
        <v>2.5099999999999998</v>
      </c>
      <c r="P664">
        <v>4.0240221023559597</v>
      </c>
      <c r="Q664" t="s">
        <v>27</v>
      </c>
      <c r="R664">
        <v>8.3000001907348597</v>
      </c>
      <c r="S664">
        <v>9.5</v>
      </c>
      <c r="T664">
        <v>0</v>
      </c>
      <c r="U664">
        <v>86.717002868652301</v>
      </c>
      <c r="V664">
        <v>12382001</v>
      </c>
      <c r="W664">
        <v>9.0235652923584002</v>
      </c>
      <c r="X664">
        <v>7.9999998211860698E-2</v>
      </c>
      <c r="Y664">
        <v>1.3114750385284399</v>
      </c>
      <c r="Z664">
        <v>5.8823528289794904</v>
      </c>
      <c r="AA664">
        <v>54657000</v>
      </c>
      <c r="AB664" t="s">
        <v>27</v>
      </c>
      <c r="AC664" t="s">
        <v>27</v>
      </c>
      <c r="AD664">
        <v>7.9999998211860698E-2</v>
      </c>
      <c r="AE664">
        <v>85.231605529785199</v>
      </c>
      <c r="AF664">
        <v>37.037317872447701</v>
      </c>
      <c r="AG664">
        <v>58168000</v>
      </c>
      <c r="AH664">
        <v>8.52911281585693</v>
      </c>
      <c r="AI664">
        <v>4.08447313308716</v>
      </c>
    </row>
    <row r="665" spans="1:35">
      <c r="A665">
        <f t="shared" si="80"/>
        <v>1</v>
      </c>
      <c r="B665">
        <f t="shared" si="81"/>
        <v>0</v>
      </c>
      <c r="C665">
        <f t="shared" si="82"/>
        <v>0</v>
      </c>
      <c r="D665">
        <f t="shared" si="83"/>
        <v>0</v>
      </c>
      <c r="E665">
        <f t="shared" si="84"/>
        <v>0</v>
      </c>
      <c r="F665">
        <f t="shared" si="85"/>
        <v>1</v>
      </c>
      <c r="G665">
        <f t="shared" si="86"/>
        <v>0</v>
      </c>
      <c r="H665">
        <v>0</v>
      </c>
      <c r="I665">
        <f t="shared" si="87"/>
        <v>1</v>
      </c>
      <c r="J665">
        <v>0</v>
      </c>
      <c r="K665" t="s">
        <v>3077</v>
      </c>
      <c r="L665" t="s">
        <v>3078</v>
      </c>
      <c r="M665" t="s">
        <v>27</v>
      </c>
      <c r="N665" t="s">
        <v>27</v>
      </c>
      <c r="O665">
        <v>12.78</v>
      </c>
      <c r="P665" t="s">
        <v>27</v>
      </c>
      <c r="Q665" t="s">
        <v>27</v>
      </c>
      <c r="R665">
        <v>11.6199998855591</v>
      </c>
      <c r="S665" t="s">
        <v>27</v>
      </c>
      <c r="T665" t="s">
        <v>27</v>
      </c>
      <c r="U665" t="s">
        <v>27</v>
      </c>
      <c r="V665">
        <v>-17948000</v>
      </c>
      <c r="W665" t="s">
        <v>27</v>
      </c>
      <c r="X665" t="s">
        <v>27</v>
      </c>
      <c r="Y665" t="s">
        <v>27</v>
      </c>
      <c r="Z665" t="s">
        <v>27</v>
      </c>
      <c r="AA665" t="s">
        <v>27</v>
      </c>
      <c r="AB665" t="s">
        <v>27</v>
      </c>
      <c r="AC665" t="s">
        <v>27</v>
      </c>
      <c r="AD665">
        <v>-0.18000000715255701</v>
      </c>
      <c r="AE665" t="s">
        <v>27</v>
      </c>
      <c r="AF665">
        <v>24.583545473465101</v>
      </c>
      <c r="AG665">
        <v>28050000</v>
      </c>
      <c r="AH665">
        <v>80.311737060546903</v>
      </c>
      <c r="AI665" t="s">
        <v>27</v>
      </c>
    </row>
    <row r="666" spans="1:35">
      <c r="A666">
        <f t="shared" si="80"/>
        <v>0</v>
      </c>
      <c r="B666">
        <f t="shared" si="81"/>
        <v>0</v>
      </c>
      <c r="C666">
        <f t="shared" si="82"/>
        <v>0</v>
      </c>
      <c r="D666">
        <f t="shared" si="83"/>
        <v>1</v>
      </c>
      <c r="E666">
        <f t="shared" si="84"/>
        <v>0</v>
      </c>
      <c r="F666">
        <f t="shared" si="85"/>
        <v>1</v>
      </c>
      <c r="G666">
        <f t="shared" si="86"/>
        <v>1</v>
      </c>
      <c r="H666">
        <v>0</v>
      </c>
      <c r="I666">
        <f t="shared" si="87"/>
        <v>0</v>
      </c>
      <c r="J666">
        <v>0</v>
      </c>
      <c r="K666" t="s">
        <v>3081</v>
      </c>
      <c r="L666" t="s">
        <v>3082</v>
      </c>
      <c r="M666" t="s">
        <v>27</v>
      </c>
      <c r="N666" t="s">
        <v>27</v>
      </c>
      <c r="O666">
        <v>20.010000000000002</v>
      </c>
      <c r="P666" t="s">
        <v>27</v>
      </c>
      <c r="Q666" t="s">
        <v>27</v>
      </c>
      <c r="R666">
        <v>26.575000762939499</v>
      </c>
      <c r="S666">
        <v>21.21875</v>
      </c>
      <c r="T666">
        <v>13.6640844345093</v>
      </c>
      <c r="U666">
        <v>10.8263053894043</v>
      </c>
      <c r="V666">
        <v>-11081000</v>
      </c>
      <c r="W666">
        <v>8.3140592575073207</v>
      </c>
      <c r="X666">
        <v>0.34000000357627902</v>
      </c>
      <c r="Y666" t="s">
        <v>27</v>
      </c>
      <c r="Z666" t="s">
        <v>27</v>
      </c>
      <c r="AA666">
        <v>11374000</v>
      </c>
      <c r="AB666" t="s">
        <v>38</v>
      </c>
      <c r="AC666" t="s">
        <v>146</v>
      </c>
      <c r="AD666">
        <v>0.40000000596046398</v>
      </c>
      <c r="AE666">
        <v>11.0737495422363</v>
      </c>
      <c r="AF666">
        <v>7.1588998475834602</v>
      </c>
      <c r="AG666">
        <v>11432000</v>
      </c>
      <c r="AH666">
        <v>17.650972366333001</v>
      </c>
      <c r="AI666">
        <v>6.7232241630554199</v>
      </c>
    </row>
    <row r="667" spans="1:35">
      <c r="A667">
        <f t="shared" si="80"/>
        <v>1</v>
      </c>
      <c r="B667">
        <f t="shared" si="81"/>
        <v>0</v>
      </c>
      <c r="C667">
        <f t="shared" si="82"/>
        <v>0</v>
      </c>
      <c r="D667">
        <f t="shared" si="83"/>
        <v>1</v>
      </c>
      <c r="E667">
        <f t="shared" si="84"/>
        <v>0</v>
      </c>
      <c r="F667">
        <f t="shared" si="85"/>
        <v>0</v>
      </c>
      <c r="G667">
        <f t="shared" si="86"/>
        <v>0</v>
      </c>
      <c r="H667">
        <v>0</v>
      </c>
      <c r="I667">
        <f t="shared" si="87"/>
        <v>1</v>
      </c>
      <c r="J667">
        <v>0</v>
      </c>
      <c r="K667" t="s">
        <v>3093</v>
      </c>
      <c r="L667" t="s">
        <v>3094</v>
      </c>
      <c r="M667" t="s">
        <v>27</v>
      </c>
      <c r="N667" t="s">
        <v>27</v>
      </c>
      <c r="O667">
        <v>32.799999999999997</v>
      </c>
      <c r="P667" t="s">
        <v>27</v>
      </c>
      <c r="Q667" t="s">
        <v>27</v>
      </c>
      <c r="R667">
        <v>22.9799995422363</v>
      </c>
      <c r="S667">
        <v>21.75</v>
      </c>
      <c r="T667">
        <v>44.018241882324197</v>
      </c>
      <c r="U667" t="s">
        <v>27</v>
      </c>
      <c r="V667">
        <v>-21812000</v>
      </c>
      <c r="W667">
        <v>-15.607872962951699</v>
      </c>
      <c r="X667">
        <v>-0.28000000119209301</v>
      </c>
      <c r="Y667">
        <v>-8.3855419158935494</v>
      </c>
      <c r="Z667">
        <v>-8.2535877227783203</v>
      </c>
      <c r="AA667">
        <v>38122000</v>
      </c>
      <c r="AB667" t="s">
        <v>27</v>
      </c>
      <c r="AC667" t="s">
        <v>27</v>
      </c>
      <c r="AD667">
        <v>-0.25</v>
      </c>
      <c r="AE667">
        <v>89.624755859375</v>
      </c>
      <c r="AF667" t="s">
        <v>27</v>
      </c>
      <c r="AG667">
        <v>45398000</v>
      </c>
      <c r="AH667">
        <v>25.582014083862301</v>
      </c>
      <c r="AI667">
        <v>-41.151847839355497</v>
      </c>
    </row>
    <row r="668" spans="1:35">
      <c r="A668">
        <f t="shared" si="80"/>
        <v>1</v>
      </c>
      <c r="B668">
        <f t="shared" si="81"/>
        <v>0</v>
      </c>
      <c r="C668">
        <f t="shared" si="82"/>
        <v>0</v>
      </c>
      <c r="D668">
        <f t="shared" si="83"/>
        <v>1</v>
      </c>
      <c r="E668">
        <f t="shared" si="84"/>
        <v>0</v>
      </c>
      <c r="F668">
        <f t="shared" si="85"/>
        <v>0</v>
      </c>
      <c r="G668">
        <f t="shared" si="86"/>
        <v>0</v>
      </c>
      <c r="H668">
        <v>0</v>
      </c>
      <c r="I668">
        <f t="shared" si="87"/>
        <v>0</v>
      </c>
      <c r="J668">
        <v>0</v>
      </c>
      <c r="K668" t="s">
        <v>3095</v>
      </c>
      <c r="L668" t="s">
        <v>3096</v>
      </c>
      <c r="M668" t="s">
        <v>27</v>
      </c>
      <c r="N668" t="s">
        <v>27</v>
      </c>
      <c r="O668">
        <v>2.7</v>
      </c>
      <c r="P668" t="s">
        <v>27</v>
      </c>
      <c r="Q668" t="s">
        <v>27</v>
      </c>
      <c r="R668">
        <v>3.4200000762939502</v>
      </c>
      <c r="S668">
        <v>1.75</v>
      </c>
      <c r="T668">
        <v>43.830722808837898</v>
      </c>
      <c r="U668">
        <v>33.197334289550803</v>
      </c>
      <c r="V668">
        <v>-8379999.5</v>
      </c>
      <c r="W668">
        <v>-2.1013329029083301</v>
      </c>
      <c r="X668">
        <v>-0.119999997317791</v>
      </c>
      <c r="Y668">
        <v>-1.7391300201416</v>
      </c>
      <c r="Z668">
        <v>-76.665260314941406</v>
      </c>
      <c r="AA668">
        <v>30877000</v>
      </c>
      <c r="AB668" t="s">
        <v>27</v>
      </c>
      <c r="AC668" t="s">
        <v>27</v>
      </c>
      <c r="AD668">
        <v>0.43000000715255698</v>
      </c>
      <c r="AE668">
        <v>27.984998703002901</v>
      </c>
      <c r="AF668" t="s">
        <v>27</v>
      </c>
      <c r="AG668">
        <v>39613844</v>
      </c>
      <c r="AH668">
        <v>39.647560119628899</v>
      </c>
      <c r="AI668">
        <v>-6.7805547714233398</v>
      </c>
    </row>
    <row r="669" spans="1:35">
      <c r="A669">
        <f t="shared" si="80"/>
        <v>1</v>
      </c>
      <c r="B669">
        <f t="shared" si="81"/>
        <v>0</v>
      </c>
      <c r="C669">
        <f t="shared" si="82"/>
        <v>0</v>
      </c>
      <c r="D669">
        <f t="shared" si="83"/>
        <v>0</v>
      </c>
      <c r="E669">
        <f t="shared" si="84"/>
        <v>0</v>
      </c>
      <c r="F669">
        <f t="shared" si="85"/>
        <v>0</v>
      </c>
      <c r="G669">
        <f t="shared" si="86"/>
        <v>0</v>
      </c>
      <c r="H669">
        <v>0</v>
      </c>
      <c r="I669">
        <f t="shared" si="87"/>
        <v>0</v>
      </c>
      <c r="J669">
        <v>0</v>
      </c>
      <c r="K669" t="s">
        <v>3099</v>
      </c>
      <c r="L669" t="s">
        <v>3100</v>
      </c>
      <c r="M669" t="s">
        <v>27</v>
      </c>
      <c r="N669" t="s">
        <v>27</v>
      </c>
      <c r="O669">
        <v>7.57</v>
      </c>
      <c r="P669" t="s">
        <v>27</v>
      </c>
      <c r="Q669" t="s">
        <v>27</v>
      </c>
      <c r="R669">
        <v>28.450000762939499</v>
      </c>
      <c r="S669">
        <v>26.453125</v>
      </c>
      <c r="T669">
        <v>8.0292444229125994</v>
      </c>
      <c r="U669">
        <v>42.995285034179702</v>
      </c>
      <c r="V669">
        <v>-3499000</v>
      </c>
      <c r="W669">
        <v>-0.93600898981094405</v>
      </c>
      <c r="X669">
        <v>1.9999999552965199E-2</v>
      </c>
      <c r="Y669">
        <v>0.27272701263427701</v>
      </c>
      <c r="Z669">
        <v>-0.44715398550033603</v>
      </c>
      <c r="AA669">
        <v>21896000</v>
      </c>
      <c r="AB669" t="s">
        <v>38</v>
      </c>
      <c r="AC669" t="s">
        <v>89</v>
      </c>
      <c r="AD669">
        <v>-5.0000000745058101E-2</v>
      </c>
      <c r="AE669">
        <v>37.024700164794901</v>
      </c>
      <c r="AF669" t="s">
        <v>27</v>
      </c>
      <c r="AG669">
        <v>22962416</v>
      </c>
      <c r="AH669">
        <v>7.3933877944946298</v>
      </c>
      <c r="AI669">
        <v>-1.3893009424209599</v>
      </c>
    </row>
    <row r="670" spans="1:35">
      <c r="A670">
        <f t="shared" si="80"/>
        <v>1</v>
      </c>
      <c r="B670">
        <f t="shared" si="81"/>
        <v>0</v>
      </c>
      <c r="C670">
        <f t="shared" si="82"/>
        <v>0</v>
      </c>
      <c r="D670">
        <f t="shared" si="83"/>
        <v>0</v>
      </c>
      <c r="E670">
        <f t="shared" si="84"/>
        <v>0</v>
      </c>
      <c r="F670">
        <f t="shared" si="85"/>
        <v>0</v>
      </c>
      <c r="G670">
        <f t="shared" si="86"/>
        <v>0</v>
      </c>
      <c r="H670">
        <v>0</v>
      </c>
      <c r="I670">
        <f t="shared" si="87"/>
        <v>0</v>
      </c>
      <c r="J670">
        <v>0</v>
      </c>
      <c r="K670" t="s">
        <v>3109</v>
      </c>
      <c r="L670" t="s">
        <v>3110</v>
      </c>
      <c r="M670" t="s">
        <v>27</v>
      </c>
      <c r="N670" t="s">
        <v>27</v>
      </c>
      <c r="O670">
        <v>3.3</v>
      </c>
      <c r="P670" t="s">
        <v>27</v>
      </c>
      <c r="Q670" t="s">
        <v>27</v>
      </c>
      <c r="R670">
        <v>6.5999999046325701</v>
      </c>
      <c r="S670" t="s">
        <v>27</v>
      </c>
      <c r="T670" t="s">
        <v>27</v>
      </c>
      <c r="U670" t="s">
        <v>27</v>
      </c>
      <c r="V670">
        <v>-7930000</v>
      </c>
      <c r="W670">
        <v>-14.6033725738525</v>
      </c>
      <c r="X670" t="s">
        <v>27</v>
      </c>
      <c r="Y670" t="s">
        <v>27</v>
      </c>
      <c r="Z670" t="s">
        <v>27</v>
      </c>
      <c r="AA670" t="s">
        <v>27</v>
      </c>
      <c r="AB670" t="s">
        <v>73</v>
      </c>
      <c r="AC670" t="s">
        <v>141</v>
      </c>
      <c r="AD670">
        <v>-0.21999999880790699</v>
      </c>
      <c r="AE670" t="s">
        <v>27</v>
      </c>
      <c r="AF670" t="s">
        <v>27</v>
      </c>
      <c r="AG670">
        <v>29301000</v>
      </c>
      <c r="AH670">
        <v>0</v>
      </c>
      <c r="AI670">
        <v>-24.789283752441399</v>
      </c>
    </row>
    <row r="671" spans="1:35">
      <c r="A671">
        <f t="shared" si="80"/>
        <v>0</v>
      </c>
      <c r="B671">
        <f t="shared" si="81"/>
        <v>1</v>
      </c>
      <c r="C671">
        <f t="shared" si="82"/>
        <v>0</v>
      </c>
      <c r="D671">
        <f t="shared" si="83"/>
        <v>1</v>
      </c>
      <c r="E671">
        <f t="shared" si="84"/>
        <v>0</v>
      </c>
      <c r="F671">
        <f t="shared" si="85"/>
        <v>0</v>
      </c>
      <c r="G671">
        <f t="shared" si="86"/>
        <v>1</v>
      </c>
      <c r="H671">
        <v>0</v>
      </c>
      <c r="I671">
        <f t="shared" si="87"/>
        <v>0</v>
      </c>
      <c r="J671">
        <v>0</v>
      </c>
      <c r="K671" t="s">
        <v>3113</v>
      </c>
      <c r="L671" t="s">
        <v>3114</v>
      </c>
      <c r="M671" t="s">
        <v>27</v>
      </c>
      <c r="N671" t="s">
        <v>27</v>
      </c>
      <c r="O671">
        <v>4.75</v>
      </c>
      <c r="P671" t="s">
        <v>27</v>
      </c>
      <c r="Q671" t="s">
        <v>27</v>
      </c>
      <c r="R671">
        <v>18.549999237060501</v>
      </c>
      <c r="S671">
        <v>12.625</v>
      </c>
      <c r="T671">
        <v>0</v>
      </c>
      <c r="U671">
        <v>71.370704650878906</v>
      </c>
      <c r="V671">
        <v>-2786000</v>
      </c>
      <c r="W671">
        <v>-112.019660949707</v>
      </c>
      <c r="X671">
        <v>-0.18999999761581399</v>
      </c>
      <c r="Y671">
        <v>-3.95203804969788</v>
      </c>
      <c r="Z671">
        <v>-4.7227931022643999</v>
      </c>
      <c r="AA671">
        <v>25459000</v>
      </c>
      <c r="AB671" t="s">
        <v>27</v>
      </c>
      <c r="AC671" t="s">
        <v>27</v>
      </c>
      <c r="AD671">
        <v>-5.0000000745058101E-2</v>
      </c>
      <c r="AE671">
        <v>84.845115661621094</v>
      </c>
      <c r="AF671" t="s">
        <v>27</v>
      </c>
      <c r="AG671">
        <v>28497000</v>
      </c>
      <c r="AH671">
        <v>0</v>
      </c>
      <c r="AI671">
        <v>-54.152542114257798</v>
      </c>
    </row>
    <row r="672" spans="1:35">
      <c r="A672">
        <f t="shared" si="80"/>
        <v>0</v>
      </c>
      <c r="B672">
        <f t="shared" si="81"/>
        <v>1</v>
      </c>
      <c r="C672">
        <f t="shared" si="82"/>
        <v>0</v>
      </c>
      <c r="D672">
        <f t="shared" si="83"/>
        <v>1</v>
      </c>
      <c r="E672">
        <f t="shared" si="84"/>
        <v>0</v>
      </c>
      <c r="F672">
        <f t="shared" si="85"/>
        <v>0</v>
      </c>
      <c r="G672">
        <f t="shared" si="86"/>
        <v>0</v>
      </c>
      <c r="H672">
        <v>0</v>
      </c>
      <c r="I672">
        <f t="shared" si="87"/>
        <v>0</v>
      </c>
      <c r="J672">
        <v>0</v>
      </c>
      <c r="K672" t="s">
        <v>3115</v>
      </c>
      <c r="L672" t="s">
        <v>3116</v>
      </c>
      <c r="M672" t="s">
        <v>27</v>
      </c>
      <c r="N672" t="s">
        <v>27</v>
      </c>
      <c r="O672">
        <v>2.2949999999999999</v>
      </c>
      <c r="P672" t="s">
        <v>27</v>
      </c>
      <c r="Q672" t="s">
        <v>27</v>
      </c>
      <c r="R672">
        <v>11.050000190734901</v>
      </c>
      <c r="S672">
        <v>19.875</v>
      </c>
      <c r="T672">
        <v>0</v>
      </c>
      <c r="U672">
        <v>71.839447021484403</v>
      </c>
      <c r="V672">
        <v>-6818000</v>
      </c>
      <c r="W672">
        <v>-98.142631530761705</v>
      </c>
      <c r="X672">
        <v>-0.140000000596046</v>
      </c>
      <c r="Y672" t="s">
        <v>27</v>
      </c>
      <c r="Z672">
        <v>-10</v>
      </c>
      <c r="AA672">
        <v>69213000</v>
      </c>
      <c r="AB672" t="s">
        <v>27</v>
      </c>
      <c r="AC672" t="s">
        <v>27</v>
      </c>
      <c r="AD672">
        <v>-0.109999999403954</v>
      </c>
      <c r="AE672">
        <v>71.528327941894503</v>
      </c>
      <c r="AF672" t="s">
        <v>27</v>
      </c>
      <c r="AG672">
        <v>71766000</v>
      </c>
      <c r="AH672">
        <v>6.4711761474609402</v>
      </c>
      <c r="AI672">
        <v>-73.112098693847699</v>
      </c>
    </row>
    <row r="673" spans="1:35">
      <c r="A673">
        <f t="shared" si="80"/>
        <v>1</v>
      </c>
      <c r="B673">
        <f t="shared" si="81"/>
        <v>1</v>
      </c>
      <c r="C673">
        <f t="shared" si="82"/>
        <v>1</v>
      </c>
      <c r="D673">
        <f t="shared" si="83"/>
        <v>0</v>
      </c>
      <c r="E673">
        <f t="shared" si="84"/>
        <v>0</v>
      </c>
      <c r="F673">
        <f t="shared" si="85"/>
        <v>1</v>
      </c>
      <c r="G673">
        <f t="shared" si="86"/>
        <v>0</v>
      </c>
      <c r="H673">
        <v>0</v>
      </c>
      <c r="I673">
        <f t="shared" si="87"/>
        <v>1</v>
      </c>
      <c r="J673">
        <v>0</v>
      </c>
      <c r="K673" t="s">
        <v>3117</v>
      </c>
      <c r="L673" t="s">
        <v>3118</v>
      </c>
      <c r="M673" t="s">
        <v>27</v>
      </c>
      <c r="N673" t="s">
        <v>27</v>
      </c>
      <c r="O673">
        <v>15.15</v>
      </c>
      <c r="P673" t="s">
        <v>27</v>
      </c>
      <c r="Q673" t="s">
        <v>27</v>
      </c>
      <c r="R673">
        <v>13.289999961853001</v>
      </c>
      <c r="S673" t="s">
        <v>27</v>
      </c>
      <c r="T673" t="s">
        <v>27</v>
      </c>
      <c r="U673" t="s">
        <v>27</v>
      </c>
      <c r="V673">
        <v>28250000</v>
      </c>
      <c r="W673">
        <v>-2.7370679378509499</v>
      </c>
      <c r="X673" t="s">
        <v>27</v>
      </c>
      <c r="Y673" t="s">
        <v>27</v>
      </c>
      <c r="Z673" t="s">
        <v>27</v>
      </c>
      <c r="AA673" t="s">
        <v>27</v>
      </c>
      <c r="AB673" t="s">
        <v>27</v>
      </c>
      <c r="AC673" t="s">
        <v>27</v>
      </c>
      <c r="AD673">
        <v>0.140000000596046</v>
      </c>
      <c r="AE673">
        <v>18.504737854003899</v>
      </c>
      <c r="AF673">
        <v>7.5204682322605096</v>
      </c>
      <c r="AG673">
        <v>45331000</v>
      </c>
      <c r="AH673">
        <v>47.361530303955099</v>
      </c>
      <c r="AI673">
        <v>0.94607299566268899</v>
      </c>
    </row>
    <row r="674" spans="1:35">
      <c r="A674">
        <f t="shared" si="80"/>
        <v>1</v>
      </c>
      <c r="B674">
        <f t="shared" si="81"/>
        <v>0</v>
      </c>
      <c r="C674">
        <f t="shared" si="82"/>
        <v>1</v>
      </c>
      <c r="D674">
        <f t="shared" si="83"/>
        <v>0</v>
      </c>
      <c r="E674">
        <f t="shared" si="84"/>
        <v>0</v>
      </c>
      <c r="F674">
        <f t="shared" si="85"/>
        <v>1</v>
      </c>
      <c r="G674">
        <f t="shared" si="86"/>
        <v>0</v>
      </c>
      <c r="H674">
        <v>0</v>
      </c>
      <c r="I674">
        <f t="shared" si="87"/>
        <v>1</v>
      </c>
      <c r="J674">
        <v>0</v>
      </c>
      <c r="K674" t="s">
        <v>3119</v>
      </c>
      <c r="L674" t="s">
        <v>3120</v>
      </c>
      <c r="M674" t="s">
        <v>27</v>
      </c>
      <c r="N674" t="s">
        <v>27</v>
      </c>
      <c r="O674">
        <v>23.44</v>
      </c>
      <c r="P674" t="s">
        <v>27</v>
      </c>
      <c r="Q674" t="s">
        <v>27</v>
      </c>
      <c r="R674">
        <v>20.909999847412099</v>
      </c>
      <c r="S674">
        <v>22.0625</v>
      </c>
      <c r="T674">
        <v>13.000494956970201</v>
      </c>
      <c r="U674" t="s">
        <v>27</v>
      </c>
      <c r="V674">
        <v>28992000</v>
      </c>
      <c r="W674">
        <v>2.1749041080474898</v>
      </c>
      <c r="X674">
        <v>0.21999999880790699</v>
      </c>
      <c r="Y674">
        <v>5.86853122711182</v>
      </c>
      <c r="Z674">
        <v>3.6905269622802699</v>
      </c>
      <c r="AA674">
        <v>25186000</v>
      </c>
      <c r="AB674" t="s">
        <v>34</v>
      </c>
      <c r="AC674" t="s">
        <v>447</v>
      </c>
      <c r="AD674">
        <v>7.9999998211860698E-2</v>
      </c>
      <c r="AE674" t="s">
        <v>27</v>
      </c>
      <c r="AF674" t="s">
        <v>27</v>
      </c>
      <c r="AG674">
        <v>25469000</v>
      </c>
      <c r="AH674">
        <v>6.0690879821777299</v>
      </c>
      <c r="AI674">
        <v>1.0409049987793</v>
      </c>
    </row>
    <row r="675" spans="1:35">
      <c r="A675">
        <f t="shared" si="80"/>
        <v>0</v>
      </c>
      <c r="B675">
        <f t="shared" si="81"/>
        <v>0</v>
      </c>
      <c r="C675">
        <f t="shared" si="82"/>
        <v>1</v>
      </c>
      <c r="D675">
        <f t="shared" si="83"/>
        <v>1</v>
      </c>
      <c r="E675">
        <f t="shared" si="84"/>
        <v>1</v>
      </c>
      <c r="F675">
        <f t="shared" si="85"/>
        <v>0</v>
      </c>
      <c r="G675">
        <f t="shared" si="86"/>
        <v>1</v>
      </c>
      <c r="H675">
        <v>0</v>
      </c>
      <c r="I675">
        <f t="shared" si="87"/>
        <v>1</v>
      </c>
      <c r="J675">
        <v>0</v>
      </c>
      <c r="K675" t="s">
        <v>3123</v>
      </c>
      <c r="L675" t="s">
        <v>3124</v>
      </c>
      <c r="M675" t="s">
        <v>27</v>
      </c>
      <c r="N675" t="s">
        <v>27</v>
      </c>
      <c r="O675">
        <v>2.75</v>
      </c>
      <c r="P675" t="s">
        <v>27</v>
      </c>
      <c r="Q675" t="s">
        <v>27</v>
      </c>
      <c r="R675">
        <v>1.2300000190734901</v>
      </c>
      <c r="S675">
        <v>2.3125</v>
      </c>
      <c r="T675">
        <v>37.003036499023402</v>
      </c>
      <c r="U675">
        <v>22.121458053588899</v>
      </c>
      <c r="V675">
        <v>9569999</v>
      </c>
      <c r="W675">
        <v>-8.1131906509399396</v>
      </c>
      <c r="X675">
        <v>-1.08000004291534</v>
      </c>
      <c r="Y675">
        <v>-110.40000152587901</v>
      </c>
      <c r="Z675">
        <v>-88.3211669921875</v>
      </c>
      <c r="AA675">
        <v>59824000</v>
      </c>
      <c r="AB675" t="s">
        <v>27</v>
      </c>
      <c r="AC675" t="s">
        <v>27</v>
      </c>
      <c r="AD675">
        <v>-0.33000001311302202</v>
      </c>
      <c r="AE675">
        <v>60.670440673828097</v>
      </c>
      <c r="AF675">
        <v>7.5750032498798801</v>
      </c>
      <c r="AG675">
        <v>59824000</v>
      </c>
      <c r="AH675">
        <v>40.233097076416001</v>
      </c>
      <c r="AI675">
        <v>-14.667332649231</v>
      </c>
    </row>
    <row r="676" spans="1:35">
      <c r="A676">
        <f t="shared" si="80"/>
        <v>1</v>
      </c>
      <c r="B676">
        <f t="shared" si="81"/>
        <v>0</v>
      </c>
      <c r="C676">
        <f t="shared" si="82"/>
        <v>1</v>
      </c>
      <c r="D676">
        <f t="shared" si="83"/>
        <v>1</v>
      </c>
      <c r="E676">
        <f t="shared" si="84"/>
        <v>0</v>
      </c>
      <c r="F676">
        <f t="shared" si="85"/>
        <v>1</v>
      </c>
      <c r="G676">
        <f t="shared" si="86"/>
        <v>0</v>
      </c>
      <c r="H676">
        <v>0</v>
      </c>
      <c r="I676">
        <f t="shared" si="87"/>
        <v>0</v>
      </c>
      <c r="J676">
        <v>0</v>
      </c>
      <c r="K676" t="s">
        <v>3127</v>
      </c>
      <c r="L676" t="s">
        <v>3128</v>
      </c>
      <c r="M676" t="s">
        <v>27</v>
      </c>
      <c r="N676" t="s">
        <v>27</v>
      </c>
      <c r="O676">
        <v>11.19</v>
      </c>
      <c r="P676" t="s">
        <v>27</v>
      </c>
      <c r="Q676" t="s">
        <v>27</v>
      </c>
      <c r="R676">
        <v>14.1499996185303</v>
      </c>
      <c r="S676">
        <v>10.6595974125</v>
      </c>
      <c r="T676">
        <v>31.774234771728501</v>
      </c>
      <c r="U676" t="s">
        <v>27</v>
      </c>
      <c r="V676" t="s">
        <v>27</v>
      </c>
      <c r="W676" t="s">
        <v>27</v>
      </c>
      <c r="X676">
        <v>0.17000000178813901</v>
      </c>
      <c r="Y676">
        <v>12.7785243988037</v>
      </c>
      <c r="Z676">
        <v>14.275093078613301</v>
      </c>
      <c r="AA676">
        <v>25916000</v>
      </c>
      <c r="AB676" t="s">
        <v>83</v>
      </c>
      <c r="AC676" t="s">
        <v>84</v>
      </c>
      <c r="AD676">
        <v>0.18999999761581399</v>
      </c>
      <c r="AE676" t="s">
        <v>27</v>
      </c>
      <c r="AF676">
        <v>9.5810646522122997</v>
      </c>
      <c r="AG676">
        <v>29374700</v>
      </c>
      <c r="AH676">
        <v>7.1397027969360396</v>
      </c>
      <c r="AI676">
        <v>9.8663396835327095</v>
      </c>
    </row>
    <row r="677" spans="1:35">
      <c r="A677">
        <f t="shared" ref="A677:A738" si="88">IF(AH677&lt;T677,1,0)</f>
        <v>0</v>
      </c>
      <c r="B677">
        <f t="shared" ref="B677:B738" si="89">IF(AI677&gt;W677,1,0)</f>
        <v>1</v>
      </c>
      <c r="C677">
        <f t="shared" ref="C677:C738" si="90">IF(V677&gt;0,1,0)</f>
        <v>0</v>
      </c>
      <c r="D677">
        <f t="shared" ref="D677:D738" si="91">IF(AD677&gt;X677,1,0)</f>
        <v>0</v>
      </c>
      <c r="E677">
        <f t="shared" ref="E677:E738" si="92">IF(AA677=AG677,1,0)</f>
        <v>0</v>
      </c>
      <c r="F677">
        <f t="shared" ref="F677:F738" si="93">IF(AI677&gt;0,1,0)</f>
        <v>0</v>
      </c>
      <c r="G677">
        <f t="shared" ref="G677:G738" si="94">IF(AE677&gt;U677,1,0)</f>
        <v>1</v>
      </c>
      <c r="H677">
        <v>0</v>
      </c>
      <c r="I677">
        <f t="shared" ref="I677:I738" si="95">IF(((O677-R677)/R677)&gt;0.075,1,0)</f>
        <v>0</v>
      </c>
      <c r="J677">
        <v>0</v>
      </c>
      <c r="K677" t="s">
        <v>3133</v>
      </c>
      <c r="L677" t="s">
        <v>3134</v>
      </c>
      <c r="M677" t="s">
        <v>27</v>
      </c>
      <c r="N677" t="s">
        <v>27</v>
      </c>
      <c r="O677">
        <v>1.62</v>
      </c>
      <c r="P677" t="s">
        <v>27</v>
      </c>
      <c r="Q677" t="s">
        <v>27</v>
      </c>
      <c r="R677">
        <v>6.8400001525878897</v>
      </c>
      <c r="S677">
        <v>20.4375</v>
      </c>
      <c r="T677">
        <v>1.0485490560531601</v>
      </c>
      <c r="U677">
        <v>-115.03645324707</v>
      </c>
      <c r="V677">
        <v>-15770000</v>
      </c>
      <c r="W677">
        <v>-69.629463195800795</v>
      </c>
      <c r="X677">
        <v>-0.21999999880790699</v>
      </c>
      <c r="Y677" t="s">
        <v>27</v>
      </c>
      <c r="Z677">
        <v>-19.142856597900401</v>
      </c>
      <c r="AA677">
        <v>24407624</v>
      </c>
      <c r="AB677" t="s">
        <v>73</v>
      </c>
      <c r="AC677" t="s">
        <v>177</v>
      </c>
      <c r="AD677">
        <v>-1.37000000476837</v>
      </c>
      <c r="AE677">
        <v>39.107223510742202</v>
      </c>
      <c r="AF677" t="s">
        <v>27</v>
      </c>
      <c r="AG677">
        <v>37358000</v>
      </c>
      <c r="AH677">
        <v>1.3123689889907799</v>
      </c>
      <c r="AI677">
        <v>-33.554405212402301</v>
      </c>
    </row>
    <row r="678" spans="1:35">
      <c r="A678">
        <f t="shared" si="88"/>
        <v>1</v>
      </c>
      <c r="B678">
        <f t="shared" si="89"/>
        <v>0</v>
      </c>
      <c r="C678">
        <f t="shared" si="90"/>
        <v>1</v>
      </c>
      <c r="D678">
        <f t="shared" si="91"/>
        <v>1</v>
      </c>
      <c r="E678">
        <f t="shared" si="92"/>
        <v>0</v>
      </c>
      <c r="F678">
        <f t="shared" si="93"/>
        <v>0</v>
      </c>
      <c r="G678">
        <f t="shared" si="94"/>
        <v>0</v>
      </c>
      <c r="H678">
        <v>0</v>
      </c>
      <c r="I678">
        <f t="shared" si="95"/>
        <v>0</v>
      </c>
      <c r="J678">
        <v>0</v>
      </c>
      <c r="K678" t="s">
        <v>3139</v>
      </c>
      <c r="L678" t="s">
        <v>3140</v>
      </c>
      <c r="M678" t="s">
        <v>27</v>
      </c>
      <c r="N678" t="s">
        <v>27</v>
      </c>
      <c r="O678">
        <v>3.31</v>
      </c>
      <c r="P678" t="s">
        <v>27</v>
      </c>
      <c r="Q678" t="s">
        <v>27</v>
      </c>
      <c r="R678">
        <v>5.0999999046325701</v>
      </c>
      <c r="S678">
        <v>3.8499999046325701</v>
      </c>
      <c r="T678">
        <v>24.826412200927699</v>
      </c>
      <c r="U678">
        <v>11.671536445617701</v>
      </c>
      <c r="V678">
        <v>42194000</v>
      </c>
      <c r="W678">
        <v>-0.247001007199287</v>
      </c>
      <c r="X678">
        <v>-0.18000000715255701</v>
      </c>
      <c r="Y678">
        <v>10.6666669845581</v>
      </c>
      <c r="Z678">
        <v>8.4717607498168892</v>
      </c>
      <c r="AA678">
        <v>272290976</v>
      </c>
      <c r="AB678" t="s">
        <v>30</v>
      </c>
      <c r="AC678" t="s">
        <v>945</v>
      </c>
      <c r="AD678">
        <v>1.9999999552965199E-2</v>
      </c>
      <c r="AE678">
        <v>11.4959506988525</v>
      </c>
      <c r="AF678">
        <v>6.3888331647583998</v>
      </c>
      <c r="AG678">
        <v>291372000</v>
      </c>
      <c r="AH678">
        <v>20.7693901062012</v>
      </c>
      <c r="AI678">
        <v>-10.391248703002899</v>
      </c>
    </row>
    <row r="679" spans="1:35">
      <c r="A679">
        <f t="shared" si="88"/>
        <v>1</v>
      </c>
      <c r="B679">
        <f t="shared" si="89"/>
        <v>1</v>
      </c>
      <c r="C679">
        <f t="shared" si="90"/>
        <v>0</v>
      </c>
      <c r="D679">
        <f t="shared" si="91"/>
        <v>0</v>
      </c>
      <c r="E679">
        <f t="shared" si="92"/>
        <v>0</v>
      </c>
      <c r="F679">
        <f t="shared" si="93"/>
        <v>0</v>
      </c>
      <c r="G679">
        <f t="shared" si="94"/>
        <v>0</v>
      </c>
      <c r="H679">
        <v>0</v>
      </c>
      <c r="I679">
        <f t="shared" si="95"/>
        <v>0</v>
      </c>
      <c r="J679">
        <v>0</v>
      </c>
      <c r="K679" t="s">
        <v>3152</v>
      </c>
      <c r="L679" t="s">
        <v>3153</v>
      </c>
      <c r="M679" t="s">
        <v>27</v>
      </c>
      <c r="N679" t="s">
        <v>27</v>
      </c>
      <c r="O679">
        <v>4.9000000000000004</v>
      </c>
      <c r="P679" t="s">
        <v>27</v>
      </c>
      <c r="Q679" t="s">
        <v>27</v>
      </c>
      <c r="R679">
        <v>38.849998474121101</v>
      </c>
      <c r="S679">
        <v>19.9375</v>
      </c>
      <c r="T679">
        <v>4.3900780677795401</v>
      </c>
      <c r="U679" t="s">
        <v>27</v>
      </c>
      <c r="V679">
        <v>-22234000</v>
      </c>
      <c r="W679">
        <v>-26.680030822753899</v>
      </c>
      <c r="X679">
        <v>-0.33000001311302202</v>
      </c>
      <c r="Y679">
        <v>-4.41219186782837</v>
      </c>
      <c r="Z679">
        <v>-11.274870872497599</v>
      </c>
      <c r="AA679">
        <v>22693000</v>
      </c>
      <c r="AB679" t="s">
        <v>27</v>
      </c>
      <c r="AC679" t="s">
        <v>27</v>
      </c>
      <c r="AD679">
        <v>-0.60000002384185802</v>
      </c>
      <c r="AE679" t="s">
        <v>27</v>
      </c>
      <c r="AF679" t="s">
        <v>27</v>
      </c>
      <c r="AG679">
        <v>26427000</v>
      </c>
      <c r="AH679">
        <v>3.1063039302825901</v>
      </c>
      <c r="AI679">
        <v>-20.9237957000732</v>
      </c>
    </row>
    <row r="680" spans="1:35">
      <c r="A680">
        <f t="shared" si="88"/>
        <v>1</v>
      </c>
      <c r="B680">
        <f t="shared" si="89"/>
        <v>1</v>
      </c>
      <c r="C680">
        <f t="shared" si="90"/>
        <v>0</v>
      </c>
      <c r="D680">
        <f t="shared" si="91"/>
        <v>0</v>
      </c>
      <c r="E680">
        <f t="shared" si="92"/>
        <v>0</v>
      </c>
      <c r="F680">
        <f t="shared" si="93"/>
        <v>0</v>
      </c>
      <c r="G680">
        <f t="shared" si="94"/>
        <v>0</v>
      </c>
      <c r="H680">
        <v>0</v>
      </c>
      <c r="I680">
        <f t="shared" si="95"/>
        <v>0</v>
      </c>
      <c r="J680">
        <v>0</v>
      </c>
      <c r="K680" t="s">
        <v>3154</v>
      </c>
      <c r="L680" t="s">
        <v>3155</v>
      </c>
      <c r="M680" t="s">
        <v>27</v>
      </c>
      <c r="N680" t="s">
        <v>27</v>
      </c>
      <c r="O680">
        <v>22.28</v>
      </c>
      <c r="P680" t="s">
        <v>27</v>
      </c>
      <c r="Q680" t="s">
        <v>27</v>
      </c>
      <c r="R680">
        <v>30</v>
      </c>
      <c r="S680">
        <v>40.4375</v>
      </c>
      <c r="T680">
        <v>2.01771211624146</v>
      </c>
      <c r="U680" t="s">
        <v>27</v>
      </c>
      <c r="V680">
        <v>-13737000</v>
      </c>
      <c r="W680">
        <v>-63.0608940124512</v>
      </c>
      <c r="X680">
        <v>-0.30000001192092901</v>
      </c>
      <c r="Y680">
        <v>-2.1922650337219198</v>
      </c>
      <c r="Z680">
        <v>-4.5833330154418901</v>
      </c>
      <c r="AA680">
        <v>25039830</v>
      </c>
      <c r="AB680" t="s">
        <v>73</v>
      </c>
      <c r="AC680" t="s">
        <v>141</v>
      </c>
      <c r="AD680">
        <v>-0.46999999880790699</v>
      </c>
      <c r="AE680" t="s">
        <v>27</v>
      </c>
      <c r="AF680" t="s">
        <v>27</v>
      </c>
      <c r="AG680">
        <v>30039000</v>
      </c>
      <c r="AH680">
        <v>2.4709999561309801E-3</v>
      </c>
      <c r="AI680">
        <v>-19.21510887146</v>
      </c>
    </row>
    <row r="681" spans="1:35">
      <c r="A681">
        <f t="shared" si="88"/>
        <v>1</v>
      </c>
      <c r="B681">
        <f t="shared" si="89"/>
        <v>0</v>
      </c>
      <c r="C681">
        <f t="shared" si="90"/>
        <v>1</v>
      </c>
      <c r="D681">
        <f t="shared" si="91"/>
        <v>0</v>
      </c>
      <c r="E681">
        <f t="shared" si="92"/>
        <v>0</v>
      </c>
      <c r="F681">
        <f t="shared" si="93"/>
        <v>1</v>
      </c>
      <c r="G681">
        <f t="shared" si="94"/>
        <v>0</v>
      </c>
      <c r="H681">
        <v>0</v>
      </c>
      <c r="I681">
        <f t="shared" si="95"/>
        <v>0</v>
      </c>
      <c r="J681">
        <v>0</v>
      </c>
      <c r="K681" t="s">
        <v>3156</v>
      </c>
      <c r="L681" t="s">
        <v>3157</v>
      </c>
      <c r="M681" t="s">
        <v>27</v>
      </c>
      <c r="N681" t="s">
        <v>27</v>
      </c>
      <c r="O681">
        <v>13.03</v>
      </c>
      <c r="P681" t="s">
        <v>27</v>
      </c>
      <c r="Q681" t="s">
        <v>27</v>
      </c>
      <c r="R681">
        <v>14.050000190734901</v>
      </c>
      <c r="S681">
        <v>8.625</v>
      </c>
      <c r="T681" t="s">
        <v>27</v>
      </c>
      <c r="U681" t="s">
        <v>27</v>
      </c>
      <c r="V681">
        <v>651999.9375</v>
      </c>
      <c r="W681">
        <v>8.4347038269043004</v>
      </c>
      <c r="X681" t="s">
        <v>27</v>
      </c>
      <c r="Y681" t="s">
        <v>27</v>
      </c>
      <c r="Z681">
        <v>11.0112361907959</v>
      </c>
      <c r="AA681" t="s">
        <v>27</v>
      </c>
      <c r="AB681" t="s">
        <v>30</v>
      </c>
      <c r="AC681" t="s">
        <v>68</v>
      </c>
      <c r="AD681">
        <v>0.37999999523162797</v>
      </c>
      <c r="AE681">
        <v>29.502799987793001</v>
      </c>
      <c r="AF681">
        <v>4.9557470646183299</v>
      </c>
      <c r="AG681">
        <v>12214000</v>
      </c>
      <c r="AH681">
        <v>20.6209621429443</v>
      </c>
      <c r="AI681">
        <v>5.5527629852294904</v>
      </c>
    </row>
    <row r="682" spans="1:35">
      <c r="A682">
        <f t="shared" si="88"/>
        <v>1</v>
      </c>
      <c r="B682">
        <f t="shared" si="89"/>
        <v>0</v>
      </c>
      <c r="C682">
        <f t="shared" si="90"/>
        <v>0</v>
      </c>
      <c r="D682">
        <f t="shared" si="91"/>
        <v>1</v>
      </c>
      <c r="E682">
        <f t="shared" si="92"/>
        <v>0</v>
      </c>
      <c r="F682">
        <f t="shared" si="93"/>
        <v>0</v>
      </c>
      <c r="G682">
        <f t="shared" si="94"/>
        <v>0</v>
      </c>
      <c r="H682">
        <v>0</v>
      </c>
      <c r="I682">
        <f t="shared" si="95"/>
        <v>0</v>
      </c>
      <c r="J682">
        <v>0</v>
      </c>
      <c r="K682" t="s">
        <v>3158</v>
      </c>
      <c r="L682" t="s">
        <v>3159</v>
      </c>
      <c r="M682" t="s">
        <v>27</v>
      </c>
      <c r="N682" t="s">
        <v>27</v>
      </c>
      <c r="O682">
        <v>11.25</v>
      </c>
      <c r="P682">
        <v>5.2934808731079102</v>
      </c>
      <c r="Q682" t="s">
        <v>27</v>
      </c>
      <c r="R682">
        <v>12.1599998474121</v>
      </c>
      <c r="S682">
        <v>10.9899997711182</v>
      </c>
      <c r="T682">
        <v>41.020702362060497</v>
      </c>
      <c r="U682">
        <v>23.9122009277344</v>
      </c>
      <c r="V682">
        <v>-31208000</v>
      </c>
      <c r="W682">
        <v>6.1783652305603001</v>
      </c>
      <c r="X682">
        <v>-0.28999999165535001</v>
      </c>
      <c r="Y682">
        <v>30.791488647460898</v>
      </c>
      <c r="Z682">
        <v>8.1904764175415004</v>
      </c>
      <c r="AA682">
        <v>28699000</v>
      </c>
      <c r="AB682" t="s">
        <v>27</v>
      </c>
      <c r="AC682" t="s">
        <v>27</v>
      </c>
      <c r="AD682">
        <v>-0.18000000715255701</v>
      </c>
      <c r="AE682">
        <v>22.306592941284201</v>
      </c>
      <c r="AF682">
        <v>4.6386634831083997</v>
      </c>
      <c r="AG682">
        <v>28749000</v>
      </c>
      <c r="AH682">
        <v>40.365734100341797</v>
      </c>
      <c r="AI682">
        <v>-0.798669993877411</v>
      </c>
    </row>
    <row r="683" spans="1:35">
      <c r="A683">
        <f t="shared" si="88"/>
        <v>0</v>
      </c>
      <c r="B683">
        <f t="shared" si="89"/>
        <v>1</v>
      </c>
      <c r="C683">
        <f t="shared" si="90"/>
        <v>0</v>
      </c>
      <c r="D683">
        <f t="shared" si="91"/>
        <v>0</v>
      </c>
      <c r="E683">
        <f t="shared" si="92"/>
        <v>0</v>
      </c>
      <c r="F683">
        <f t="shared" si="93"/>
        <v>0</v>
      </c>
      <c r="G683">
        <f t="shared" si="94"/>
        <v>1</v>
      </c>
      <c r="H683">
        <v>0</v>
      </c>
      <c r="I683">
        <f t="shared" si="95"/>
        <v>0</v>
      </c>
      <c r="J683">
        <v>0</v>
      </c>
      <c r="K683" t="s">
        <v>3166</v>
      </c>
      <c r="L683" t="s">
        <v>3167</v>
      </c>
      <c r="M683" t="s">
        <v>27</v>
      </c>
      <c r="N683" t="s">
        <v>27</v>
      </c>
      <c r="O683">
        <v>1.29</v>
      </c>
      <c r="P683" t="s">
        <v>27</v>
      </c>
      <c r="Q683" t="s">
        <v>27</v>
      </c>
      <c r="R683">
        <v>2.9000000953674299</v>
      </c>
      <c r="S683">
        <v>3.9700000286102299</v>
      </c>
      <c r="T683">
        <v>24.7205810546875</v>
      </c>
      <c r="U683">
        <v>33.591110229492202</v>
      </c>
      <c r="V683">
        <v>-42954000</v>
      </c>
      <c r="W683">
        <v>-35.853038787841797</v>
      </c>
      <c r="X683">
        <v>-0.259999990463257</v>
      </c>
      <c r="Y683">
        <v>-22</v>
      </c>
      <c r="Z683">
        <v>-396.76089477539102</v>
      </c>
      <c r="AA683">
        <v>191308448</v>
      </c>
      <c r="AB683" t="s">
        <v>27</v>
      </c>
      <c r="AC683" t="s">
        <v>27</v>
      </c>
      <c r="AD683">
        <v>-0.36000001430511502</v>
      </c>
      <c r="AE683">
        <v>45.7982788085938</v>
      </c>
      <c r="AF683">
        <v>26.2441296319789</v>
      </c>
      <c r="AG683">
        <v>194161440</v>
      </c>
      <c r="AH683">
        <v>29.761081695556602</v>
      </c>
      <c r="AI683">
        <v>-31.582645416259801</v>
      </c>
    </row>
    <row r="684" spans="1:35">
      <c r="A684">
        <f t="shared" si="88"/>
        <v>0</v>
      </c>
      <c r="B684">
        <f t="shared" si="89"/>
        <v>0</v>
      </c>
      <c r="C684">
        <f t="shared" si="90"/>
        <v>0</v>
      </c>
      <c r="D684">
        <f t="shared" si="91"/>
        <v>0</v>
      </c>
      <c r="E684">
        <f t="shared" si="92"/>
        <v>0</v>
      </c>
      <c r="F684">
        <f t="shared" si="93"/>
        <v>0</v>
      </c>
      <c r="G684">
        <f t="shared" si="94"/>
        <v>0</v>
      </c>
      <c r="H684">
        <v>0</v>
      </c>
      <c r="I684">
        <f t="shared" si="95"/>
        <v>0</v>
      </c>
      <c r="J684">
        <v>0</v>
      </c>
      <c r="K684" t="s">
        <v>3168</v>
      </c>
      <c r="L684" t="s">
        <v>3169</v>
      </c>
      <c r="M684" t="s">
        <v>27</v>
      </c>
      <c r="N684" t="s">
        <v>27</v>
      </c>
      <c r="O684">
        <v>5.3</v>
      </c>
      <c r="P684" t="s">
        <v>27</v>
      </c>
      <c r="Q684" t="s">
        <v>27</v>
      </c>
      <c r="R684">
        <v>7.2699999809265101</v>
      </c>
      <c r="S684">
        <v>7.125</v>
      </c>
      <c r="T684">
        <v>0.65011900663375899</v>
      </c>
      <c r="U684">
        <v>62.321949005127003</v>
      </c>
      <c r="V684">
        <v>-3802000</v>
      </c>
      <c r="W684">
        <v>-18.525676727294901</v>
      </c>
      <c r="X684">
        <v>-0.28000000119209301</v>
      </c>
      <c r="Y684">
        <v>0.24181400239467599</v>
      </c>
      <c r="Z684">
        <v>-8.6124401092529297</v>
      </c>
      <c r="AA684">
        <v>53800000</v>
      </c>
      <c r="AB684" t="s">
        <v>38</v>
      </c>
      <c r="AC684" t="s">
        <v>118</v>
      </c>
      <c r="AD684">
        <v>-0.50999999046325695</v>
      </c>
      <c r="AE684">
        <v>49.234928131103501</v>
      </c>
      <c r="AF684" t="s">
        <v>27</v>
      </c>
      <c r="AG684">
        <v>63138000</v>
      </c>
      <c r="AH684">
        <v>4.8025059700012198</v>
      </c>
      <c r="AI684">
        <v>-27.8359279632568</v>
      </c>
    </row>
    <row r="685" spans="1:35">
      <c r="A685">
        <f t="shared" si="88"/>
        <v>1</v>
      </c>
      <c r="B685">
        <f t="shared" si="89"/>
        <v>0</v>
      </c>
      <c r="C685">
        <f t="shared" si="90"/>
        <v>1</v>
      </c>
      <c r="D685">
        <f t="shared" si="91"/>
        <v>0</v>
      </c>
      <c r="E685">
        <f t="shared" si="92"/>
        <v>0</v>
      </c>
      <c r="F685">
        <f t="shared" si="93"/>
        <v>0</v>
      </c>
      <c r="G685">
        <f t="shared" si="94"/>
        <v>0</v>
      </c>
      <c r="H685">
        <v>0</v>
      </c>
      <c r="I685">
        <f t="shared" si="95"/>
        <v>0</v>
      </c>
      <c r="J685">
        <v>0</v>
      </c>
      <c r="K685" t="s">
        <v>3170</v>
      </c>
      <c r="L685" t="s">
        <v>3171</v>
      </c>
      <c r="M685" t="s">
        <v>27</v>
      </c>
      <c r="N685" t="s">
        <v>27</v>
      </c>
      <c r="O685">
        <v>24.64</v>
      </c>
      <c r="P685" t="s">
        <v>27</v>
      </c>
      <c r="Q685" t="s">
        <v>27</v>
      </c>
      <c r="R685">
        <v>30.799999237060501</v>
      </c>
      <c r="S685">
        <v>20.125</v>
      </c>
      <c r="T685">
        <v>2.95823407173157</v>
      </c>
      <c r="U685">
        <v>65.242568969726605</v>
      </c>
      <c r="V685">
        <v>5574000</v>
      </c>
      <c r="W685">
        <v>12.3607788085938</v>
      </c>
      <c r="X685">
        <v>5.9999998658895499E-2</v>
      </c>
      <c r="Y685">
        <v>2.9913039207458501</v>
      </c>
      <c r="Z685">
        <v>-0.117542997002602</v>
      </c>
      <c r="AA685">
        <v>48117000</v>
      </c>
      <c r="AB685" t="s">
        <v>38</v>
      </c>
      <c r="AC685" t="s">
        <v>118</v>
      </c>
      <c r="AD685">
        <v>9.9999997764825804E-3</v>
      </c>
      <c r="AE685">
        <v>59.364795684814503</v>
      </c>
      <c r="AF685">
        <v>22.554850472117199</v>
      </c>
      <c r="AG685">
        <v>48640000</v>
      </c>
      <c r="AH685">
        <v>2.3458669185638401</v>
      </c>
      <c r="AI685">
        <v>-27.631641387939499</v>
      </c>
    </row>
    <row r="686" spans="1:35">
      <c r="A686">
        <f t="shared" si="88"/>
        <v>0</v>
      </c>
      <c r="B686">
        <f t="shared" si="89"/>
        <v>0</v>
      </c>
      <c r="C686">
        <f t="shared" si="90"/>
        <v>1</v>
      </c>
      <c r="D686">
        <f t="shared" si="91"/>
        <v>0</v>
      </c>
      <c r="E686">
        <f t="shared" si="92"/>
        <v>0</v>
      </c>
      <c r="F686">
        <f t="shared" si="93"/>
        <v>1</v>
      </c>
      <c r="G686">
        <f t="shared" si="94"/>
        <v>0</v>
      </c>
      <c r="H686">
        <v>0</v>
      </c>
      <c r="I686">
        <f t="shared" si="95"/>
        <v>1</v>
      </c>
      <c r="J686">
        <v>0</v>
      </c>
      <c r="K686" t="s">
        <v>3180</v>
      </c>
      <c r="L686" t="s">
        <v>3181</v>
      </c>
      <c r="M686" t="s">
        <v>27</v>
      </c>
      <c r="N686" t="s">
        <v>27</v>
      </c>
      <c r="O686">
        <v>11.32</v>
      </c>
      <c r="P686" t="s">
        <v>27</v>
      </c>
      <c r="Q686" t="s">
        <v>27</v>
      </c>
      <c r="R686">
        <v>10</v>
      </c>
      <c r="S686">
        <v>11.1875</v>
      </c>
      <c r="T686">
        <v>49.518829345703097</v>
      </c>
      <c r="U686">
        <v>84.254333496093807</v>
      </c>
      <c r="V686">
        <v>12214001</v>
      </c>
      <c r="W686" t="s">
        <v>27</v>
      </c>
      <c r="X686">
        <v>1.8200000524520901</v>
      </c>
      <c r="Y686" t="s">
        <v>27</v>
      </c>
      <c r="Z686" t="s">
        <v>27</v>
      </c>
      <c r="AA686">
        <v>96751000</v>
      </c>
      <c r="AB686" t="s">
        <v>30</v>
      </c>
      <c r="AC686" t="s">
        <v>92</v>
      </c>
      <c r="AD686">
        <v>0.64999997615814198</v>
      </c>
      <c r="AE686">
        <v>81.002479553222699</v>
      </c>
      <c r="AF686" t="s">
        <v>27</v>
      </c>
      <c r="AG686">
        <v>84512000</v>
      </c>
      <c r="AH686">
        <v>53.7581596374512</v>
      </c>
      <c r="AI686" t="s">
        <v>27</v>
      </c>
    </row>
    <row r="687" spans="1:35">
      <c r="A687">
        <f t="shared" si="88"/>
        <v>1</v>
      </c>
      <c r="B687">
        <f t="shared" si="89"/>
        <v>0</v>
      </c>
      <c r="C687">
        <f t="shared" si="90"/>
        <v>0</v>
      </c>
      <c r="D687">
        <f t="shared" si="91"/>
        <v>0</v>
      </c>
      <c r="E687">
        <f t="shared" si="92"/>
        <v>0</v>
      </c>
      <c r="F687">
        <f t="shared" si="93"/>
        <v>1</v>
      </c>
      <c r="G687">
        <f t="shared" si="94"/>
        <v>0</v>
      </c>
      <c r="H687">
        <v>0</v>
      </c>
      <c r="I687">
        <f t="shared" si="95"/>
        <v>1</v>
      </c>
      <c r="J687">
        <v>0</v>
      </c>
      <c r="K687" t="s">
        <v>3182</v>
      </c>
      <c r="L687" t="s">
        <v>3183</v>
      </c>
      <c r="M687" t="s">
        <v>27</v>
      </c>
      <c r="N687" t="s">
        <v>27</v>
      </c>
      <c r="O687">
        <v>52.35</v>
      </c>
      <c r="P687">
        <v>4.8074159622192401</v>
      </c>
      <c r="Q687" t="s">
        <v>27</v>
      </c>
      <c r="R687">
        <v>38.75</v>
      </c>
      <c r="S687">
        <v>58.5</v>
      </c>
      <c r="T687">
        <v>45.295219421386697</v>
      </c>
      <c r="U687">
        <v>58.197292327880902</v>
      </c>
      <c r="V687">
        <v>-12270000</v>
      </c>
      <c r="W687">
        <v>3.2365739345550502</v>
      </c>
      <c r="X687">
        <v>-0.10000000149011599</v>
      </c>
      <c r="Y687">
        <v>4.4444441795349103</v>
      </c>
      <c r="Z687">
        <v>-1.51923096179962</v>
      </c>
      <c r="AA687">
        <v>8558000</v>
      </c>
      <c r="AB687" t="s">
        <v>27</v>
      </c>
      <c r="AC687" t="s">
        <v>27</v>
      </c>
      <c r="AD687">
        <v>-0.43000000715255698</v>
      </c>
      <c r="AE687">
        <v>49.333789825439503</v>
      </c>
      <c r="AF687">
        <v>22.815819388223801</v>
      </c>
      <c r="AG687">
        <v>8592000</v>
      </c>
      <c r="AH687">
        <v>44.867996215820298</v>
      </c>
      <c r="AI687">
        <v>2.1926848888397199</v>
      </c>
    </row>
    <row r="688" spans="1:35">
      <c r="A688">
        <f t="shared" si="88"/>
        <v>0</v>
      </c>
      <c r="B688">
        <f t="shared" si="89"/>
        <v>0</v>
      </c>
      <c r="C688">
        <f t="shared" si="90"/>
        <v>0</v>
      </c>
      <c r="D688">
        <f t="shared" si="91"/>
        <v>1</v>
      </c>
      <c r="E688">
        <f t="shared" si="92"/>
        <v>0</v>
      </c>
      <c r="F688">
        <f t="shared" si="93"/>
        <v>1</v>
      </c>
      <c r="G688">
        <f t="shared" si="94"/>
        <v>1</v>
      </c>
      <c r="H688">
        <v>0</v>
      </c>
      <c r="I688">
        <f t="shared" si="95"/>
        <v>0</v>
      </c>
      <c r="J688">
        <v>0</v>
      </c>
      <c r="K688" t="s">
        <v>3184</v>
      </c>
      <c r="L688" t="s">
        <v>3185</v>
      </c>
      <c r="M688" t="s">
        <v>27</v>
      </c>
      <c r="N688" t="s">
        <v>27</v>
      </c>
      <c r="O688">
        <v>2.98</v>
      </c>
      <c r="P688" t="s">
        <v>27</v>
      </c>
      <c r="Q688" t="s">
        <v>27</v>
      </c>
      <c r="R688">
        <v>11.050000190734901</v>
      </c>
      <c r="S688">
        <v>14.25</v>
      </c>
      <c r="T688">
        <v>0</v>
      </c>
      <c r="U688">
        <v>40.8165092468262</v>
      </c>
      <c r="V688">
        <v>-10115000</v>
      </c>
      <c r="W688" t="s">
        <v>27</v>
      </c>
      <c r="X688">
        <v>0.119999997317791</v>
      </c>
      <c r="Y688">
        <v>5.49743604660034</v>
      </c>
      <c r="Z688">
        <v>1.0460619926452599</v>
      </c>
      <c r="AA688">
        <v>18098000</v>
      </c>
      <c r="AB688" t="s">
        <v>27</v>
      </c>
      <c r="AC688" t="s">
        <v>27</v>
      </c>
      <c r="AD688">
        <v>0.20999999344348899</v>
      </c>
      <c r="AE688">
        <v>42.507907867431598</v>
      </c>
      <c r="AF688" t="s">
        <v>27</v>
      </c>
      <c r="AG688">
        <v>22382000</v>
      </c>
      <c r="AH688">
        <v>1.50977003574371</v>
      </c>
      <c r="AI688">
        <v>5.3621349334716797</v>
      </c>
    </row>
    <row r="689" spans="1:35">
      <c r="A689">
        <f t="shared" si="88"/>
        <v>0</v>
      </c>
      <c r="B689">
        <f t="shared" si="89"/>
        <v>0</v>
      </c>
      <c r="C689">
        <f t="shared" si="90"/>
        <v>0</v>
      </c>
      <c r="D689">
        <f t="shared" si="91"/>
        <v>1</v>
      </c>
      <c r="E689">
        <f t="shared" si="92"/>
        <v>0</v>
      </c>
      <c r="F689">
        <f t="shared" si="93"/>
        <v>0</v>
      </c>
      <c r="G689">
        <f t="shared" si="94"/>
        <v>0</v>
      </c>
      <c r="H689">
        <v>0</v>
      </c>
      <c r="I689">
        <f t="shared" si="95"/>
        <v>0</v>
      </c>
      <c r="J689">
        <v>0</v>
      </c>
      <c r="K689" t="s">
        <v>3186</v>
      </c>
      <c r="L689" t="s">
        <v>3187</v>
      </c>
      <c r="M689" t="s">
        <v>27</v>
      </c>
      <c r="N689" t="s">
        <v>27</v>
      </c>
      <c r="O689">
        <v>1.1599999999999999</v>
      </c>
      <c r="P689" t="s">
        <v>27</v>
      </c>
      <c r="Q689" t="s">
        <v>27</v>
      </c>
      <c r="R689">
        <v>6.2300000190734899</v>
      </c>
      <c r="S689">
        <v>31.625</v>
      </c>
      <c r="T689">
        <v>34.3596382141113</v>
      </c>
      <c r="U689" t="s">
        <v>27</v>
      </c>
      <c r="V689">
        <v>-51847000</v>
      </c>
      <c r="W689">
        <v>-6.7897620201110804</v>
      </c>
      <c r="X689">
        <v>-970</v>
      </c>
      <c r="Y689">
        <v>-1841.36169433594</v>
      </c>
      <c r="Z689">
        <v>-140.11141967773401</v>
      </c>
      <c r="AA689">
        <v>42098792</v>
      </c>
      <c r="AB689" t="s">
        <v>30</v>
      </c>
      <c r="AC689" t="s">
        <v>92</v>
      </c>
      <c r="AD689">
        <v>-1.0599999427795399</v>
      </c>
      <c r="AE689" t="s">
        <v>27</v>
      </c>
      <c r="AF689" t="s">
        <v>27</v>
      </c>
      <c r="AG689">
        <v>54126000</v>
      </c>
      <c r="AH689">
        <v>40.930519104003899</v>
      </c>
      <c r="AI689">
        <v>-10.650882720947299</v>
      </c>
    </row>
    <row r="690" spans="1:35">
      <c r="A690">
        <f t="shared" si="88"/>
        <v>0</v>
      </c>
      <c r="B690">
        <f t="shared" si="89"/>
        <v>1</v>
      </c>
      <c r="C690">
        <f t="shared" si="90"/>
        <v>1</v>
      </c>
      <c r="D690">
        <f t="shared" si="91"/>
        <v>0</v>
      </c>
      <c r="E690">
        <f t="shared" si="92"/>
        <v>0</v>
      </c>
      <c r="F690">
        <f t="shared" si="93"/>
        <v>1</v>
      </c>
      <c r="G690">
        <f t="shared" si="94"/>
        <v>0</v>
      </c>
      <c r="H690">
        <v>0</v>
      </c>
      <c r="I690">
        <f t="shared" si="95"/>
        <v>0</v>
      </c>
      <c r="J690">
        <v>0</v>
      </c>
      <c r="K690" t="s">
        <v>3188</v>
      </c>
      <c r="L690" t="s">
        <v>3189</v>
      </c>
      <c r="M690" t="s">
        <v>27</v>
      </c>
      <c r="N690" t="s">
        <v>27</v>
      </c>
      <c r="O690">
        <v>1.1100000000000001</v>
      </c>
      <c r="P690">
        <v>8.4699611663818395</v>
      </c>
      <c r="Q690" t="s">
        <v>27</v>
      </c>
      <c r="R690">
        <v>1.79999995231628</v>
      </c>
      <c r="S690">
        <v>3.4400000572204599</v>
      </c>
      <c r="T690">
        <v>30.7150173187256</v>
      </c>
      <c r="U690">
        <v>47.333084106445298</v>
      </c>
      <c r="V690">
        <v>9998001</v>
      </c>
      <c r="W690">
        <v>-0.19295899569988301</v>
      </c>
      <c r="X690">
        <v>5.0000000745058101E-2</v>
      </c>
      <c r="Y690">
        <v>7.4893617630004901</v>
      </c>
      <c r="Z690">
        <v>4.4943819046020499</v>
      </c>
      <c r="AA690">
        <v>71863720</v>
      </c>
      <c r="AB690" t="s">
        <v>27</v>
      </c>
      <c r="AC690" t="s">
        <v>27</v>
      </c>
      <c r="AD690">
        <v>-7.9999998211860698E-2</v>
      </c>
      <c r="AE690">
        <v>43.7198295593262</v>
      </c>
      <c r="AF690">
        <v>1.95247261997224</v>
      </c>
      <c r="AG690">
        <v>74357000</v>
      </c>
      <c r="AH690">
        <v>32.830692291259801</v>
      </c>
      <c r="AI690">
        <v>3.1338129043579102</v>
      </c>
    </row>
    <row r="691" spans="1:35">
      <c r="A691">
        <f t="shared" si="88"/>
        <v>0</v>
      </c>
      <c r="B691">
        <f t="shared" si="89"/>
        <v>0</v>
      </c>
      <c r="C691">
        <f t="shared" si="90"/>
        <v>1</v>
      </c>
      <c r="D691">
        <f t="shared" si="91"/>
        <v>0</v>
      </c>
      <c r="E691">
        <f t="shared" si="92"/>
        <v>1</v>
      </c>
      <c r="F691">
        <f t="shared" si="93"/>
        <v>1</v>
      </c>
      <c r="G691">
        <f t="shared" si="94"/>
        <v>0</v>
      </c>
      <c r="H691">
        <v>0</v>
      </c>
      <c r="I691">
        <f t="shared" si="95"/>
        <v>0</v>
      </c>
      <c r="J691">
        <v>0</v>
      </c>
      <c r="K691" t="s">
        <v>3198</v>
      </c>
      <c r="L691" t="s">
        <v>3199</v>
      </c>
      <c r="M691" t="s">
        <v>27</v>
      </c>
      <c r="N691" t="s">
        <v>27</v>
      </c>
      <c r="O691">
        <v>6.96</v>
      </c>
      <c r="P691" t="s">
        <v>27</v>
      </c>
      <c r="Q691" t="s">
        <v>27</v>
      </c>
      <c r="R691">
        <v>21.059999465942401</v>
      </c>
      <c r="S691">
        <v>30</v>
      </c>
      <c r="T691" t="s">
        <v>27</v>
      </c>
      <c r="U691" t="s">
        <v>27</v>
      </c>
      <c r="V691" t="s">
        <v>27</v>
      </c>
      <c r="W691">
        <v>13.3302345275879</v>
      </c>
      <c r="X691" t="s">
        <v>27</v>
      </c>
      <c r="Y691" t="s">
        <v>27</v>
      </c>
      <c r="Z691" t="s">
        <v>27</v>
      </c>
      <c r="AA691" t="s">
        <v>27</v>
      </c>
      <c r="AB691" t="s">
        <v>38</v>
      </c>
      <c r="AC691" t="s">
        <v>118</v>
      </c>
      <c r="AD691" t="s">
        <v>27</v>
      </c>
      <c r="AE691" t="s">
        <v>27</v>
      </c>
      <c r="AF691" t="s">
        <v>27</v>
      </c>
      <c r="AG691" t="s">
        <v>27</v>
      </c>
      <c r="AH691" t="s">
        <v>27</v>
      </c>
      <c r="AI691">
        <v>11.196682929992701</v>
      </c>
    </row>
    <row r="692" spans="1:35">
      <c r="A692">
        <f t="shared" si="88"/>
        <v>1</v>
      </c>
      <c r="B692">
        <f t="shared" si="89"/>
        <v>1</v>
      </c>
      <c r="C692">
        <f t="shared" si="90"/>
        <v>1</v>
      </c>
      <c r="D692">
        <f t="shared" si="91"/>
        <v>0</v>
      </c>
      <c r="E692">
        <f t="shared" si="92"/>
        <v>0</v>
      </c>
      <c r="F692">
        <f t="shared" si="93"/>
        <v>1</v>
      </c>
      <c r="G692">
        <f t="shared" si="94"/>
        <v>0</v>
      </c>
      <c r="H692">
        <v>0</v>
      </c>
      <c r="I692">
        <f t="shared" si="95"/>
        <v>0</v>
      </c>
      <c r="J692">
        <v>0</v>
      </c>
      <c r="K692" t="s">
        <v>3200</v>
      </c>
      <c r="L692" t="s">
        <v>3201</v>
      </c>
      <c r="M692" t="s">
        <v>27</v>
      </c>
      <c r="N692" t="s">
        <v>27</v>
      </c>
      <c r="O692">
        <v>30.22</v>
      </c>
      <c r="P692" t="s">
        <v>27</v>
      </c>
      <c r="Q692" t="s">
        <v>27</v>
      </c>
      <c r="R692">
        <v>31.649999618530298</v>
      </c>
      <c r="S692">
        <v>27.940000534057599</v>
      </c>
      <c r="T692">
        <v>42.241256713867202</v>
      </c>
      <c r="U692" t="s">
        <v>27</v>
      </c>
      <c r="V692">
        <v>19596000</v>
      </c>
      <c r="W692">
        <v>4.6354918479919398</v>
      </c>
      <c r="X692">
        <v>0.64999997615814198</v>
      </c>
      <c r="Y692">
        <v>5.2026729583740199</v>
      </c>
      <c r="Z692">
        <v>7.1383252143859899</v>
      </c>
      <c r="AA692">
        <v>24516000</v>
      </c>
      <c r="AB692" t="s">
        <v>83</v>
      </c>
      <c r="AC692" t="s">
        <v>84</v>
      </c>
      <c r="AD692">
        <v>0.44999998807907099</v>
      </c>
      <c r="AE692" t="s">
        <v>27</v>
      </c>
      <c r="AF692">
        <v>11.762312053148699</v>
      </c>
      <c r="AG692">
        <v>29945000</v>
      </c>
      <c r="AH692">
        <v>37.115345001220703</v>
      </c>
      <c r="AI692">
        <v>7.7241668701171902</v>
      </c>
    </row>
    <row r="693" spans="1:35">
      <c r="A693">
        <f t="shared" si="88"/>
        <v>0</v>
      </c>
      <c r="B693">
        <f t="shared" si="89"/>
        <v>0</v>
      </c>
      <c r="C693">
        <f t="shared" si="90"/>
        <v>0</v>
      </c>
      <c r="D693">
        <f t="shared" si="91"/>
        <v>0</v>
      </c>
      <c r="E693">
        <f t="shared" si="92"/>
        <v>0</v>
      </c>
      <c r="F693">
        <f t="shared" si="93"/>
        <v>0</v>
      </c>
      <c r="G693">
        <f t="shared" si="94"/>
        <v>0</v>
      </c>
      <c r="H693">
        <v>0</v>
      </c>
      <c r="I693">
        <f t="shared" si="95"/>
        <v>0</v>
      </c>
      <c r="J693">
        <v>0</v>
      </c>
      <c r="K693" t="s">
        <v>3208</v>
      </c>
      <c r="L693" t="s">
        <v>3209</v>
      </c>
      <c r="M693" t="s">
        <v>27</v>
      </c>
      <c r="N693" t="s">
        <v>27</v>
      </c>
      <c r="O693">
        <v>12.2</v>
      </c>
      <c r="P693">
        <v>2.1408040523529102</v>
      </c>
      <c r="Q693" t="s">
        <v>27</v>
      </c>
      <c r="R693">
        <v>19.9899997711182</v>
      </c>
      <c r="S693">
        <v>6.1399998664856001</v>
      </c>
      <c r="T693">
        <v>34.962890625</v>
      </c>
      <c r="U693">
        <v>40.523258209228501</v>
      </c>
      <c r="V693">
        <v>-7777000</v>
      </c>
      <c r="W693">
        <v>0.10478399693965899</v>
      </c>
      <c r="X693">
        <v>5.0000000745058101E-2</v>
      </c>
      <c r="Y693">
        <v>11.339805603027299</v>
      </c>
      <c r="Z693">
        <v>5.4749341011047399</v>
      </c>
      <c r="AA693">
        <v>23692000</v>
      </c>
      <c r="AB693" t="s">
        <v>27</v>
      </c>
      <c r="AC693" t="s">
        <v>27</v>
      </c>
      <c r="AD693">
        <v>-0.17000000178813901</v>
      </c>
      <c r="AE693">
        <v>39.467258453369098</v>
      </c>
      <c r="AF693">
        <v>7.2248677952126998</v>
      </c>
      <c r="AG693">
        <v>24044000</v>
      </c>
      <c r="AH693">
        <v>42.214202880859403</v>
      </c>
      <c r="AI693">
        <v>-9.6598825454711896</v>
      </c>
    </row>
    <row r="694" spans="1:35">
      <c r="A694">
        <f t="shared" si="88"/>
        <v>0</v>
      </c>
      <c r="B694">
        <f t="shared" si="89"/>
        <v>0</v>
      </c>
      <c r="C694">
        <f t="shared" si="90"/>
        <v>1</v>
      </c>
      <c r="D694">
        <f t="shared" si="91"/>
        <v>0</v>
      </c>
      <c r="E694">
        <f t="shared" si="92"/>
        <v>0</v>
      </c>
      <c r="F694">
        <f t="shared" si="93"/>
        <v>1</v>
      </c>
      <c r="G694">
        <f t="shared" si="94"/>
        <v>1</v>
      </c>
      <c r="H694">
        <v>0</v>
      </c>
      <c r="I694">
        <f t="shared" si="95"/>
        <v>0</v>
      </c>
      <c r="J694">
        <v>0</v>
      </c>
      <c r="K694" t="s">
        <v>3210</v>
      </c>
      <c r="L694" t="s">
        <v>3211</v>
      </c>
      <c r="M694" t="s">
        <v>27</v>
      </c>
      <c r="N694" t="s">
        <v>27</v>
      </c>
      <c r="O694">
        <v>3.48</v>
      </c>
      <c r="P694">
        <v>16.5678195953369</v>
      </c>
      <c r="Q694" t="s">
        <v>27</v>
      </c>
      <c r="R694">
        <v>8.8900003433227504</v>
      </c>
      <c r="S694">
        <v>12.560000419616699</v>
      </c>
      <c r="T694">
        <v>35.163646697997997</v>
      </c>
      <c r="U694">
        <v>18.4754524230957</v>
      </c>
      <c r="V694">
        <v>14000000</v>
      </c>
      <c r="W694" t="s">
        <v>27</v>
      </c>
      <c r="X694">
        <v>0.75</v>
      </c>
      <c r="Y694">
        <v>13.010989189147899</v>
      </c>
      <c r="Z694">
        <v>3.2258059978485099</v>
      </c>
      <c r="AA694">
        <v>103538000</v>
      </c>
      <c r="AB694" t="s">
        <v>27</v>
      </c>
      <c r="AC694" t="s">
        <v>27</v>
      </c>
      <c r="AD694">
        <v>7.0000000298023196E-2</v>
      </c>
      <c r="AE694">
        <v>18.695652008056602</v>
      </c>
      <c r="AF694">
        <v>10.1780463255814</v>
      </c>
      <c r="AG694">
        <v>104229000</v>
      </c>
      <c r="AH694">
        <v>38.934776306152301</v>
      </c>
      <c r="AI694">
        <v>1.33315205574036</v>
      </c>
    </row>
    <row r="695" spans="1:35">
      <c r="A695">
        <f t="shared" si="88"/>
        <v>0</v>
      </c>
      <c r="B695">
        <f t="shared" si="89"/>
        <v>1</v>
      </c>
      <c r="C695">
        <f t="shared" si="90"/>
        <v>0</v>
      </c>
      <c r="D695">
        <f t="shared" si="91"/>
        <v>1</v>
      </c>
      <c r="E695">
        <f t="shared" si="92"/>
        <v>0</v>
      </c>
      <c r="F695">
        <f t="shared" si="93"/>
        <v>1</v>
      </c>
      <c r="G695">
        <f t="shared" si="94"/>
        <v>1</v>
      </c>
      <c r="H695">
        <v>0</v>
      </c>
      <c r="I695">
        <f t="shared" si="95"/>
        <v>0</v>
      </c>
      <c r="J695">
        <v>0</v>
      </c>
      <c r="K695" t="s">
        <v>3216</v>
      </c>
      <c r="L695" t="s">
        <v>3217</v>
      </c>
      <c r="M695" t="s">
        <v>27</v>
      </c>
      <c r="N695" t="s">
        <v>27</v>
      </c>
      <c r="O695">
        <v>0.3</v>
      </c>
      <c r="P695" t="s">
        <v>27</v>
      </c>
      <c r="Q695" t="s">
        <v>27</v>
      </c>
      <c r="R695">
        <v>4.7010002136230504</v>
      </c>
      <c r="S695">
        <v>7.6875</v>
      </c>
      <c r="T695">
        <v>12.492463111877401</v>
      </c>
      <c r="U695">
        <v>-14.455554008483899</v>
      </c>
      <c r="V695">
        <v>-12150000</v>
      </c>
      <c r="W695">
        <v>-5.8715357780456499</v>
      </c>
      <c r="X695">
        <v>-0.81999999284744296</v>
      </c>
      <c r="Y695">
        <v>-9.0181818008422905</v>
      </c>
      <c r="Z695">
        <v>-137.61468505859401</v>
      </c>
      <c r="AA695">
        <v>92367000</v>
      </c>
      <c r="AB695" t="s">
        <v>27</v>
      </c>
      <c r="AC695" t="s">
        <v>27</v>
      </c>
      <c r="AD695">
        <v>-0.62000000476837203</v>
      </c>
      <c r="AE695">
        <v>14.9882297515869</v>
      </c>
      <c r="AF695" t="s">
        <v>27</v>
      </c>
      <c r="AG695">
        <v>93535000</v>
      </c>
      <c r="AH695">
        <v>29.4285888671875</v>
      </c>
      <c r="AI695">
        <v>34.339874267578097</v>
      </c>
    </row>
    <row r="696" spans="1:35">
      <c r="A696">
        <f t="shared" si="88"/>
        <v>0</v>
      </c>
      <c r="B696">
        <f t="shared" si="89"/>
        <v>1</v>
      </c>
      <c r="C696">
        <f t="shared" si="90"/>
        <v>1</v>
      </c>
      <c r="D696">
        <f t="shared" si="91"/>
        <v>0</v>
      </c>
      <c r="E696">
        <f t="shared" si="92"/>
        <v>0</v>
      </c>
      <c r="F696">
        <f t="shared" si="93"/>
        <v>1</v>
      </c>
      <c r="G696">
        <f t="shared" si="94"/>
        <v>1</v>
      </c>
      <c r="H696">
        <v>0</v>
      </c>
      <c r="I696">
        <f t="shared" si="95"/>
        <v>0</v>
      </c>
      <c r="J696">
        <v>0</v>
      </c>
      <c r="K696" t="s">
        <v>3218</v>
      </c>
      <c r="L696" t="s">
        <v>3219</v>
      </c>
      <c r="M696" t="s">
        <v>27</v>
      </c>
      <c r="N696" t="s">
        <v>27</v>
      </c>
      <c r="O696">
        <v>3.6269999999999998</v>
      </c>
      <c r="P696" t="s">
        <v>27</v>
      </c>
      <c r="Q696" t="s">
        <v>27</v>
      </c>
      <c r="R696">
        <v>19.5200004577637</v>
      </c>
      <c r="S696">
        <v>18.25</v>
      </c>
      <c r="T696">
        <v>0</v>
      </c>
      <c r="U696">
        <v>76.435752868652301</v>
      </c>
      <c r="V696">
        <v>5379000</v>
      </c>
      <c r="W696">
        <v>0.41584399342536899</v>
      </c>
      <c r="X696">
        <v>0.109999999403954</v>
      </c>
      <c r="Y696">
        <v>1.0526319742202801</v>
      </c>
      <c r="Z696">
        <v>2.5252530574798602</v>
      </c>
      <c r="AA696">
        <v>52531000</v>
      </c>
      <c r="AB696" t="s">
        <v>27</v>
      </c>
      <c r="AC696" t="s">
        <v>27</v>
      </c>
      <c r="AD696">
        <v>-7.9999998211860698E-2</v>
      </c>
      <c r="AE696">
        <v>76.571449279785199</v>
      </c>
      <c r="AF696">
        <v>0.970572866449532</v>
      </c>
      <c r="AG696">
        <v>65960000</v>
      </c>
      <c r="AH696">
        <v>0</v>
      </c>
      <c r="AI696">
        <v>3.1275250911712602</v>
      </c>
    </row>
    <row r="697" spans="1:35">
      <c r="A697">
        <f t="shared" si="88"/>
        <v>0</v>
      </c>
      <c r="B697">
        <f t="shared" si="89"/>
        <v>0</v>
      </c>
      <c r="C697">
        <f t="shared" si="90"/>
        <v>0</v>
      </c>
      <c r="D697">
        <f t="shared" si="91"/>
        <v>0</v>
      </c>
      <c r="E697">
        <f t="shared" si="92"/>
        <v>0</v>
      </c>
      <c r="F697">
        <f t="shared" si="93"/>
        <v>0</v>
      </c>
      <c r="G697">
        <f t="shared" si="94"/>
        <v>0</v>
      </c>
      <c r="H697">
        <v>0</v>
      </c>
      <c r="I697">
        <f t="shared" si="95"/>
        <v>0</v>
      </c>
      <c r="J697">
        <v>0</v>
      </c>
      <c r="K697" t="s">
        <v>3220</v>
      </c>
      <c r="L697" t="s">
        <v>3221</v>
      </c>
      <c r="M697" t="s">
        <v>27</v>
      </c>
      <c r="N697" t="s">
        <v>27</v>
      </c>
      <c r="O697">
        <v>8.98</v>
      </c>
      <c r="P697" t="s">
        <v>27</v>
      </c>
      <c r="Q697" t="s">
        <v>27</v>
      </c>
      <c r="R697">
        <v>18</v>
      </c>
      <c r="S697">
        <v>15.5</v>
      </c>
      <c r="T697">
        <v>103.79714202880901</v>
      </c>
      <c r="U697">
        <v>59.477447509765597</v>
      </c>
      <c r="V697">
        <v>-3041000.25</v>
      </c>
      <c r="W697">
        <v>-11.9180908203125</v>
      </c>
      <c r="X697">
        <v>-0.34000000357627902</v>
      </c>
      <c r="Y697">
        <v>-7.5497841835021999</v>
      </c>
      <c r="Z697">
        <v>-27.570518493652301</v>
      </c>
      <c r="AA697">
        <v>12211174</v>
      </c>
      <c r="AB697" t="s">
        <v>27</v>
      </c>
      <c r="AC697" t="s">
        <v>27</v>
      </c>
      <c r="AD697">
        <v>-0.55000001192092896</v>
      </c>
      <c r="AE697">
        <v>56.945960998535199</v>
      </c>
      <c r="AF697">
        <v>5.5601124434833897</v>
      </c>
      <c r="AG697">
        <v>12283000</v>
      </c>
      <c r="AH697">
        <v>107.643852233887</v>
      </c>
      <c r="AI697">
        <v>-13.2953701019287</v>
      </c>
    </row>
    <row r="698" spans="1:35">
      <c r="A698">
        <f t="shared" si="88"/>
        <v>0</v>
      </c>
      <c r="B698">
        <f t="shared" si="89"/>
        <v>1</v>
      </c>
      <c r="C698">
        <f t="shared" si="90"/>
        <v>0</v>
      </c>
      <c r="D698">
        <f t="shared" si="91"/>
        <v>0</v>
      </c>
      <c r="E698">
        <f t="shared" si="92"/>
        <v>0</v>
      </c>
      <c r="F698">
        <f t="shared" si="93"/>
        <v>0</v>
      </c>
      <c r="G698">
        <f t="shared" si="94"/>
        <v>1</v>
      </c>
      <c r="H698">
        <v>0</v>
      </c>
      <c r="I698">
        <f t="shared" si="95"/>
        <v>0</v>
      </c>
      <c r="J698">
        <v>0</v>
      </c>
      <c r="K698" t="s">
        <v>3222</v>
      </c>
      <c r="L698" t="s">
        <v>3223</v>
      </c>
      <c r="M698" t="s">
        <v>27</v>
      </c>
      <c r="N698" t="s">
        <v>27</v>
      </c>
      <c r="O698">
        <v>1.17</v>
      </c>
      <c r="P698" t="s">
        <v>27</v>
      </c>
      <c r="Q698" t="s">
        <v>27</v>
      </c>
      <c r="R698">
        <v>4.0700001716613796</v>
      </c>
      <c r="S698">
        <v>45.875</v>
      </c>
      <c r="T698">
        <v>0</v>
      </c>
      <c r="U698">
        <v>43.281089782714801</v>
      </c>
      <c r="V698">
        <v>-16203000</v>
      </c>
      <c r="W698">
        <v>-97.105567932128906</v>
      </c>
      <c r="X698">
        <v>-9.00000035762787E-2</v>
      </c>
      <c r="Y698" t="s">
        <v>27</v>
      </c>
      <c r="Z698">
        <v>-3</v>
      </c>
      <c r="AA698">
        <v>183259368</v>
      </c>
      <c r="AB698" t="s">
        <v>38</v>
      </c>
      <c r="AC698" t="s">
        <v>113</v>
      </c>
      <c r="AD698">
        <v>-2.8099999427795401</v>
      </c>
      <c r="AE698">
        <v>54.999256134033203</v>
      </c>
      <c r="AF698" t="s">
        <v>27</v>
      </c>
      <c r="AG698">
        <v>203912992</v>
      </c>
      <c r="AH698">
        <v>11.7230882644653</v>
      </c>
      <c r="AI698">
        <v>-44.356582641601598</v>
      </c>
    </row>
    <row r="699" spans="1:35">
      <c r="A699">
        <f t="shared" si="88"/>
        <v>0</v>
      </c>
      <c r="B699">
        <f t="shared" si="89"/>
        <v>1</v>
      </c>
      <c r="C699">
        <f t="shared" si="90"/>
        <v>0</v>
      </c>
      <c r="D699">
        <f t="shared" si="91"/>
        <v>1</v>
      </c>
      <c r="E699">
        <f t="shared" si="92"/>
        <v>0</v>
      </c>
      <c r="F699">
        <f t="shared" si="93"/>
        <v>0</v>
      </c>
      <c r="G699">
        <f t="shared" si="94"/>
        <v>1</v>
      </c>
      <c r="H699">
        <v>0</v>
      </c>
      <c r="I699">
        <f t="shared" si="95"/>
        <v>0</v>
      </c>
      <c r="J699">
        <v>0</v>
      </c>
      <c r="K699" t="s">
        <v>3224</v>
      </c>
      <c r="L699" t="s">
        <v>3225</v>
      </c>
      <c r="M699" t="s">
        <v>27</v>
      </c>
      <c r="N699" t="s">
        <v>27</v>
      </c>
      <c r="O699">
        <v>3.04</v>
      </c>
      <c r="P699" t="s">
        <v>27</v>
      </c>
      <c r="Q699" t="s">
        <v>27</v>
      </c>
      <c r="R699">
        <v>6.1500000953674299</v>
      </c>
      <c r="S699">
        <v>12.375</v>
      </c>
      <c r="T699">
        <v>0.488936007022858</v>
      </c>
      <c r="U699">
        <v>-606.41711425781295</v>
      </c>
      <c r="V699">
        <v>-9871000</v>
      </c>
      <c r="W699">
        <v>-38.132705688476598</v>
      </c>
      <c r="X699">
        <v>-0.21999999880790699</v>
      </c>
      <c r="Y699">
        <v>-3.8773009777069101</v>
      </c>
      <c r="Z699">
        <v>-19.616205215454102</v>
      </c>
      <c r="AA699">
        <v>33061000</v>
      </c>
      <c r="AB699" t="s">
        <v>27</v>
      </c>
      <c r="AC699" t="s">
        <v>27</v>
      </c>
      <c r="AD699">
        <v>-0.20999999344348899</v>
      </c>
      <c r="AE699">
        <v>-110.528045654297</v>
      </c>
      <c r="AF699" t="s">
        <v>27</v>
      </c>
      <c r="AG699">
        <v>33282002</v>
      </c>
      <c r="AH699">
        <v>1.0000799894332899</v>
      </c>
      <c r="AI699">
        <v>-28.047182083129901</v>
      </c>
    </row>
    <row r="700" spans="1:35">
      <c r="A700">
        <f t="shared" si="88"/>
        <v>1</v>
      </c>
      <c r="B700">
        <f t="shared" si="89"/>
        <v>0</v>
      </c>
      <c r="C700">
        <f t="shared" si="90"/>
        <v>0</v>
      </c>
      <c r="D700">
        <f t="shared" si="91"/>
        <v>1</v>
      </c>
      <c r="E700">
        <f t="shared" si="92"/>
        <v>0</v>
      </c>
      <c r="F700">
        <f t="shared" si="93"/>
        <v>0</v>
      </c>
      <c r="G700">
        <f t="shared" si="94"/>
        <v>0</v>
      </c>
      <c r="H700">
        <v>0</v>
      </c>
      <c r="I700">
        <f t="shared" si="95"/>
        <v>0</v>
      </c>
      <c r="J700">
        <v>0</v>
      </c>
      <c r="K700" t="s">
        <v>3226</v>
      </c>
      <c r="L700" t="s">
        <v>3227</v>
      </c>
      <c r="M700" t="s">
        <v>27</v>
      </c>
      <c r="N700" t="s">
        <v>27</v>
      </c>
      <c r="O700">
        <v>8.35</v>
      </c>
      <c r="P700" t="s">
        <v>27</v>
      </c>
      <c r="Q700" t="s">
        <v>27</v>
      </c>
      <c r="R700">
        <v>13.6199998855591</v>
      </c>
      <c r="S700">
        <v>26.540000915527301</v>
      </c>
      <c r="T700">
        <v>55.043243408203097</v>
      </c>
      <c r="U700">
        <v>79.819984436035199</v>
      </c>
      <c r="V700">
        <v>-87234000</v>
      </c>
      <c r="W700">
        <v>3.5642650127410902</v>
      </c>
      <c r="X700">
        <v>-3.1300001144409202</v>
      </c>
      <c r="Y700">
        <v>0.72452801465988204</v>
      </c>
      <c r="Z700">
        <v>-2.3352789878845202</v>
      </c>
      <c r="AA700">
        <v>58949000</v>
      </c>
      <c r="AB700" t="s">
        <v>30</v>
      </c>
      <c r="AC700" t="s">
        <v>945</v>
      </c>
      <c r="AD700">
        <v>-0.54000002145767201</v>
      </c>
      <c r="AE700">
        <v>78.793876647949205</v>
      </c>
      <c r="AF700">
        <v>198.53415562059701</v>
      </c>
      <c r="AG700">
        <v>61304000</v>
      </c>
      <c r="AH700">
        <v>43.318782806396499</v>
      </c>
      <c r="AI700">
        <v>-17.665098190307599</v>
      </c>
    </row>
    <row r="701" spans="1:35">
      <c r="A701">
        <f t="shared" si="88"/>
        <v>1</v>
      </c>
      <c r="B701">
        <f t="shared" si="89"/>
        <v>1</v>
      </c>
      <c r="C701">
        <f t="shared" si="90"/>
        <v>0</v>
      </c>
      <c r="D701">
        <f t="shared" si="91"/>
        <v>0</v>
      </c>
      <c r="E701">
        <f t="shared" si="92"/>
        <v>0</v>
      </c>
      <c r="F701">
        <f t="shared" si="93"/>
        <v>0</v>
      </c>
      <c r="G701">
        <f t="shared" si="94"/>
        <v>0</v>
      </c>
      <c r="H701">
        <v>0</v>
      </c>
      <c r="I701">
        <f t="shared" si="95"/>
        <v>0</v>
      </c>
      <c r="J701">
        <v>0</v>
      </c>
      <c r="K701" t="s">
        <v>3228</v>
      </c>
      <c r="L701" t="s">
        <v>3229</v>
      </c>
      <c r="M701" t="s">
        <v>27</v>
      </c>
      <c r="N701" t="s">
        <v>27</v>
      </c>
      <c r="O701">
        <v>1.43</v>
      </c>
      <c r="P701" t="s">
        <v>27</v>
      </c>
      <c r="Q701" t="s">
        <v>27</v>
      </c>
      <c r="R701">
        <v>3.0699999332428001</v>
      </c>
      <c r="S701">
        <v>5</v>
      </c>
      <c r="T701">
        <v>0.17455400526523601</v>
      </c>
      <c r="U701" t="s">
        <v>27</v>
      </c>
      <c r="V701">
        <v>-13412000</v>
      </c>
      <c r="W701">
        <v>-22.487817764282202</v>
      </c>
      <c r="X701">
        <v>-7.9999998211860698E-2</v>
      </c>
      <c r="Y701">
        <v>0.111111000180244</v>
      </c>
      <c r="Z701">
        <v>-13.4328355789185</v>
      </c>
      <c r="AA701">
        <v>90688000</v>
      </c>
      <c r="AB701" t="s">
        <v>27</v>
      </c>
      <c r="AC701" t="s">
        <v>27</v>
      </c>
      <c r="AD701">
        <v>-0.30000001192092901</v>
      </c>
      <c r="AE701" t="s">
        <v>27</v>
      </c>
      <c r="AF701" t="s">
        <v>27</v>
      </c>
      <c r="AG701">
        <v>115431000</v>
      </c>
      <c r="AH701">
        <v>3.3929999917745597E-2</v>
      </c>
      <c r="AI701">
        <v>-3.7816300392150901</v>
      </c>
    </row>
    <row r="702" spans="1:35">
      <c r="A702">
        <f t="shared" si="88"/>
        <v>1</v>
      </c>
      <c r="B702">
        <f t="shared" si="89"/>
        <v>0</v>
      </c>
      <c r="C702">
        <f t="shared" si="90"/>
        <v>1</v>
      </c>
      <c r="D702">
        <f t="shared" si="91"/>
        <v>1</v>
      </c>
      <c r="E702">
        <f t="shared" si="92"/>
        <v>0</v>
      </c>
      <c r="F702">
        <f t="shared" si="93"/>
        <v>1</v>
      </c>
      <c r="G702">
        <f t="shared" si="94"/>
        <v>1</v>
      </c>
      <c r="H702">
        <v>0</v>
      </c>
      <c r="I702">
        <f t="shared" si="95"/>
        <v>0</v>
      </c>
      <c r="J702">
        <v>0</v>
      </c>
      <c r="K702" t="s">
        <v>3230</v>
      </c>
      <c r="L702" t="s">
        <v>3231</v>
      </c>
      <c r="M702" t="s">
        <v>27</v>
      </c>
      <c r="N702" t="s">
        <v>27</v>
      </c>
      <c r="O702">
        <v>16.829999999999998</v>
      </c>
      <c r="P702">
        <v>10.858533859252899</v>
      </c>
      <c r="Q702" t="s">
        <v>27</v>
      </c>
      <c r="R702">
        <v>28.149999618530298</v>
      </c>
      <c r="S702">
        <v>32.75</v>
      </c>
      <c r="T702">
        <v>29.174533843994102</v>
      </c>
      <c r="U702">
        <v>40.552780151367202</v>
      </c>
      <c r="V702">
        <v>11438000</v>
      </c>
      <c r="W702">
        <v>8.3289813995361293</v>
      </c>
      <c r="X702">
        <v>0.54000002145767201</v>
      </c>
      <c r="Y702">
        <v>5.0836119651794398</v>
      </c>
      <c r="Z702">
        <v>4.1257991790771502</v>
      </c>
      <c r="AA702">
        <v>15606000</v>
      </c>
      <c r="AB702" t="s">
        <v>27</v>
      </c>
      <c r="AC702" t="s">
        <v>27</v>
      </c>
      <c r="AD702">
        <v>0.69999998807907104</v>
      </c>
      <c r="AE702">
        <v>42.793365478515597</v>
      </c>
      <c r="AF702">
        <v>5.9944006287272904</v>
      </c>
      <c r="AG702">
        <v>17228000</v>
      </c>
      <c r="AH702">
        <v>26.742933273315401</v>
      </c>
      <c r="AI702">
        <v>7.7909002304077104</v>
      </c>
    </row>
    <row r="703" spans="1:35">
      <c r="A703">
        <f t="shared" si="88"/>
        <v>1</v>
      </c>
      <c r="B703">
        <f t="shared" si="89"/>
        <v>1</v>
      </c>
      <c r="C703">
        <f t="shared" si="90"/>
        <v>1</v>
      </c>
      <c r="D703">
        <f t="shared" si="91"/>
        <v>0</v>
      </c>
      <c r="E703">
        <f t="shared" si="92"/>
        <v>0</v>
      </c>
      <c r="F703">
        <f t="shared" si="93"/>
        <v>1</v>
      </c>
      <c r="G703">
        <f t="shared" si="94"/>
        <v>0</v>
      </c>
      <c r="H703">
        <v>0</v>
      </c>
      <c r="I703">
        <f t="shared" si="95"/>
        <v>0</v>
      </c>
      <c r="J703">
        <v>0</v>
      </c>
      <c r="K703" t="s">
        <v>3256</v>
      </c>
      <c r="L703" t="s">
        <v>3257</v>
      </c>
      <c r="M703" t="s">
        <v>27</v>
      </c>
      <c r="N703" t="s">
        <v>27</v>
      </c>
      <c r="O703">
        <v>7.02</v>
      </c>
      <c r="P703" t="s">
        <v>27</v>
      </c>
      <c r="Q703" t="s">
        <v>27</v>
      </c>
      <c r="R703">
        <v>26.5100002288818</v>
      </c>
      <c r="S703">
        <v>29.950000762939499</v>
      </c>
      <c r="T703" t="s">
        <v>27</v>
      </c>
      <c r="U703" t="s">
        <v>27</v>
      </c>
      <c r="V703">
        <v>2851999.75</v>
      </c>
      <c r="W703">
        <v>-1.96968102455139</v>
      </c>
      <c r="X703" t="s">
        <v>27</v>
      </c>
      <c r="Y703" t="s">
        <v>27</v>
      </c>
      <c r="Z703" t="s">
        <v>27</v>
      </c>
      <c r="AA703" t="s">
        <v>27</v>
      </c>
      <c r="AB703" t="s">
        <v>27</v>
      </c>
      <c r="AC703" t="s">
        <v>27</v>
      </c>
      <c r="AD703">
        <v>0.140000000596046</v>
      </c>
      <c r="AE703">
        <v>41.531673431396499</v>
      </c>
      <c r="AF703">
        <v>151.66501103735999</v>
      </c>
      <c r="AG703">
        <v>21373000</v>
      </c>
      <c r="AH703">
        <v>0</v>
      </c>
      <c r="AI703">
        <v>8.5920076370239293</v>
      </c>
    </row>
    <row r="704" spans="1:35">
      <c r="A704">
        <f t="shared" si="88"/>
        <v>0</v>
      </c>
      <c r="B704">
        <f t="shared" si="89"/>
        <v>1</v>
      </c>
      <c r="C704">
        <f t="shared" si="90"/>
        <v>0</v>
      </c>
      <c r="D704">
        <f t="shared" si="91"/>
        <v>0</v>
      </c>
      <c r="E704">
        <f t="shared" si="92"/>
        <v>0</v>
      </c>
      <c r="F704">
        <f t="shared" si="93"/>
        <v>0</v>
      </c>
      <c r="G704">
        <f t="shared" si="94"/>
        <v>0</v>
      </c>
      <c r="H704">
        <v>0</v>
      </c>
      <c r="I704">
        <f t="shared" si="95"/>
        <v>0</v>
      </c>
      <c r="J704">
        <v>0</v>
      </c>
      <c r="K704" t="s">
        <v>3262</v>
      </c>
      <c r="L704" t="s">
        <v>3263</v>
      </c>
      <c r="M704" t="s">
        <v>27</v>
      </c>
      <c r="N704" t="s">
        <v>27</v>
      </c>
      <c r="O704">
        <v>2.33</v>
      </c>
      <c r="P704" t="s">
        <v>27</v>
      </c>
      <c r="Q704" t="s">
        <v>27</v>
      </c>
      <c r="R704">
        <v>12.300000190734901</v>
      </c>
      <c r="S704">
        <v>31.6875</v>
      </c>
      <c r="T704">
        <v>0.54857498407363903</v>
      </c>
      <c r="U704">
        <v>65.454193115234403</v>
      </c>
      <c r="V704">
        <v>-9130000</v>
      </c>
      <c r="W704">
        <v>-104.02987670898401</v>
      </c>
      <c r="X704">
        <v>-0.270000010728836</v>
      </c>
      <c r="Y704">
        <v>-1.99745202064514</v>
      </c>
      <c r="Z704">
        <v>-8.5333328247070295</v>
      </c>
      <c r="AA704">
        <v>30583332</v>
      </c>
      <c r="AB704" t="s">
        <v>27</v>
      </c>
      <c r="AC704" t="s">
        <v>27</v>
      </c>
      <c r="AD704">
        <v>-0.36000001430511502</v>
      </c>
      <c r="AE704">
        <v>63.924964904785199</v>
      </c>
      <c r="AF704" t="s">
        <v>27</v>
      </c>
      <c r="AG704">
        <v>32348000</v>
      </c>
      <c r="AH704">
        <v>1.67724502086639</v>
      </c>
      <c r="AI704">
        <v>-35.886993408203097</v>
      </c>
    </row>
    <row r="705" spans="1:35">
      <c r="A705">
        <f t="shared" si="88"/>
        <v>1</v>
      </c>
      <c r="B705">
        <f t="shared" si="89"/>
        <v>1</v>
      </c>
      <c r="C705">
        <f t="shared" si="90"/>
        <v>0</v>
      </c>
      <c r="D705">
        <f t="shared" si="91"/>
        <v>0</v>
      </c>
      <c r="E705">
        <f t="shared" si="92"/>
        <v>0</v>
      </c>
      <c r="F705">
        <f t="shared" si="93"/>
        <v>1</v>
      </c>
      <c r="G705">
        <f t="shared" si="94"/>
        <v>1</v>
      </c>
      <c r="H705">
        <v>0</v>
      </c>
      <c r="I705">
        <f t="shared" si="95"/>
        <v>0</v>
      </c>
      <c r="J705">
        <v>0</v>
      </c>
      <c r="K705" t="s">
        <v>3272</v>
      </c>
      <c r="L705" t="s">
        <v>3273</v>
      </c>
      <c r="M705" t="s">
        <v>27</v>
      </c>
      <c r="N705" t="s">
        <v>27</v>
      </c>
      <c r="O705">
        <v>15.7</v>
      </c>
      <c r="P705" t="s">
        <v>27</v>
      </c>
      <c r="Q705" t="s">
        <v>27</v>
      </c>
      <c r="R705">
        <v>22.950000762939499</v>
      </c>
      <c r="S705">
        <v>11.4375</v>
      </c>
      <c r="T705">
        <v>35.436618804931598</v>
      </c>
      <c r="U705">
        <v>24.812799453735401</v>
      </c>
      <c r="V705">
        <v>-28994000</v>
      </c>
      <c r="W705">
        <v>0.52208197116851796</v>
      </c>
      <c r="X705">
        <v>2.9999999329447701E-2</v>
      </c>
      <c r="Y705">
        <v>7.4400000572204599</v>
      </c>
      <c r="Z705">
        <v>10.6141366958618</v>
      </c>
      <c r="AA705">
        <v>7336000</v>
      </c>
      <c r="AB705" t="s">
        <v>27</v>
      </c>
      <c r="AC705" t="s">
        <v>27</v>
      </c>
      <c r="AD705">
        <v>-0.18000000715255701</v>
      </c>
      <c r="AE705">
        <v>24.841428756713899</v>
      </c>
      <c r="AF705">
        <v>6.2112978318062204</v>
      </c>
      <c r="AG705">
        <v>10681000</v>
      </c>
      <c r="AH705">
        <v>30.489271163940401</v>
      </c>
      <c r="AI705">
        <v>6.8008117675781303</v>
      </c>
    </row>
    <row r="706" spans="1:35">
      <c r="A706">
        <f t="shared" si="88"/>
        <v>1</v>
      </c>
      <c r="B706">
        <f t="shared" si="89"/>
        <v>1</v>
      </c>
      <c r="C706">
        <f t="shared" si="90"/>
        <v>1</v>
      </c>
      <c r="D706">
        <f t="shared" si="91"/>
        <v>0</v>
      </c>
      <c r="E706">
        <f t="shared" si="92"/>
        <v>1</v>
      </c>
      <c r="F706">
        <f t="shared" si="93"/>
        <v>0</v>
      </c>
      <c r="G706">
        <f t="shared" si="94"/>
        <v>0</v>
      </c>
      <c r="H706">
        <v>0</v>
      </c>
      <c r="I706">
        <f t="shared" si="95"/>
        <v>0</v>
      </c>
      <c r="J706">
        <v>0</v>
      </c>
      <c r="K706" t="s">
        <v>3274</v>
      </c>
      <c r="L706" t="s">
        <v>3275</v>
      </c>
      <c r="M706" t="s">
        <v>27</v>
      </c>
      <c r="N706" t="s">
        <v>27</v>
      </c>
      <c r="O706">
        <v>5.71</v>
      </c>
      <c r="P706" t="s">
        <v>27</v>
      </c>
      <c r="Q706" t="s">
        <v>27</v>
      </c>
      <c r="R706">
        <v>7.3000001907348597</v>
      </c>
      <c r="S706">
        <v>3.84375</v>
      </c>
      <c r="T706">
        <v>11.1383352279663</v>
      </c>
      <c r="U706">
        <v>24.346666336059599</v>
      </c>
      <c r="V706">
        <v>326000</v>
      </c>
      <c r="W706">
        <v>-10.9404621124268</v>
      </c>
      <c r="X706">
        <v>2.9999999329447701E-2</v>
      </c>
      <c r="Y706">
        <v>-4.6333332061767596</v>
      </c>
      <c r="Z706">
        <v>-0.62586897611617998</v>
      </c>
      <c r="AA706">
        <v>48356000</v>
      </c>
      <c r="AB706" t="s">
        <v>27</v>
      </c>
      <c r="AC706" t="s">
        <v>27</v>
      </c>
      <c r="AD706">
        <v>-9.9999997764825804E-3</v>
      </c>
      <c r="AE706">
        <v>19.7401523590088</v>
      </c>
      <c r="AF706">
        <v>323.866574684189</v>
      </c>
      <c r="AG706">
        <v>48356000</v>
      </c>
      <c r="AH706">
        <v>7.9843659400939897</v>
      </c>
      <c r="AI706">
        <v>-5.49643802642822</v>
      </c>
    </row>
    <row r="707" spans="1:35">
      <c r="A707">
        <f t="shared" si="88"/>
        <v>0</v>
      </c>
      <c r="B707">
        <f t="shared" si="89"/>
        <v>0</v>
      </c>
      <c r="C707">
        <f t="shared" si="90"/>
        <v>1</v>
      </c>
      <c r="D707">
        <f t="shared" si="91"/>
        <v>0</v>
      </c>
      <c r="E707">
        <f t="shared" si="92"/>
        <v>0</v>
      </c>
      <c r="F707">
        <f t="shared" si="93"/>
        <v>1</v>
      </c>
      <c r="G707">
        <f t="shared" si="94"/>
        <v>0</v>
      </c>
      <c r="H707">
        <v>0</v>
      </c>
      <c r="I707">
        <f t="shared" si="95"/>
        <v>0</v>
      </c>
      <c r="J707">
        <v>0</v>
      </c>
      <c r="K707" t="s">
        <v>3278</v>
      </c>
      <c r="L707" t="s">
        <v>3279</v>
      </c>
      <c r="M707" t="s">
        <v>27</v>
      </c>
      <c r="N707" t="s">
        <v>27</v>
      </c>
      <c r="O707">
        <v>10.72</v>
      </c>
      <c r="P707">
        <v>20.2745361328125</v>
      </c>
      <c r="Q707" t="s">
        <v>27</v>
      </c>
      <c r="R707">
        <v>19.200000762939499</v>
      </c>
      <c r="S707">
        <v>22.125</v>
      </c>
      <c r="T707">
        <v>7.6811928749084499</v>
      </c>
      <c r="U707">
        <v>92.219413757324205</v>
      </c>
      <c r="V707">
        <v>2696000</v>
      </c>
      <c r="W707">
        <v>15.4234943389893</v>
      </c>
      <c r="X707">
        <v>0.259999990463257</v>
      </c>
      <c r="Y707">
        <v>5.0349650382995597</v>
      </c>
      <c r="Z707">
        <v>3.4863450527191202</v>
      </c>
      <c r="AA707">
        <v>9973000</v>
      </c>
      <c r="AB707" t="s">
        <v>27</v>
      </c>
      <c r="AC707" t="s">
        <v>27</v>
      </c>
      <c r="AD707">
        <v>0.18999999761581399</v>
      </c>
      <c r="AE707">
        <v>91.870681762695298</v>
      </c>
      <c r="AF707">
        <v>11.2798888547134</v>
      </c>
      <c r="AG707">
        <v>14114000</v>
      </c>
      <c r="AH707">
        <v>7.9761810302734402</v>
      </c>
      <c r="AI707">
        <v>3.9937338829040501</v>
      </c>
    </row>
    <row r="708" spans="1:35">
      <c r="A708">
        <f t="shared" si="88"/>
        <v>0</v>
      </c>
      <c r="B708">
        <f t="shared" si="89"/>
        <v>1</v>
      </c>
      <c r="C708">
        <f t="shared" si="90"/>
        <v>1</v>
      </c>
      <c r="D708">
        <f t="shared" si="91"/>
        <v>1</v>
      </c>
      <c r="E708">
        <f t="shared" si="92"/>
        <v>0</v>
      </c>
      <c r="F708">
        <f t="shared" si="93"/>
        <v>0</v>
      </c>
      <c r="G708">
        <f t="shared" si="94"/>
        <v>1</v>
      </c>
      <c r="H708">
        <v>0</v>
      </c>
      <c r="I708">
        <f t="shared" si="95"/>
        <v>0</v>
      </c>
      <c r="J708">
        <v>0</v>
      </c>
      <c r="K708" t="s">
        <v>3284</v>
      </c>
      <c r="L708" t="s">
        <v>3285</v>
      </c>
      <c r="M708" t="s">
        <v>27</v>
      </c>
      <c r="N708" t="s">
        <v>27</v>
      </c>
      <c r="O708">
        <v>18.149999999999999</v>
      </c>
      <c r="P708" t="s">
        <v>27</v>
      </c>
      <c r="Q708" t="s">
        <v>27</v>
      </c>
      <c r="R708">
        <v>26.799999237060501</v>
      </c>
      <c r="S708" t="s">
        <v>27</v>
      </c>
      <c r="T708">
        <v>108.78664398193401</v>
      </c>
      <c r="U708">
        <v>18.1959114074707</v>
      </c>
      <c r="V708">
        <v>26756000</v>
      </c>
      <c r="W708">
        <v>-39.917385101318402</v>
      </c>
      <c r="X708">
        <v>-3.4800000190734899</v>
      </c>
      <c r="Y708" t="s">
        <v>27</v>
      </c>
      <c r="Z708" t="s">
        <v>27</v>
      </c>
      <c r="AA708">
        <v>28100000</v>
      </c>
      <c r="AB708" t="s">
        <v>30</v>
      </c>
      <c r="AC708" t="s">
        <v>68</v>
      </c>
      <c r="AD708">
        <v>7.9999998211860698E-2</v>
      </c>
      <c r="AE708">
        <v>28.608760833740199</v>
      </c>
      <c r="AF708" t="s">
        <v>27</v>
      </c>
      <c r="AG708">
        <v>28096000</v>
      </c>
      <c r="AH708">
        <v>121.32968902587901</v>
      </c>
      <c r="AI708">
        <v>-26.577678680419901</v>
      </c>
    </row>
    <row r="709" spans="1:35">
      <c r="A709">
        <f t="shared" si="88"/>
        <v>1</v>
      </c>
      <c r="B709">
        <f t="shared" si="89"/>
        <v>0</v>
      </c>
      <c r="C709">
        <f t="shared" si="90"/>
        <v>0</v>
      </c>
      <c r="D709">
        <f t="shared" si="91"/>
        <v>1</v>
      </c>
      <c r="E709">
        <f t="shared" si="92"/>
        <v>0</v>
      </c>
      <c r="F709">
        <f t="shared" si="93"/>
        <v>0</v>
      </c>
      <c r="G709">
        <f t="shared" si="94"/>
        <v>1</v>
      </c>
      <c r="H709">
        <v>0</v>
      </c>
      <c r="I709">
        <f t="shared" si="95"/>
        <v>0</v>
      </c>
      <c r="J709">
        <v>0</v>
      </c>
      <c r="K709" t="s">
        <v>3286</v>
      </c>
      <c r="L709" t="s">
        <v>3287</v>
      </c>
      <c r="M709" t="s">
        <v>27</v>
      </c>
      <c r="N709" t="s">
        <v>27</v>
      </c>
      <c r="O709">
        <v>4.43</v>
      </c>
      <c r="P709" t="s">
        <v>27</v>
      </c>
      <c r="Q709" t="s">
        <v>27</v>
      </c>
      <c r="R709">
        <v>4.1300001144409197</v>
      </c>
      <c r="S709">
        <v>3.90625</v>
      </c>
      <c r="T709">
        <v>1.79511702060699</v>
      </c>
      <c r="U709">
        <v>-34.348960876464801</v>
      </c>
      <c r="V709">
        <v>-3222000</v>
      </c>
      <c r="W709">
        <v>-27.2313137054443</v>
      </c>
      <c r="X709">
        <v>-1.1499999761581401</v>
      </c>
      <c r="Y709">
        <v>-78.178863525390597</v>
      </c>
      <c r="Z709">
        <v>-36.947792053222699</v>
      </c>
      <c r="AA709">
        <v>49360000</v>
      </c>
      <c r="AB709" t="s">
        <v>38</v>
      </c>
      <c r="AC709" t="s">
        <v>157</v>
      </c>
      <c r="AD709">
        <v>-1.9999999552965199E-2</v>
      </c>
      <c r="AE709">
        <v>55.346187591552699</v>
      </c>
      <c r="AF709" t="s">
        <v>27</v>
      </c>
      <c r="AG709">
        <v>50650000</v>
      </c>
      <c r="AH709">
        <v>8.5718996822834001E-2</v>
      </c>
      <c r="AI709">
        <v>-47.460163116455099</v>
      </c>
    </row>
    <row r="710" spans="1:35">
      <c r="A710">
        <f t="shared" si="88"/>
        <v>0</v>
      </c>
      <c r="B710">
        <f t="shared" si="89"/>
        <v>1</v>
      </c>
      <c r="C710">
        <f t="shared" si="90"/>
        <v>1</v>
      </c>
      <c r="D710">
        <f t="shared" si="91"/>
        <v>1</v>
      </c>
      <c r="E710">
        <f t="shared" si="92"/>
        <v>0</v>
      </c>
      <c r="F710">
        <f t="shared" si="93"/>
        <v>1</v>
      </c>
      <c r="G710">
        <f t="shared" si="94"/>
        <v>1</v>
      </c>
      <c r="H710">
        <v>0</v>
      </c>
      <c r="I710">
        <f t="shared" si="95"/>
        <v>0</v>
      </c>
      <c r="J710">
        <v>0</v>
      </c>
      <c r="K710" t="s">
        <v>3290</v>
      </c>
      <c r="L710" t="s">
        <v>3291</v>
      </c>
      <c r="M710" t="s">
        <v>27</v>
      </c>
      <c r="N710" t="s">
        <v>27</v>
      </c>
      <c r="O710">
        <v>16</v>
      </c>
      <c r="P710">
        <v>0.75950497388839699</v>
      </c>
      <c r="Q710" t="s">
        <v>27</v>
      </c>
      <c r="R710">
        <v>19.149999618530298</v>
      </c>
      <c r="S710">
        <v>18.4375</v>
      </c>
      <c r="T710">
        <v>0</v>
      </c>
      <c r="U710">
        <v>41.397823333740199</v>
      </c>
      <c r="V710">
        <v>30259000</v>
      </c>
      <c r="W710">
        <v>2.0248720645904501</v>
      </c>
      <c r="X710">
        <v>0.140000000596046</v>
      </c>
      <c r="Y710">
        <v>1.49196100234985</v>
      </c>
      <c r="Z710">
        <v>-3.32850909233093</v>
      </c>
      <c r="AA710">
        <v>16062000</v>
      </c>
      <c r="AB710" t="s">
        <v>27</v>
      </c>
      <c r="AC710" t="s">
        <v>27</v>
      </c>
      <c r="AD710">
        <v>0.56000000238418601</v>
      </c>
      <c r="AE710">
        <v>62.3688354492188</v>
      </c>
      <c r="AF710">
        <v>16.770973315415599</v>
      </c>
      <c r="AG710">
        <v>16070000</v>
      </c>
      <c r="AH710">
        <v>0</v>
      </c>
      <c r="AI710">
        <v>10.7800951004028</v>
      </c>
    </row>
    <row r="711" spans="1:35">
      <c r="A711">
        <f t="shared" si="88"/>
        <v>0</v>
      </c>
      <c r="B711">
        <f t="shared" si="89"/>
        <v>0</v>
      </c>
      <c r="C711">
        <f t="shared" si="90"/>
        <v>1</v>
      </c>
      <c r="D711">
        <f t="shared" si="91"/>
        <v>0</v>
      </c>
      <c r="E711">
        <f t="shared" si="92"/>
        <v>0</v>
      </c>
      <c r="F711">
        <f t="shared" si="93"/>
        <v>0</v>
      </c>
      <c r="G711">
        <f t="shared" si="94"/>
        <v>0</v>
      </c>
      <c r="H711">
        <v>0</v>
      </c>
      <c r="I711">
        <f t="shared" si="95"/>
        <v>0</v>
      </c>
      <c r="J711">
        <v>0</v>
      </c>
      <c r="K711" t="s">
        <v>3294</v>
      </c>
      <c r="L711" t="s">
        <v>3295</v>
      </c>
      <c r="M711" t="s">
        <v>27</v>
      </c>
      <c r="N711" t="s">
        <v>27</v>
      </c>
      <c r="O711">
        <v>18.77</v>
      </c>
      <c r="P711">
        <v>5.9275431632995597</v>
      </c>
      <c r="Q711" t="s">
        <v>27</v>
      </c>
      <c r="R711">
        <v>21.399999618530298</v>
      </c>
      <c r="S711">
        <v>17.950000762939499</v>
      </c>
      <c r="T711">
        <v>20.9852085113525</v>
      </c>
      <c r="U711">
        <v>38.888431549072301</v>
      </c>
      <c r="V711">
        <v>33756000</v>
      </c>
      <c r="W711">
        <v>7.2841649055481001</v>
      </c>
      <c r="X711">
        <v>0.31000000238418601</v>
      </c>
      <c r="Y711">
        <v>9</v>
      </c>
      <c r="Z711">
        <v>4.8965520858764604</v>
      </c>
      <c r="AA711">
        <v>27493000</v>
      </c>
      <c r="AB711" t="s">
        <v>61</v>
      </c>
      <c r="AC711" t="s">
        <v>77</v>
      </c>
      <c r="AD711">
        <v>-5.0000000745058101E-2</v>
      </c>
      <c r="AE711">
        <v>32.251762390136697</v>
      </c>
      <c r="AF711">
        <v>4.9000498243583896</v>
      </c>
      <c r="AG711">
        <v>27739000</v>
      </c>
      <c r="AH711">
        <v>24.1513767242432</v>
      </c>
      <c r="AI711">
        <v>-3.1299529075622599</v>
      </c>
    </row>
    <row r="712" spans="1:35">
      <c r="A712">
        <f t="shared" si="88"/>
        <v>0</v>
      </c>
      <c r="B712">
        <f t="shared" si="89"/>
        <v>0</v>
      </c>
      <c r="C712">
        <f t="shared" si="90"/>
        <v>0</v>
      </c>
      <c r="D712">
        <f t="shared" si="91"/>
        <v>0</v>
      </c>
      <c r="E712">
        <f t="shared" si="92"/>
        <v>0</v>
      </c>
      <c r="F712">
        <f t="shared" si="93"/>
        <v>1</v>
      </c>
      <c r="G712">
        <f t="shared" si="94"/>
        <v>0</v>
      </c>
      <c r="H712">
        <v>0</v>
      </c>
      <c r="I712">
        <f t="shared" si="95"/>
        <v>0</v>
      </c>
      <c r="J712">
        <v>0</v>
      </c>
      <c r="K712" t="s">
        <v>3314</v>
      </c>
      <c r="L712" t="s">
        <v>3315</v>
      </c>
      <c r="M712" t="s">
        <v>27</v>
      </c>
      <c r="N712" t="s">
        <v>27</v>
      </c>
      <c r="O712">
        <v>5.43</v>
      </c>
      <c r="P712">
        <v>11.680255889892599</v>
      </c>
      <c r="Q712" t="s">
        <v>27</v>
      </c>
      <c r="R712">
        <v>8.8599996566772496</v>
      </c>
      <c r="S712">
        <v>12</v>
      </c>
      <c r="T712">
        <v>14.4563856124878</v>
      </c>
      <c r="U712">
        <v>23.574815750122099</v>
      </c>
      <c r="V712">
        <v>-20188000</v>
      </c>
      <c r="W712">
        <v>10.604295730590801</v>
      </c>
      <c r="X712">
        <v>5.0000000745058101E-2</v>
      </c>
      <c r="Y712">
        <v>7.2138729095459002</v>
      </c>
      <c r="Z712" t="s">
        <v>27</v>
      </c>
      <c r="AA712">
        <v>42631000</v>
      </c>
      <c r="AB712" t="s">
        <v>30</v>
      </c>
      <c r="AC712" t="s">
        <v>68</v>
      </c>
      <c r="AD712">
        <v>-0.140000000596046</v>
      </c>
      <c r="AE712">
        <v>21.086057662963899</v>
      </c>
      <c r="AF712">
        <v>7.65852337128893</v>
      </c>
      <c r="AG712">
        <v>41202000</v>
      </c>
      <c r="AH712">
        <v>23.139356613159201</v>
      </c>
      <c r="AI712">
        <v>10.604295730590801</v>
      </c>
    </row>
    <row r="713" spans="1:35">
      <c r="A713">
        <f t="shared" si="88"/>
        <v>1</v>
      </c>
      <c r="B713">
        <f t="shared" si="89"/>
        <v>0</v>
      </c>
      <c r="C713">
        <f t="shared" si="90"/>
        <v>1</v>
      </c>
      <c r="D713">
        <f t="shared" si="91"/>
        <v>0</v>
      </c>
      <c r="E713">
        <f t="shared" si="92"/>
        <v>0</v>
      </c>
      <c r="F713">
        <f t="shared" si="93"/>
        <v>1</v>
      </c>
      <c r="G713">
        <f t="shared" si="94"/>
        <v>0</v>
      </c>
      <c r="H713">
        <v>0</v>
      </c>
      <c r="I713">
        <f t="shared" si="95"/>
        <v>1</v>
      </c>
      <c r="J713">
        <v>0</v>
      </c>
      <c r="K713" t="s">
        <v>3322</v>
      </c>
      <c r="L713" t="s">
        <v>3323</v>
      </c>
      <c r="M713" t="s">
        <v>27</v>
      </c>
      <c r="N713" t="s">
        <v>27</v>
      </c>
      <c r="O713">
        <v>33.89</v>
      </c>
      <c r="P713" t="s">
        <v>27</v>
      </c>
      <c r="Q713" t="s">
        <v>27</v>
      </c>
      <c r="R713">
        <v>28.5</v>
      </c>
      <c r="S713">
        <v>16.21875</v>
      </c>
      <c r="T713" t="s">
        <v>27</v>
      </c>
      <c r="U713" t="s">
        <v>27</v>
      </c>
      <c r="V713">
        <v>18008000</v>
      </c>
      <c r="W713">
        <v>4.0280241966247603</v>
      </c>
      <c r="X713" t="s">
        <v>27</v>
      </c>
      <c r="Y713" t="s">
        <v>27</v>
      </c>
      <c r="Z713" t="s">
        <v>27</v>
      </c>
      <c r="AA713" t="s">
        <v>27</v>
      </c>
      <c r="AB713" t="s">
        <v>61</v>
      </c>
      <c r="AC713" t="s">
        <v>77</v>
      </c>
      <c r="AD713">
        <v>0.20000000298023199</v>
      </c>
      <c r="AE713">
        <v>39.959018707275398</v>
      </c>
      <c r="AF713" t="s">
        <v>27</v>
      </c>
      <c r="AG713">
        <v>31372642</v>
      </c>
      <c r="AH713">
        <v>53.952594757080099</v>
      </c>
      <c r="AI713">
        <v>2.4311261177063002</v>
      </c>
    </row>
    <row r="714" spans="1:35">
      <c r="A714">
        <f t="shared" si="88"/>
        <v>1</v>
      </c>
      <c r="B714">
        <f t="shared" si="89"/>
        <v>0</v>
      </c>
      <c r="C714">
        <f t="shared" si="90"/>
        <v>1</v>
      </c>
      <c r="D714">
        <f t="shared" si="91"/>
        <v>0</v>
      </c>
      <c r="E714">
        <f t="shared" si="92"/>
        <v>0</v>
      </c>
      <c r="F714">
        <f t="shared" si="93"/>
        <v>0</v>
      </c>
      <c r="G714">
        <f t="shared" si="94"/>
        <v>1</v>
      </c>
      <c r="H714">
        <v>0</v>
      </c>
      <c r="I714">
        <f t="shared" si="95"/>
        <v>0</v>
      </c>
      <c r="J714">
        <v>0</v>
      </c>
      <c r="K714" t="s">
        <v>3338</v>
      </c>
      <c r="L714" t="s">
        <v>3339</v>
      </c>
      <c r="M714" t="s">
        <v>27</v>
      </c>
      <c r="N714" t="s">
        <v>27</v>
      </c>
      <c r="O714">
        <v>5.29</v>
      </c>
      <c r="P714">
        <v>4.6923151016235396</v>
      </c>
      <c r="Q714" t="s">
        <v>27</v>
      </c>
      <c r="R714">
        <v>6.03999996185303</v>
      </c>
      <c r="S714">
        <v>3.375</v>
      </c>
      <c r="T714">
        <v>38.3866577148438</v>
      </c>
      <c r="U714">
        <v>20.222953796386701</v>
      </c>
      <c r="V714">
        <v>27795000</v>
      </c>
      <c r="W714">
        <v>2.80642890930176</v>
      </c>
      <c r="X714">
        <v>0.10000000149011599</v>
      </c>
      <c r="Y714">
        <v>28.705883026123001</v>
      </c>
      <c r="Z714">
        <v>7.9207921028137198</v>
      </c>
      <c r="AA714">
        <v>106832352</v>
      </c>
      <c r="AB714" t="s">
        <v>27</v>
      </c>
      <c r="AC714" t="s">
        <v>27</v>
      </c>
      <c r="AD714">
        <v>7.0000000298023196E-2</v>
      </c>
      <c r="AE714">
        <v>21.451597213745099</v>
      </c>
      <c r="AF714">
        <v>5.9555619814915604</v>
      </c>
      <c r="AG714">
        <v>107626048</v>
      </c>
      <c r="AH714">
        <v>21.333452224731399</v>
      </c>
      <c r="AI714">
        <v>-14.3023176193237</v>
      </c>
    </row>
    <row r="715" spans="1:35">
      <c r="A715">
        <f t="shared" si="88"/>
        <v>1</v>
      </c>
      <c r="B715">
        <f t="shared" si="89"/>
        <v>1</v>
      </c>
      <c r="C715">
        <f t="shared" si="90"/>
        <v>0</v>
      </c>
      <c r="D715">
        <f t="shared" si="91"/>
        <v>0</v>
      </c>
      <c r="E715">
        <f t="shared" si="92"/>
        <v>0</v>
      </c>
      <c r="F715">
        <f t="shared" si="93"/>
        <v>1</v>
      </c>
      <c r="G715">
        <f t="shared" si="94"/>
        <v>0</v>
      </c>
      <c r="H715">
        <v>0</v>
      </c>
      <c r="I715">
        <f t="shared" si="95"/>
        <v>0</v>
      </c>
      <c r="J715">
        <v>0</v>
      </c>
      <c r="K715" t="s">
        <v>3346</v>
      </c>
      <c r="L715" t="s">
        <v>3347</v>
      </c>
      <c r="M715" t="s">
        <v>27</v>
      </c>
      <c r="N715" t="s">
        <v>27</v>
      </c>
      <c r="O715">
        <v>34.01</v>
      </c>
      <c r="P715">
        <v>24.127168655395501</v>
      </c>
      <c r="Q715" t="s">
        <v>27</v>
      </c>
      <c r="R715">
        <v>34.459999084472699</v>
      </c>
      <c r="S715">
        <v>54.310001373291001</v>
      </c>
      <c r="T715">
        <v>18.349229812622099</v>
      </c>
      <c r="U715">
        <v>57.414131164550803</v>
      </c>
      <c r="V715">
        <v>-17911004</v>
      </c>
      <c r="W715">
        <v>6.5558919906616202</v>
      </c>
      <c r="X715">
        <v>1.45000004768372</v>
      </c>
      <c r="Y715">
        <v>6.7636361122131303</v>
      </c>
      <c r="Z715" t="s">
        <v>27</v>
      </c>
      <c r="AA715">
        <v>18531000</v>
      </c>
      <c r="AB715" t="s">
        <v>328</v>
      </c>
      <c r="AC715" t="s">
        <v>329</v>
      </c>
      <c r="AD715">
        <v>-5.53999996185303</v>
      </c>
      <c r="AE715">
        <v>22.806737899780298</v>
      </c>
      <c r="AF715" t="s">
        <v>27</v>
      </c>
      <c r="AG715">
        <v>26189000</v>
      </c>
      <c r="AH715">
        <v>12.7670221328735</v>
      </c>
      <c r="AI715">
        <v>18.249843597412099</v>
      </c>
    </row>
    <row r="716" spans="1:35">
      <c r="A716">
        <f t="shared" si="88"/>
        <v>0</v>
      </c>
      <c r="B716">
        <f t="shared" si="89"/>
        <v>1</v>
      </c>
      <c r="C716">
        <f t="shared" si="90"/>
        <v>1</v>
      </c>
      <c r="D716">
        <f t="shared" si="91"/>
        <v>1</v>
      </c>
      <c r="E716">
        <f t="shared" si="92"/>
        <v>0</v>
      </c>
      <c r="F716">
        <f t="shared" si="93"/>
        <v>0</v>
      </c>
      <c r="G716">
        <f t="shared" si="94"/>
        <v>1</v>
      </c>
      <c r="H716">
        <v>0</v>
      </c>
      <c r="I716">
        <f t="shared" si="95"/>
        <v>0</v>
      </c>
      <c r="J716">
        <v>0</v>
      </c>
      <c r="K716" t="s">
        <v>3350</v>
      </c>
      <c r="L716" t="s">
        <v>3351</v>
      </c>
      <c r="M716" t="s">
        <v>27</v>
      </c>
      <c r="N716" t="s">
        <v>27</v>
      </c>
      <c r="O716">
        <v>1.04</v>
      </c>
      <c r="P716" t="s">
        <v>27</v>
      </c>
      <c r="Q716" t="s">
        <v>27</v>
      </c>
      <c r="R716">
        <v>5.1399998664856001</v>
      </c>
      <c r="S716">
        <v>27.9375</v>
      </c>
      <c r="T716">
        <v>20.2800197601318</v>
      </c>
      <c r="U716">
        <v>-87.8701171875</v>
      </c>
      <c r="V716" t="s">
        <v>27</v>
      </c>
      <c r="W716">
        <v>-62.169994354247997</v>
      </c>
      <c r="X716">
        <v>-0.37000000476837203</v>
      </c>
      <c r="Y716" t="s">
        <v>27</v>
      </c>
      <c r="Z716">
        <v>-33.080810546875</v>
      </c>
      <c r="AA716">
        <v>91218000</v>
      </c>
      <c r="AB716" t="s">
        <v>27</v>
      </c>
      <c r="AC716" t="s">
        <v>27</v>
      </c>
      <c r="AD716">
        <v>-0.28000000119209301</v>
      </c>
      <c r="AE716">
        <v>3.24667096138</v>
      </c>
      <c r="AF716" t="s">
        <v>27</v>
      </c>
      <c r="AG716">
        <v>97282000</v>
      </c>
      <c r="AH716">
        <v>25.9247951507568</v>
      </c>
      <c r="AI716">
        <v>-37.280258178710902</v>
      </c>
    </row>
    <row r="717" spans="1:35">
      <c r="A717">
        <f t="shared" si="88"/>
        <v>1</v>
      </c>
      <c r="B717">
        <f t="shared" si="89"/>
        <v>0</v>
      </c>
      <c r="C717">
        <f t="shared" si="90"/>
        <v>0</v>
      </c>
      <c r="D717">
        <f t="shared" si="91"/>
        <v>0</v>
      </c>
      <c r="E717">
        <f t="shared" si="92"/>
        <v>0</v>
      </c>
      <c r="F717">
        <f t="shared" si="93"/>
        <v>1</v>
      </c>
      <c r="G717">
        <f t="shared" si="94"/>
        <v>0</v>
      </c>
      <c r="H717">
        <v>0</v>
      </c>
      <c r="I717">
        <f t="shared" si="95"/>
        <v>0</v>
      </c>
      <c r="J717">
        <v>0</v>
      </c>
      <c r="K717" t="s">
        <v>3352</v>
      </c>
      <c r="L717" t="s">
        <v>3353</v>
      </c>
      <c r="M717" t="s">
        <v>27</v>
      </c>
      <c r="N717" t="s">
        <v>27</v>
      </c>
      <c r="O717">
        <v>3.25</v>
      </c>
      <c r="P717" t="s">
        <v>27</v>
      </c>
      <c r="Q717" t="s">
        <v>27</v>
      </c>
      <c r="R717">
        <v>53.499999046325698</v>
      </c>
      <c r="S717">
        <v>136.25</v>
      </c>
      <c r="T717" t="s">
        <v>27</v>
      </c>
      <c r="U717" t="s">
        <v>27</v>
      </c>
      <c r="V717">
        <v>-9303000</v>
      </c>
      <c r="W717" t="s">
        <v>27</v>
      </c>
      <c r="X717" t="s">
        <v>27</v>
      </c>
      <c r="Y717" t="s">
        <v>27</v>
      </c>
      <c r="Z717" t="s">
        <v>27</v>
      </c>
      <c r="AA717" t="s">
        <v>27</v>
      </c>
      <c r="AB717" t="s">
        <v>27</v>
      </c>
      <c r="AC717" t="s">
        <v>27</v>
      </c>
      <c r="AD717">
        <v>-0.29999999329447702</v>
      </c>
      <c r="AE717">
        <v>20.150148391723601</v>
      </c>
      <c r="AF717" t="s">
        <v>27</v>
      </c>
      <c r="AG717">
        <v>6409200.4000000004</v>
      </c>
      <c r="AH717">
        <v>0</v>
      </c>
      <c r="AI717" t="s">
        <v>27</v>
      </c>
    </row>
    <row r="718" spans="1:35">
      <c r="A718">
        <f t="shared" si="88"/>
        <v>0</v>
      </c>
      <c r="B718">
        <f t="shared" si="89"/>
        <v>0</v>
      </c>
      <c r="C718">
        <f t="shared" si="90"/>
        <v>0</v>
      </c>
      <c r="D718">
        <f t="shared" si="91"/>
        <v>0</v>
      </c>
      <c r="E718">
        <f t="shared" si="92"/>
        <v>0</v>
      </c>
      <c r="F718">
        <f t="shared" si="93"/>
        <v>1</v>
      </c>
      <c r="G718">
        <f t="shared" si="94"/>
        <v>1</v>
      </c>
      <c r="H718">
        <v>0</v>
      </c>
      <c r="I718">
        <f t="shared" si="95"/>
        <v>0</v>
      </c>
      <c r="J718">
        <v>0</v>
      </c>
      <c r="K718" t="s">
        <v>3376</v>
      </c>
      <c r="L718" t="s">
        <v>3377</v>
      </c>
      <c r="M718" t="s">
        <v>27</v>
      </c>
      <c r="N718" t="s">
        <v>27</v>
      </c>
      <c r="O718">
        <v>2.25</v>
      </c>
      <c r="P718" t="s">
        <v>27</v>
      </c>
      <c r="Q718" t="s">
        <v>27</v>
      </c>
      <c r="R718">
        <v>14.0200004577637</v>
      </c>
      <c r="S718">
        <v>42.875</v>
      </c>
      <c r="T718">
        <v>65.720054626464801</v>
      </c>
      <c r="U718">
        <v>48.784000396728501</v>
      </c>
      <c r="V718">
        <v>-55350004</v>
      </c>
      <c r="W718" t="s">
        <v>27</v>
      </c>
      <c r="X718">
        <v>-0.66000002622604403</v>
      </c>
      <c r="Y718" t="s">
        <v>27</v>
      </c>
      <c r="Z718" t="s">
        <v>27</v>
      </c>
      <c r="AA718">
        <v>62278000</v>
      </c>
      <c r="AB718" t="s">
        <v>27</v>
      </c>
      <c r="AC718" t="s">
        <v>27</v>
      </c>
      <c r="AD718">
        <v>-0.72000002861022905</v>
      </c>
      <c r="AE718">
        <v>55.994300842285199</v>
      </c>
      <c r="AF718" t="s">
        <v>27</v>
      </c>
      <c r="AG718">
        <v>67256000</v>
      </c>
      <c r="AH718">
        <v>78.861801147460895</v>
      </c>
      <c r="AI718" t="s">
        <v>27</v>
      </c>
    </row>
    <row r="719" spans="1:35">
      <c r="A719">
        <f t="shared" si="88"/>
        <v>0</v>
      </c>
      <c r="B719">
        <f t="shared" si="89"/>
        <v>1</v>
      </c>
      <c r="C719">
        <f t="shared" si="90"/>
        <v>0</v>
      </c>
      <c r="D719">
        <f t="shared" si="91"/>
        <v>0</v>
      </c>
      <c r="E719">
        <f t="shared" si="92"/>
        <v>1</v>
      </c>
      <c r="F719">
        <f t="shared" si="93"/>
        <v>0</v>
      </c>
      <c r="G719">
        <f t="shared" si="94"/>
        <v>0</v>
      </c>
      <c r="H719">
        <v>0</v>
      </c>
      <c r="I719">
        <f t="shared" si="95"/>
        <v>1</v>
      </c>
      <c r="J719">
        <v>0</v>
      </c>
      <c r="K719" t="s">
        <v>3378</v>
      </c>
      <c r="L719" t="s">
        <v>3379</v>
      </c>
      <c r="M719" t="s">
        <v>27</v>
      </c>
      <c r="N719" t="s">
        <v>27</v>
      </c>
      <c r="O719">
        <v>8.09</v>
      </c>
      <c r="P719" t="s">
        <v>27</v>
      </c>
      <c r="Q719" t="s">
        <v>27</v>
      </c>
      <c r="R719">
        <v>3.7000000476837198</v>
      </c>
      <c r="S719">
        <v>11.550000190734901</v>
      </c>
      <c r="T719">
        <v>57.554359436035199</v>
      </c>
      <c r="U719">
        <v>16.691656112670898</v>
      </c>
      <c r="V719">
        <v>-32467000</v>
      </c>
      <c r="W719">
        <v>-8.6602764129638707</v>
      </c>
      <c r="X719">
        <v>-2.9999999329447701E-2</v>
      </c>
      <c r="Y719" t="s">
        <v>27</v>
      </c>
      <c r="Z719">
        <v>-580</v>
      </c>
      <c r="AA719">
        <v>69613000</v>
      </c>
      <c r="AB719" t="s">
        <v>38</v>
      </c>
      <c r="AC719" t="s">
        <v>118</v>
      </c>
      <c r="AD719">
        <v>-0.97000002861022905</v>
      </c>
      <c r="AE719">
        <v>-28.761674880981399</v>
      </c>
      <c r="AF719">
        <v>38.509197851697799</v>
      </c>
      <c r="AG719">
        <v>69613000</v>
      </c>
      <c r="AH719">
        <v>77.676315307617202</v>
      </c>
      <c r="AI719">
        <v>-2.4004559516906698</v>
      </c>
    </row>
    <row r="720" spans="1:35">
      <c r="A720">
        <f t="shared" si="88"/>
        <v>0</v>
      </c>
      <c r="B720">
        <f t="shared" si="89"/>
        <v>1</v>
      </c>
      <c r="C720">
        <f t="shared" si="90"/>
        <v>0</v>
      </c>
      <c r="D720">
        <f t="shared" si="91"/>
        <v>1</v>
      </c>
      <c r="E720">
        <f t="shared" si="92"/>
        <v>0</v>
      </c>
      <c r="F720">
        <f t="shared" si="93"/>
        <v>0</v>
      </c>
      <c r="G720">
        <f t="shared" si="94"/>
        <v>1</v>
      </c>
      <c r="H720">
        <v>0</v>
      </c>
      <c r="I720">
        <f t="shared" si="95"/>
        <v>0</v>
      </c>
      <c r="J720">
        <v>0</v>
      </c>
      <c r="K720" t="s">
        <v>3380</v>
      </c>
      <c r="L720" t="s">
        <v>3381</v>
      </c>
      <c r="M720" t="s">
        <v>27</v>
      </c>
      <c r="N720" t="s">
        <v>27</v>
      </c>
      <c r="O720">
        <v>11.27</v>
      </c>
      <c r="P720" t="s">
        <v>27</v>
      </c>
      <c r="Q720" t="s">
        <v>27</v>
      </c>
      <c r="R720">
        <v>49.360000610351598</v>
      </c>
      <c r="S720">
        <v>66</v>
      </c>
      <c r="T720">
        <v>107.02716827392599</v>
      </c>
      <c r="U720">
        <v>77.932594299316406</v>
      </c>
      <c r="V720">
        <v>-60916000</v>
      </c>
      <c r="W720">
        <v>-38.301067352294901</v>
      </c>
      <c r="X720">
        <v>-0.62000000476837203</v>
      </c>
      <c r="Y720">
        <v>-2.2088639736175502</v>
      </c>
      <c r="Z720">
        <v>-7.1866288185119602</v>
      </c>
      <c r="AA720">
        <v>73697000</v>
      </c>
      <c r="AB720" t="s">
        <v>27</v>
      </c>
      <c r="AC720" t="s">
        <v>27</v>
      </c>
      <c r="AD720">
        <v>-0.46999999880790699</v>
      </c>
      <c r="AE720">
        <v>91.202438354492202</v>
      </c>
      <c r="AF720" t="s">
        <v>27</v>
      </c>
      <c r="AG720">
        <v>77914000</v>
      </c>
      <c r="AH720">
        <v>121.22494506835901</v>
      </c>
      <c r="AI720">
        <v>-35.248485565185497</v>
      </c>
    </row>
    <row r="721" spans="1:35">
      <c r="A721">
        <f t="shared" si="88"/>
        <v>1</v>
      </c>
      <c r="B721">
        <f t="shared" si="89"/>
        <v>0</v>
      </c>
      <c r="C721">
        <f t="shared" si="90"/>
        <v>1</v>
      </c>
      <c r="D721">
        <f t="shared" si="91"/>
        <v>1</v>
      </c>
      <c r="E721">
        <f t="shared" si="92"/>
        <v>0</v>
      </c>
      <c r="F721">
        <f t="shared" si="93"/>
        <v>1</v>
      </c>
      <c r="G721">
        <f t="shared" si="94"/>
        <v>0</v>
      </c>
      <c r="H721">
        <v>0</v>
      </c>
      <c r="I721">
        <f t="shared" si="95"/>
        <v>0</v>
      </c>
      <c r="J721">
        <v>0</v>
      </c>
      <c r="K721" t="s">
        <v>3382</v>
      </c>
      <c r="L721" t="s">
        <v>3383</v>
      </c>
      <c r="M721" t="s">
        <v>27</v>
      </c>
      <c r="N721" t="s">
        <v>27</v>
      </c>
      <c r="O721">
        <v>22.5</v>
      </c>
      <c r="P721" t="s">
        <v>27</v>
      </c>
      <c r="Q721" t="s">
        <v>27</v>
      </c>
      <c r="R721">
        <v>26.049999237060501</v>
      </c>
      <c r="S721">
        <v>20.125</v>
      </c>
      <c r="T721">
        <v>61.681350708007798</v>
      </c>
      <c r="U721">
        <v>40.6515502929688</v>
      </c>
      <c r="V721">
        <v>3305999.75</v>
      </c>
      <c r="W721">
        <v>2.26240205764771</v>
      </c>
      <c r="X721">
        <v>0.30000001192092901</v>
      </c>
      <c r="Y721" t="s">
        <v>27</v>
      </c>
      <c r="Z721" t="s">
        <v>27</v>
      </c>
      <c r="AA721">
        <v>21389000</v>
      </c>
      <c r="AB721" t="s">
        <v>27</v>
      </c>
      <c r="AC721" t="s">
        <v>27</v>
      </c>
      <c r="AD721">
        <v>0.52999997138977095</v>
      </c>
      <c r="AE721">
        <v>33.157672882080099</v>
      </c>
      <c r="AF721" t="s">
        <v>27</v>
      </c>
      <c r="AG721">
        <v>21979000</v>
      </c>
      <c r="AH721">
        <v>54.853515625</v>
      </c>
      <c r="AI721">
        <v>2.17175388336182</v>
      </c>
    </row>
    <row r="722" spans="1:35">
      <c r="A722">
        <f t="shared" si="88"/>
        <v>1</v>
      </c>
      <c r="B722">
        <f t="shared" si="89"/>
        <v>1</v>
      </c>
      <c r="C722">
        <f t="shared" si="90"/>
        <v>1</v>
      </c>
      <c r="D722">
        <f t="shared" si="91"/>
        <v>1</v>
      </c>
      <c r="E722">
        <f t="shared" si="92"/>
        <v>0</v>
      </c>
      <c r="F722">
        <f t="shared" si="93"/>
        <v>0</v>
      </c>
      <c r="G722">
        <f t="shared" si="94"/>
        <v>0</v>
      </c>
      <c r="H722">
        <v>0</v>
      </c>
      <c r="I722">
        <f t="shared" si="95"/>
        <v>0</v>
      </c>
      <c r="J722">
        <v>0</v>
      </c>
      <c r="K722" t="s">
        <v>3384</v>
      </c>
      <c r="L722" t="s">
        <v>3385</v>
      </c>
      <c r="M722" t="s">
        <v>27</v>
      </c>
      <c r="N722" t="s">
        <v>27</v>
      </c>
      <c r="O722">
        <v>3.23</v>
      </c>
      <c r="P722" t="s">
        <v>27</v>
      </c>
      <c r="Q722" t="s">
        <v>27</v>
      </c>
      <c r="R722">
        <v>8.8000001907348597</v>
      </c>
      <c r="S722">
        <v>11</v>
      </c>
      <c r="T722">
        <v>53.209949493408203</v>
      </c>
      <c r="U722">
        <v>6.6839728355407697</v>
      </c>
      <c r="V722">
        <v>18119000</v>
      </c>
      <c r="W722">
        <v>-45.807426452636697</v>
      </c>
      <c r="X722">
        <v>-1.08000004291534</v>
      </c>
      <c r="Y722">
        <v>-98.424240112304702</v>
      </c>
      <c r="Z722">
        <v>-0.40000000596046398</v>
      </c>
      <c r="AA722">
        <v>3983250</v>
      </c>
      <c r="AB722" t="s">
        <v>27</v>
      </c>
      <c r="AC722" t="s">
        <v>27</v>
      </c>
      <c r="AD722">
        <v>-0.37200000882148698</v>
      </c>
      <c r="AE722">
        <v>-0.192877992987633</v>
      </c>
      <c r="AF722" t="s">
        <v>27</v>
      </c>
      <c r="AG722">
        <v>12061000</v>
      </c>
      <c r="AH722">
        <v>0.17078000307083099</v>
      </c>
      <c r="AI722">
        <v>-17.208747863769499</v>
      </c>
    </row>
    <row r="723" spans="1:35">
      <c r="A723">
        <f t="shared" si="88"/>
        <v>1</v>
      </c>
      <c r="B723">
        <f t="shared" si="89"/>
        <v>0</v>
      </c>
      <c r="C723">
        <f t="shared" si="90"/>
        <v>0</v>
      </c>
      <c r="D723">
        <f t="shared" si="91"/>
        <v>0</v>
      </c>
      <c r="E723">
        <f t="shared" si="92"/>
        <v>0</v>
      </c>
      <c r="F723">
        <f t="shared" si="93"/>
        <v>0</v>
      </c>
      <c r="G723">
        <f t="shared" si="94"/>
        <v>0</v>
      </c>
      <c r="H723">
        <v>0</v>
      </c>
      <c r="I723">
        <f t="shared" si="95"/>
        <v>0</v>
      </c>
      <c r="J723">
        <v>0</v>
      </c>
      <c r="K723" t="s">
        <v>3396</v>
      </c>
      <c r="L723" t="s">
        <v>3397</v>
      </c>
      <c r="M723" t="s">
        <v>27</v>
      </c>
      <c r="N723" t="s">
        <v>27</v>
      </c>
      <c r="O723">
        <v>4.03</v>
      </c>
      <c r="P723" t="s">
        <v>27</v>
      </c>
      <c r="Q723" t="s">
        <v>27</v>
      </c>
      <c r="R723">
        <v>9.1599998474121094</v>
      </c>
      <c r="S723" t="s">
        <v>27</v>
      </c>
      <c r="T723" t="s">
        <v>27</v>
      </c>
      <c r="U723" t="s">
        <v>27</v>
      </c>
      <c r="V723">
        <v>-16458000</v>
      </c>
      <c r="W723" t="s">
        <v>27</v>
      </c>
      <c r="X723" t="s">
        <v>27</v>
      </c>
      <c r="Y723" t="s">
        <v>27</v>
      </c>
      <c r="Z723" t="s">
        <v>27</v>
      </c>
      <c r="AA723" t="s">
        <v>27</v>
      </c>
      <c r="AB723" t="s">
        <v>27</v>
      </c>
      <c r="AC723" t="s">
        <v>27</v>
      </c>
      <c r="AD723">
        <v>-0.140000000596046</v>
      </c>
      <c r="AE723">
        <v>36.383010864257798</v>
      </c>
      <c r="AF723" t="s">
        <v>27</v>
      </c>
      <c r="AG723">
        <v>56242000</v>
      </c>
      <c r="AH723">
        <v>55.305339813232401</v>
      </c>
      <c r="AI723">
        <v>-4.66636419296265</v>
      </c>
    </row>
    <row r="724" spans="1:35">
      <c r="A724">
        <f t="shared" si="88"/>
        <v>1</v>
      </c>
      <c r="B724">
        <f t="shared" si="89"/>
        <v>0</v>
      </c>
      <c r="C724">
        <f t="shared" si="90"/>
        <v>1</v>
      </c>
      <c r="D724">
        <f t="shared" si="91"/>
        <v>0</v>
      </c>
      <c r="E724">
        <f t="shared" si="92"/>
        <v>0</v>
      </c>
      <c r="F724">
        <f t="shared" si="93"/>
        <v>1</v>
      </c>
      <c r="G724">
        <f t="shared" si="94"/>
        <v>0</v>
      </c>
      <c r="H724">
        <v>0</v>
      </c>
      <c r="I724">
        <f t="shared" si="95"/>
        <v>0</v>
      </c>
      <c r="J724">
        <v>0</v>
      </c>
      <c r="K724" t="s">
        <v>3404</v>
      </c>
      <c r="L724" t="s">
        <v>3405</v>
      </c>
      <c r="M724" t="s">
        <v>27</v>
      </c>
      <c r="N724" t="s">
        <v>27</v>
      </c>
      <c r="O724">
        <v>9.5</v>
      </c>
      <c r="P724" t="s">
        <v>27</v>
      </c>
      <c r="Q724" t="s">
        <v>27</v>
      </c>
      <c r="R724">
        <v>17.75</v>
      </c>
      <c r="S724">
        <v>34.409999847412102</v>
      </c>
      <c r="T724" t="s">
        <v>27</v>
      </c>
      <c r="U724" t="s">
        <v>27</v>
      </c>
      <c r="V724" t="s">
        <v>27</v>
      </c>
      <c r="W724">
        <v>9.8033828735351598</v>
      </c>
      <c r="X724">
        <v>0.297520660083265</v>
      </c>
      <c r="Y724" t="s">
        <v>27</v>
      </c>
      <c r="Z724">
        <v>12.6265058517456</v>
      </c>
      <c r="AA724" t="s">
        <v>27</v>
      </c>
      <c r="AB724" t="s">
        <v>328</v>
      </c>
      <c r="AC724" t="s">
        <v>329</v>
      </c>
      <c r="AD724">
        <v>0.24793388340272099</v>
      </c>
      <c r="AE724">
        <v>47.146694183349602</v>
      </c>
      <c r="AF724" t="s">
        <v>27</v>
      </c>
      <c r="AG724">
        <v>5866443.2542836396</v>
      </c>
      <c r="AH724">
        <v>10.9831094741821</v>
      </c>
      <c r="AI724">
        <v>7.0568900108337402</v>
      </c>
    </row>
    <row r="725" spans="1:35">
      <c r="A725">
        <f t="shared" si="88"/>
        <v>1</v>
      </c>
      <c r="B725">
        <f t="shared" si="89"/>
        <v>0</v>
      </c>
      <c r="C725">
        <f t="shared" si="90"/>
        <v>1</v>
      </c>
      <c r="D725">
        <f t="shared" si="91"/>
        <v>0</v>
      </c>
      <c r="E725">
        <f t="shared" si="92"/>
        <v>0</v>
      </c>
      <c r="F725">
        <f t="shared" si="93"/>
        <v>1</v>
      </c>
      <c r="G725">
        <f t="shared" si="94"/>
        <v>0</v>
      </c>
      <c r="H725">
        <v>0</v>
      </c>
      <c r="I725">
        <f t="shared" si="95"/>
        <v>0</v>
      </c>
      <c r="J725">
        <v>0</v>
      </c>
      <c r="K725" t="s">
        <v>3408</v>
      </c>
      <c r="L725" t="s">
        <v>3409</v>
      </c>
      <c r="M725" t="s">
        <v>27</v>
      </c>
      <c r="N725" t="s">
        <v>27</v>
      </c>
      <c r="O725">
        <v>16.39</v>
      </c>
      <c r="P725" t="s">
        <v>27</v>
      </c>
      <c r="Q725" t="s">
        <v>27</v>
      </c>
      <c r="R725">
        <v>19.4799995422363</v>
      </c>
      <c r="S725">
        <v>19.149999618530298</v>
      </c>
      <c r="T725" t="s">
        <v>27</v>
      </c>
      <c r="U725" t="s">
        <v>27</v>
      </c>
      <c r="V725">
        <v>7531000.5</v>
      </c>
      <c r="W725">
        <v>7.8418989181518599</v>
      </c>
      <c r="X725" t="s">
        <v>27</v>
      </c>
      <c r="Y725" t="s">
        <v>27</v>
      </c>
      <c r="Z725">
        <v>5.9139780998229998</v>
      </c>
      <c r="AA725" t="s">
        <v>27</v>
      </c>
      <c r="AB725" t="s">
        <v>27</v>
      </c>
      <c r="AC725" t="s">
        <v>27</v>
      </c>
      <c r="AD725">
        <v>0.28999999165535001</v>
      </c>
      <c r="AE725">
        <v>59.955661773681598</v>
      </c>
      <c r="AF725">
        <v>7.2409840464822297</v>
      </c>
      <c r="AG725">
        <v>37891000</v>
      </c>
      <c r="AH725">
        <v>64.382942199707003</v>
      </c>
      <c r="AI725">
        <v>6.9345188140869096</v>
      </c>
    </row>
    <row r="726" spans="1:35">
      <c r="A726">
        <f t="shared" si="88"/>
        <v>1</v>
      </c>
      <c r="B726">
        <f t="shared" si="89"/>
        <v>0</v>
      </c>
      <c r="C726">
        <f t="shared" si="90"/>
        <v>0</v>
      </c>
      <c r="D726">
        <f t="shared" si="91"/>
        <v>0</v>
      </c>
      <c r="E726">
        <f t="shared" si="92"/>
        <v>0</v>
      </c>
      <c r="F726">
        <f t="shared" si="93"/>
        <v>0</v>
      </c>
      <c r="G726">
        <f t="shared" si="94"/>
        <v>0</v>
      </c>
      <c r="H726">
        <v>0</v>
      </c>
      <c r="I726">
        <f t="shared" si="95"/>
        <v>0</v>
      </c>
      <c r="J726">
        <v>0</v>
      </c>
      <c r="K726" t="s">
        <v>3410</v>
      </c>
      <c r="L726" t="s">
        <v>3411</v>
      </c>
      <c r="M726" t="s">
        <v>27</v>
      </c>
      <c r="N726" t="s">
        <v>27</v>
      </c>
      <c r="O726">
        <v>3.09</v>
      </c>
      <c r="P726" t="s">
        <v>27</v>
      </c>
      <c r="Q726" t="s">
        <v>27</v>
      </c>
      <c r="R726">
        <v>4.71000003814697</v>
      </c>
      <c r="S726">
        <v>35.25</v>
      </c>
      <c r="T726">
        <v>4.9290999770164497E-2</v>
      </c>
      <c r="U726">
        <v>46.7496337890625</v>
      </c>
      <c r="V726">
        <v>-100618000</v>
      </c>
      <c r="W726">
        <v>7.6089002192020402E-2</v>
      </c>
      <c r="X726">
        <v>-0.109999999403954</v>
      </c>
      <c r="Y726">
        <v>6.4814999699592604E-2</v>
      </c>
      <c r="Z726">
        <v>-9.1517858505249006</v>
      </c>
      <c r="AA726">
        <v>272529984</v>
      </c>
      <c r="AB726" t="s">
        <v>27</v>
      </c>
      <c r="AC726" t="s">
        <v>27</v>
      </c>
      <c r="AD726">
        <v>-1</v>
      </c>
      <c r="AE726">
        <v>-477.201904296875</v>
      </c>
      <c r="AF726" t="s">
        <v>27</v>
      </c>
      <c r="AG726">
        <v>273680992</v>
      </c>
      <c r="AH726">
        <v>0</v>
      </c>
      <c r="AI726">
        <v>-17.219678878784201</v>
      </c>
    </row>
    <row r="727" spans="1:35">
      <c r="A727">
        <f t="shared" si="88"/>
        <v>1</v>
      </c>
      <c r="B727">
        <f t="shared" si="89"/>
        <v>1</v>
      </c>
      <c r="C727">
        <f t="shared" si="90"/>
        <v>1</v>
      </c>
      <c r="D727">
        <f t="shared" si="91"/>
        <v>1</v>
      </c>
      <c r="E727">
        <f t="shared" si="92"/>
        <v>0</v>
      </c>
      <c r="F727">
        <f t="shared" si="93"/>
        <v>1</v>
      </c>
      <c r="G727">
        <f t="shared" si="94"/>
        <v>1</v>
      </c>
      <c r="H727">
        <v>0</v>
      </c>
      <c r="I727">
        <f t="shared" si="95"/>
        <v>0</v>
      </c>
      <c r="J727">
        <v>0</v>
      </c>
      <c r="K727" t="s">
        <v>3412</v>
      </c>
      <c r="L727" t="s">
        <v>3413</v>
      </c>
      <c r="M727" t="s">
        <v>27</v>
      </c>
      <c r="N727" t="s">
        <v>27</v>
      </c>
      <c r="O727">
        <v>3.05</v>
      </c>
      <c r="P727">
        <v>6.2284960746765101</v>
      </c>
      <c r="Q727" t="s">
        <v>27</v>
      </c>
      <c r="R727">
        <v>8.2700004577636701</v>
      </c>
      <c r="S727">
        <v>5.5</v>
      </c>
      <c r="T727">
        <v>5.5536952018737802</v>
      </c>
      <c r="U727">
        <v>35.788654327392599</v>
      </c>
      <c r="V727">
        <v>14348000</v>
      </c>
      <c r="W727">
        <v>5.5834698677062997</v>
      </c>
      <c r="X727">
        <v>-7.0000000298023196E-2</v>
      </c>
      <c r="Y727">
        <v>7.0697679519653303</v>
      </c>
      <c r="Z727" t="s">
        <v>27</v>
      </c>
      <c r="AA727">
        <v>40550000</v>
      </c>
      <c r="AB727" t="s">
        <v>38</v>
      </c>
      <c r="AC727" t="s">
        <v>628</v>
      </c>
      <c r="AD727">
        <v>3.9999999105930301E-2</v>
      </c>
      <c r="AE727">
        <v>36.737861633300803</v>
      </c>
      <c r="AF727">
        <v>0.68019025778230802</v>
      </c>
      <c r="AG727">
        <v>40161000</v>
      </c>
      <c r="AH727">
        <v>3.0899999546818403E-4</v>
      </c>
      <c r="AI727">
        <v>11.7511653900146</v>
      </c>
    </row>
    <row r="728" spans="1:35">
      <c r="A728">
        <f t="shared" si="88"/>
        <v>1</v>
      </c>
      <c r="B728">
        <f t="shared" si="89"/>
        <v>0</v>
      </c>
      <c r="C728">
        <f t="shared" si="90"/>
        <v>0</v>
      </c>
      <c r="D728">
        <f t="shared" si="91"/>
        <v>0</v>
      </c>
      <c r="E728">
        <f t="shared" si="92"/>
        <v>0</v>
      </c>
      <c r="F728">
        <f t="shared" si="93"/>
        <v>0</v>
      </c>
      <c r="G728">
        <f t="shared" si="94"/>
        <v>0</v>
      </c>
      <c r="H728">
        <v>0</v>
      </c>
      <c r="I728">
        <f t="shared" si="95"/>
        <v>1</v>
      </c>
      <c r="J728">
        <v>0</v>
      </c>
      <c r="K728" t="s">
        <v>3416</v>
      </c>
      <c r="L728" t="s">
        <v>3417</v>
      </c>
      <c r="M728" t="s">
        <v>27</v>
      </c>
      <c r="N728" t="s">
        <v>27</v>
      </c>
      <c r="O728">
        <v>42.27</v>
      </c>
      <c r="P728" t="s">
        <v>27</v>
      </c>
      <c r="Q728" t="s">
        <v>27</v>
      </c>
      <c r="R728">
        <v>36.099998474121101</v>
      </c>
      <c r="S728">
        <v>49.875</v>
      </c>
      <c r="T728">
        <v>2.4239459037780802</v>
      </c>
      <c r="U728" t="s">
        <v>27</v>
      </c>
      <c r="V728">
        <v>-14164000</v>
      </c>
      <c r="W728">
        <v>-59.544830322265597</v>
      </c>
      <c r="X728">
        <v>-0.54000002145767201</v>
      </c>
      <c r="Y728">
        <v>-4.26094722747803</v>
      </c>
      <c r="Z728">
        <v>-9.6866102218627894</v>
      </c>
      <c r="AA728">
        <v>15781000</v>
      </c>
      <c r="AB728" t="s">
        <v>73</v>
      </c>
      <c r="AC728" t="s">
        <v>141</v>
      </c>
      <c r="AD728">
        <v>-0.86000001430511497</v>
      </c>
      <c r="AE728" t="s">
        <v>27</v>
      </c>
      <c r="AF728" t="s">
        <v>27</v>
      </c>
      <c r="AG728">
        <v>17395000</v>
      </c>
      <c r="AH728">
        <v>2.3207449913024898</v>
      </c>
      <c r="AI728">
        <v>-67.545471191406307</v>
      </c>
    </row>
    <row r="729" spans="1:35">
      <c r="A729">
        <f t="shared" si="88"/>
        <v>1</v>
      </c>
      <c r="B729">
        <f t="shared" si="89"/>
        <v>1</v>
      </c>
      <c r="C729">
        <f t="shared" si="90"/>
        <v>1</v>
      </c>
      <c r="D729">
        <f t="shared" si="91"/>
        <v>0</v>
      </c>
      <c r="E729">
        <f t="shared" si="92"/>
        <v>0</v>
      </c>
      <c r="F729">
        <f t="shared" si="93"/>
        <v>1</v>
      </c>
      <c r="G729">
        <f t="shared" si="94"/>
        <v>0</v>
      </c>
      <c r="H729">
        <v>0</v>
      </c>
      <c r="I729">
        <f t="shared" si="95"/>
        <v>0</v>
      </c>
      <c r="J729">
        <v>0</v>
      </c>
      <c r="K729" t="s">
        <v>3418</v>
      </c>
      <c r="L729" t="s">
        <v>3419</v>
      </c>
      <c r="M729" t="s">
        <v>27</v>
      </c>
      <c r="N729" t="s">
        <v>27</v>
      </c>
      <c r="O729">
        <v>7.26</v>
      </c>
      <c r="P729" t="s">
        <v>27</v>
      </c>
      <c r="Q729" t="s">
        <v>27</v>
      </c>
      <c r="R729">
        <v>12.9799995422363</v>
      </c>
      <c r="S729" t="s">
        <v>27</v>
      </c>
      <c r="T729" t="s">
        <v>27</v>
      </c>
      <c r="U729" t="s">
        <v>27</v>
      </c>
      <c r="V729">
        <v>1745000</v>
      </c>
      <c r="W729">
        <v>-9.1397066116333008</v>
      </c>
      <c r="X729" t="s">
        <v>27</v>
      </c>
      <c r="Y729" t="s">
        <v>27</v>
      </c>
      <c r="Z729" t="s">
        <v>27</v>
      </c>
      <c r="AA729" t="s">
        <v>27</v>
      </c>
      <c r="AB729" t="s">
        <v>38</v>
      </c>
      <c r="AC729" t="s">
        <v>118</v>
      </c>
      <c r="AD729">
        <v>0.239999994635582</v>
      </c>
      <c r="AE729">
        <v>38.024524688720703</v>
      </c>
      <c r="AF729" t="s">
        <v>27</v>
      </c>
      <c r="AG729">
        <v>6677000</v>
      </c>
      <c r="AH729">
        <v>8.1042757034301793</v>
      </c>
      <c r="AI729">
        <v>3.2836060523986799</v>
      </c>
    </row>
    <row r="730" spans="1:35">
      <c r="A730">
        <f t="shared" si="88"/>
        <v>0</v>
      </c>
      <c r="B730">
        <f t="shared" si="89"/>
        <v>0</v>
      </c>
      <c r="C730">
        <f t="shared" si="90"/>
        <v>0</v>
      </c>
      <c r="D730">
        <f t="shared" si="91"/>
        <v>1</v>
      </c>
      <c r="E730">
        <f t="shared" si="92"/>
        <v>0</v>
      </c>
      <c r="F730">
        <f t="shared" si="93"/>
        <v>1</v>
      </c>
      <c r="G730">
        <f t="shared" si="94"/>
        <v>1</v>
      </c>
      <c r="H730">
        <v>0</v>
      </c>
      <c r="I730">
        <f t="shared" si="95"/>
        <v>0</v>
      </c>
      <c r="J730">
        <v>0</v>
      </c>
      <c r="K730" t="s">
        <v>3424</v>
      </c>
      <c r="L730" t="s">
        <v>3425</v>
      </c>
      <c r="M730" t="s">
        <v>27</v>
      </c>
      <c r="N730" t="s">
        <v>27</v>
      </c>
      <c r="O730">
        <v>10.98</v>
      </c>
      <c r="P730">
        <v>8.3721647262573207</v>
      </c>
      <c r="Q730" t="s">
        <v>27</v>
      </c>
      <c r="R730">
        <v>16.350000381469702</v>
      </c>
      <c r="S730">
        <v>6</v>
      </c>
      <c r="T730">
        <v>41.396915435791001</v>
      </c>
      <c r="U730">
        <v>16.868631362915</v>
      </c>
      <c r="V730">
        <v>-8116000</v>
      </c>
      <c r="W730">
        <v>7.0868391990661603</v>
      </c>
      <c r="X730">
        <v>9.9999997764825804E-3</v>
      </c>
      <c r="Y730">
        <v>6.1686749458312997</v>
      </c>
      <c r="Z730">
        <v>5.61966896057129</v>
      </c>
      <c r="AA730">
        <v>9706000</v>
      </c>
      <c r="AB730" t="s">
        <v>30</v>
      </c>
      <c r="AC730" t="s">
        <v>1457</v>
      </c>
      <c r="AD730">
        <v>0.18000000715255701</v>
      </c>
      <c r="AE730">
        <v>16.960502624511701</v>
      </c>
      <c r="AF730">
        <v>5.8709328546276804</v>
      </c>
      <c r="AG730">
        <v>9892000</v>
      </c>
      <c r="AH730">
        <v>41.591438293457003</v>
      </c>
      <c r="AI730">
        <v>1.9433239698410001</v>
      </c>
    </row>
    <row r="731" spans="1:35">
      <c r="A731">
        <f t="shared" si="88"/>
        <v>1</v>
      </c>
      <c r="B731">
        <f t="shared" si="89"/>
        <v>1</v>
      </c>
      <c r="C731">
        <f t="shared" si="90"/>
        <v>1</v>
      </c>
      <c r="D731">
        <f t="shared" si="91"/>
        <v>0</v>
      </c>
      <c r="E731">
        <f t="shared" si="92"/>
        <v>0</v>
      </c>
      <c r="F731">
        <f t="shared" si="93"/>
        <v>1</v>
      </c>
      <c r="G731">
        <f t="shared" si="94"/>
        <v>0</v>
      </c>
      <c r="H731">
        <v>0</v>
      </c>
      <c r="I731">
        <f t="shared" si="95"/>
        <v>0</v>
      </c>
      <c r="J731">
        <v>0</v>
      </c>
      <c r="K731" t="s">
        <v>3428</v>
      </c>
      <c r="L731" t="s">
        <v>3429</v>
      </c>
      <c r="M731" t="s">
        <v>27</v>
      </c>
      <c r="N731" t="s">
        <v>27</v>
      </c>
      <c r="O731">
        <v>3.49</v>
      </c>
      <c r="P731">
        <v>7.2075991630554199</v>
      </c>
      <c r="Q731" t="s">
        <v>27</v>
      </c>
      <c r="R731">
        <v>9.3000001907348597</v>
      </c>
      <c r="S731">
        <v>8.6499996185302699</v>
      </c>
      <c r="T731">
        <v>41.706462860107401</v>
      </c>
      <c r="U731">
        <v>12.0713949203491</v>
      </c>
      <c r="V731">
        <v>299090016</v>
      </c>
      <c r="W731">
        <v>4.8691258430481001</v>
      </c>
      <c r="X731">
        <v>0.15000000596046401</v>
      </c>
      <c r="Y731">
        <v>22.6133327484131</v>
      </c>
      <c r="Z731">
        <v>12.691770553588899</v>
      </c>
      <c r="AA731">
        <v>44967000</v>
      </c>
      <c r="AB731" t="s">
        <v>27</v>
      </c>
      <c r="AC731" t="s">
        <v>27</v>
      </c>
      <c r="AD731">
        <v>-2.9999999329447701E-2</v>
      </c>
      <c r="AE731">
        <v>9.9355449676513707</v>
      </c>
      <c r="AF731" t="s">
        <v>27</v>
      </c>
      <c r="AG731">
        <v>48077000</v>
      </c>
      <c r="AH731">
        <v>35.448360443115199</v>
      </c>
      <c r="AI731">
        <v>5.2169919013977104</v>
      </c>
    </row>
    <row r="732" spans="1:35">
      <c r="A732">
        <f t="shared" si="88"/>
        <v>1</v>
      </c>
      <c r="B732">
        <f t="shared" si="89"/>
        <v>0</v>
      </c>
      <c r="C732">
        <f t="shared" si="90"/>
        <v>0</v>
      </c>
      <c r="D732">
        <f t="shared" si="91"/>
        <v>0</v>
      </c>
      <c r="E732">
        <f t="shared" si="92"/>
        <v>0</v>
      </c>
      <c r="F732">
        <f t="shared" si="93"/>
        <v>0</v>
      </c>
      <c r="G732">
        <f t="shared" si="94"/>
        <v>0</v>
      </c>
      <c r="H732">
        <v>0</v>
      </c>
      <c r="I732">
        <f t="shared" si="95"/>
        <v>1</v>
      </c>
      <c r="J732">
        <v>0</v>
      </c>
      <c r="K732" t="s">
        <v>3430</v>
      </c>
      <c r="L732" t="s">
        <v>3431</v>
      </c>
      <c r="M732" t="s">
        <v>27</v>
      </c>
      <c r="N732" t="s">
        <v>27</v>
      </c>
      <c r="O732">
        <v>21.19</v>
      </c>
      <c r="P732">
        <v>11.736245155334499</v>
      </c>
      <c r="Q732" t="s">
        <v>27</v>
      </c>
      <c r="R732">
        <v>18.559999465942401</v>
      </c>
      <c r="S732">
        <v>12.1875</v>
      </c>
      <c r="T732">
        <v>29.403232574462901</v>
      </c>
      <c r="U732">
        <v>32.006843566894503</v>
      </c>
      <c r="V732">
        <v>-421000</v>
      </c>
      <c r="W732">
        <v>2.2768759727478001</v>
      </c>
      <c r="X732">
        <v>0.28000000119209301</v>
      </c>
      <c r="Y732">
        <v>5.1457290649414098</v>
      </c>
      <c r="Z732">
        <v>3.08686304092407</v>
      </c>
      <c r="AA732">
        <v>31173000</v>
      </c>
      <c r="AB732" t="s">
        <v>38</v>
      </c>
      <c r="AC732" t="s">
        <v>89</v>
      </c>
      <c r="AD732">
        <v>-0.129999995231628</v>
      </c>
      <c r="AE732">
        <v>21.94504737854</v>
      </c>
      <c r="AF732">
        <v>5.6258005571360803</v>
      </c>
      <c r="AG732">
        <v>36641000</v>
      </c>
      <c r="AH732">
        <v>15.149147033691399</v>
      </c>
      <c r="AI732">
        <v>-2.0038759708404501</v>
      </c>
    </row>
    <row r="733" spans="1:35">
      <c r="A733">
        <f t="shared" si="88"/>
        <v>0</v>
      </c>
      <c r="B733">
        <f t="shared" si="89"/>
        <v>0</v>
      </c>
      <c r="C733">
        <f t="shared" si="90"/>
        <v>1</v>
      </c>
      <c r="D733">
        <f t="shared" si="91"/>
        <v>0</v>
      </c>
      <c r="E733">
        <f t="shared" si="92"/>
        <v>0</v>
      </c>
      <c r="F733">
        <f t="shared" si="93"/>
        <v>0</v>
      </c>
      <c r="G733">
        <f t="shared" si="94"/>
        <v>1</v>
      </c>
      <c r="H733">
        <v>0</v>
      </c>
      <c r="I733">
        <f t="shared" si="95"/>
        <v>1</v>
      </c>
      <c r="J733">
        <v>0</v>
      </c>
      <c r="K733" t="s">
        <v>3432</v>
      </c>
      <c r="L733" t="s">
        <v>3433</v>
      </c>
      <c r="M733" t="s">
        <v>27</v>
      </c>
      <c r="N733" t="s">
        <v>27</v>
      </c>
      <c r="O733">
        <v>3.81</v>
      </c>
      <c r="P733" t="s">
        <v>27</v>
      </c>
      <c r="Q733" t="s">
        <v>27</v>
      </c>
      <c r="R733">
        <v>1.5899999141709</v>
      </c>
      <c r="S733">
        <v>6.37500000000637</v>
      </c>
      <c r="T733">
        <v>22.7487907409668</v>
      </c>
      <c r="U733">
        <v>49.817295074462898</v>
      </c>
      <c r="V733">
        <v>4150999.75</v>
      </c>
      <c r="W733">
        <v>32.376613616943402</v>
      </c>
      <c r="X733">
        <v>-1.43999996781493</v>
      </c>
      <c r="Y733">
        <v>-0.68085098266601596</v>
      </c>
      <c r="Z733">
        <v>-184.44444274902301</v>
      </c>
      <c r="AA733">
        <v>26006999.999974001</v>
      </c>
      <c r="AB733" t="s">
        <v>27</v>
      </c>
      <c r="AC733" t="s">
        <v>27</v>
      </c>
      <c r="AD733">
        <v>-6.1799998283448003</v>
      </c>
      <c r="AE733">
        <v>53.552852630615199</v>
      </c>
      <c r="AF733">
        <v>3.3794694832640699</v>
      </c>
      <c r="AG733">
        <v>27150999.999972899</v>
      </c>
      <c r="AH733">
        <v>92.811309814453097</v>
      </c>
      <c r="AI733">
        <v>-19.878059387206999</v>
      </c>
    </row>
    <row r="734" spans="1:35">
      <c r="A734">
        <f t="shared" si="88"/>
        <v>0</v>
      </c>
      <c r="B734">
        <f t="shared" si="89"/>
        <v>0</v>
      </c>
      <c r="C734">
        <f t="shared" si="90"/>
        <v>1</v>
      </c>
      <c r="D734">
        <f t="shared" si="91"/>
        <v>0</v>
      </c>
      <c r="E734">
        <f t="shared" si="92"/>
        <v>0</v>
      </c>
      <c r="F734">
        <f t="shared" si="93"/>
        <v>1</v>
      </c>
      <c r="G734">
        <f t="shared" si="94"/>
        <v>0</v>
      </c>
      <c r="H734">
        <v>0</v>
      </c>
      <c r="I734">
        <f t="shared" si="95"/>
        <v>1</v>
      </c>
      <c r="J734">
        <v>0</v>
      </c>
      <c r="K734" t="s">
        <v>3436</v>
      </c>
      <c r="L734" t="s">
        <v>3437</v>
      </c>
      <c r="M734" t="s">
        <v>27</v>
      </c>
      <c r="N734" t="s">
        <v>27</v>
      </c>
      <c r="O734">
        <v>29.3</v>
      </c>
      <c r="P734" t="s">
        <v>27</v>
      </c>
      <c r="Q734" t="s">
        <v>27</v>
      </c>
      <c r="R734">
        <v>22.559999465942401</v>
      </c>
      <c r="S734">
        <v>22.200000762939499</v>
      </c>
      <c r="T734">
        <v>69.039482116699205</v>
      </c>
      <c r="U734" t="s">
        <v>27</v>
      </c>
      <c r="V734">
        <v>7965000</v>
      </c>
      <c r="W734">
        <v>3.2412068843841602</v>
      </c>
      <c r="X734">
        <v>0.259999990463257</v>
      </c>
      <c r="Y734">
        <v>4.3636360168456996</v>
      </c>
      <c r="Z734">
        <v>1.4975850582122801</v>
      </c>
      <c r="AA734">
        <v>7918911</v>
      </c>
      <c r="AB734" t="s">
        <v>83</v>
      </c>
      <c r="AC734" t="s">
        <v>84</v>
      </c>
      <c r="AD734">
        <v>0.17000000178813901</v>
      </c>
      <c r="AE734" t="s">
        <v>27</v>
      </c>
      <c r="AF734">
        <v>9.3864597191426498</v>
      </c>
      <c r="AG734">
        <v>7929711</v>
      </c>
      <c r="AH734">
        <v>74.937431335449205</v>
      </c>
      <c r="AI734">
        <v>0.88227099180221602</v>
      </c>
    </row>
    <row r="735" spans="1:35">
      <c r="A735">
        <f t="shared" si="88"/>
        <v>0</v>
      </c>
      <c r="B735">
        <f t="shared" si="89"/>
        <v>1</v>
      </c>
      <c r="C735">
        <f t="shared" si="90"/>
        <v>0</v>
      </c>
      <c r="D735">
        <f t="shared" si="91"/>
        <v>0</v>
      </c>
      <c r="E735">
        <f t="shared" si="92"/>
        <v>0</v>
      </c>
      <c r="F735">
        <f t="shared" si="93"/>
        <v>0</v>
      </c>
      <c r="G735">
        <f t="shared" si="94"/>
        <v>0</v>
      </c>
      <c r="H735">
        <v>0</v>
      </c>
      <c r="I735">
        <f t="shared" si="95"/>
        <v>0</v>
      </c>
      <c r="J735">
        <v>0</v>
      </c>
      <c r="K735" t="s">
        <v>3438</v>
      </c>
      <c r="L735" t="s">
        <v>3439</v>
      </c>
      <c r="M735" t="s">
        <v>27</v>
      </c>
      <c r="N735" t="s">
        <v>27</v>
      </c>
      <c r="O735">
        <v>8.4600000000000009</v>
      </c>
      <c r="P735" t="s">
        <v>27</v>
      </c>
      <c r="Q735" t="s">
        <v>27</v>
      </c>
      <c r="R735">
        <v>13.7799997329712</v>
      </c>
      <c r="S735">
        <v>36.3125</v>
      </c>
      <c r="T735">
        <v>3.4899389743804901</v>
      </c>
      <c r="U735" t="s">
        <v>27</v>
      </c>
      <c r="V735">
        <v>-2318000</v>
      </c>
      <c r="W735">
        <v>-47.283039093017599</v>
      </c>
      <c r="X735">
        <v>-3.9999999105930301E-2</v>
      </c>
      <c r="Y735" t="s">
        <v>27</v>
      </c>
      <c r="Z735">
        <v>-1.96343898773193</v>
      </c>
      <c r="AA735">
        <v>42640000</v>
      </c>
      <c r="AB735" t="s">
        <v>27</v>
      </c>
      <c r="AC735" t="s">
        <v>27</v>
      </c>
      <c r="AD735">
        <v>-7.9999998211860698E-2</v>
      </c>
      <c r="AE735" t="s">
        <v>27</v>
      </c>
      <c r="AF735" t="s">
        <v>27</v>
      </c>
      <c r="AG735">
        <v>44076000</v>
      </c>
      <c r="AH735">
        <v>3.5154330730438201</v>
      </c>
      <c r="AI735">
        <v>-0.60466802120208696</v>
      </c>
    </row>
    <row r="736" spans="1:35">
      <c r="A736">
        <f t="shared" si="88"/>
        <v>1</v>
      </c>
      <c r="B736">
        <f t="shared" si="89"/>
        <v>0</v>
      </c>
      <c r="C736">
        <f t="shared" si="90"/>
        <v>0</v>
      </c>
      <c r="D736">
        <f t="shared" si="91"/>
        <v>0</v>
      </c>
      <c r="E736">
        <f t="shared" si="92"/>
        <v>0</v>
      </c>
      <c r="F736">
        <f t="shared" si="93"/>
        <v>0</v>
      </c>
      <c r="G736">
        <f t="shared" si="94"/>
        <v>0</v>
      </c>
      <c r="H736">
        <v>0</v>
      </c>
      <c r="I736">
        <f t="shared" si="95"/>
        <v>0</v>
      </c>
      <c r="J736">
        <v>0</v>
      </c>
      <c r="K736" t="s">
        <v>3440</v>
      </c>
      <c r="L736" t="s">
        <v>3441</v>
      </c>
      <c r="M736" t="s">
        <v>27</v>
      </c>
      <c r="N736" t="s">
        <v>27</v>
      </c>
      <c r="O736">
        <v>0.42</v>
      </c>
      <c r="P736" t="s">
        <v>27</v>
      </c>
      <c r="Q736" t="s">
        <v>27</v>
      </c>
      <c r="R736">
        <v>9.3999996185302699</v>
      </c>
      <c r="S736">
        <v>7</v>
      </c>
      <c r="T736">
        <v>64.064193725585895</v>
      </c>
      <c r="U736" t="s">
        <v>27</v>
      </c>
      <c r="V736">
        <v>-12913000</v>
      </c>
      <c r="W736">
        <v>-40.077465057372997</v>
      </c>
      <c r="X736">
        <v>-0.140000000596046</v>
      </c>
      <c r="Y736">
        <v>-6.4657530784606898</v>
      </c>
      <c r="Z736">
        <v>-9.4936714172363299</v>
      </c>
      <c r="AA736">
        <v>24460000</v>
      </c>
      <c r="AB736" t="s">
        <v>27</v>
      </c>
      <c r="AC736" t="s">
        <v>27</v>
      </c>
      <c r="AD736">
        <v>-0.20999999344348899</v>
      </c>
      <c r="AE736">
        <v>10.6921501159668</v>
      </c>
      <c r="AF736" t="s">
        <v>27</v>
      </c>
      <c r="AG736">
        <v>28193000</v>
      </c>
      <c r="AH736">
        <v>44.7302436828613</v>
      </c>
      <c r="AI736">
        <v>-58.070487976074197</v>
      </c>
    </row>
    <row r="737" spans="1:35">
      <c r="A737">
        <f t="shared" si="88"/>
        <v>1</v>
      </c>
      <c r="B737">
        <f t="shared" si="89"/>
        <v>0</v>
      </c>
      <c r="C737">
        <f t="shared" si="90"/>
        <v>0</v>
      </c>
      <c r="D737">
        <f t="shared" si="91"/>
        <v>0</v>
      </c>
      <c r="E737">
        <f t="shared" si="92"/>
        <v>0</v>
      </c>
      <c r="F737">
        <f t="shared" si="93"/>
        <v>0</v>
      </c>
      <c r="G737">
        <f t="shared" si="94"/>
        <v>0</v>
      </c>
      <c r="H737">
        <v>0</v>
      </c>
      <c r="I737">
        <f t="shared" si="95"/>
        <v>0</v>
      </c>
      <c r="J737">
        <v>0</v>
      </c>
      <c r="K737" t="s">
        <v>3448</v>
      </c>
      <c r="L737" t="s">
        <v>3449</v>
      </c>
      <c r="M737" t="s">
        <v>27</v>
      </c>
      <c r="N737" t="s">
        <v>27</v>
      </c>
      <c r="O737">
        <v>5.22</v>
      </c>
      <c r="P737" t="s">
        <v>27</v>
      </c>
      <c r="Q737" t="s">
        <v>27</v>
      </c>
      <c r="R737">
        <v>6.0700001716613796</v>
      </c>
      <c r="S737">
        <v>10.25</v>
      </c>
      <c r="T737">
        <v>18.658819198608398</v>
      </c>
      <c r="U737" t="s">
        <v>27</v>
      </c>
      <c r="V737">
        <v>-1598000</v>
      </c>
      <c r="W737">
        <v>-0.398694008588791</v>
      </c>
      <c r="X737">
        <v>0</v>
      </c>
      <c r="Y737">
        <v>-0.39436599612236001</v>
      </c>
      <c r="Z737">
        <v>-5.4862837791442898</v>
      </c>
      <c r="AA737">
        <v>176367008</v>
      </c>
      <c r="AB737" t="s">
        <v>34</v>
      </c>
      <c r="AC737" t="s">
        <v>237</v>
      </c>
      <c r="AD737">
        <v>-7.0000000298023196E-2</v>
      </c>
      <c r="AE737" t="s">
        <v>27</v>
      </c>
      <c r="AF737">
        <v>44.455336260032801</v>
      </c>
      <c r="AG737">
        <v>215178000</v>
      </c>
      <c r="AH737">
        <v>10.2479257583618</v>
      </c>
      <c r="AI737">
        <v>-2.4470129013061501</v>
      </c>
    </row>
    <row r="738" spans="1:35">
      <c r="A738">
        <f t="shared" si="88"/>
        <v>1</v>
      </c>
      <c r="B738">
        <f t="shared" si="89"/>
        <v>0</v>
      </c>
      <c r="C738">
        <f t="shared" si="90"/>
        <v>0</v>
      </c>
      <c r="D738">
        <f t="shared" si="91"/>
        <v>1</v>
      </c>
      <c r="E738">
        <f t="shared" si="92"/>
        <v>0</v>
      </c>
      <c r="F738">
        <f t="shared" si="93"/>
        <v>0</v>
      </c>
      <c r="G738">
        <f t="shared" si="94"/>
        <v>1</v>
      </c>
      <c r="H738">
        <v>0</v>
      </c>
      <c r="I738">
        <f t="shared" si="95"/>
        <v>0</v>
      </c>
      <c r="J738">
        <v>0</v>
      </c>
      <c r="K738" t="s">
        <v>3450</v>
      </c>
      <c r="L738" t="s">
        <v>3451</v>
      </c>
      <c r="M738" t="s">
        <v>27</v>
      </c>
      <c r="N738" t="s">
        <v>27</v>
      </c>
      <c r="O738">
        <v>3.7</v>
      </c>
      <c r="P738" t="s">
        <v>27</v>
      </c>
      <c r="Q738" t="s">
        <v>27</v>
      </c>
      <c r="R738">
        <v>8.4200000762939506</v>
      </c>
      <c r="S738">
        <v>13.0625</v>
      </c>
      <c r="T738">
        <v>37.573524475097699</v>
      </c>
      <c r="U738">
        <v>17.5380458831787</v>
      </c>
      <c r="V738">
        <v>-7237000</v>
      </c>
      <c r="W738">
        <v>-0.15213799476623499</v>
      </c>
      <c r="X738">
        <v>-9.9999997764825804E-3</v>
      </c>
      <c r="Y738">
        <v>-1.12000000476837</v>
      </c>
      <c r="Z738">
        <v>0.18348599970340701</v>
      </c>
      <c r="AA738">
        <v>92189000</v>
      </c>
      <c r="AB738" t="s">
        <v>27</v>
      </c>
      <c r="AC738" t="s">
        <v>27</v>
      </c>
      <c r="AD738">
        <v>5.0000000745058101E-2</v>
      </c>
      <c r="AE738">
        <v>19.320898056030298</v>
      </c>
      <c r="AF738">
        <v>5.4333923023322503</v>
      </c>
      <c r="AG738">
        <v>92951000</v>
      </c>
      <c r="AH738">
        <v>32.921466827392599</v>
      </c>
      <c r="AI738">
        <v>-2.2461140155792201</v>
      </c>
    </row>
    <row r="739" spans="1:35">
      <c r="A739">
        <f t="shared" ref="A739:A801" si="96">IF(AH739&lt;T739,1,0)</f>
        <v>1</v>
      </c>
      <c r="B739">
        <f t="shared" ref="B739:B801" si="97">IF(AI739&gt;W739,1,0)</f>
        <v>0</v>
      </c>
      <c r="C739">
        <f t="shared" ref="C739:C801" si="98">IF(V739&gt;0,1,0)</f>
        <v>0</v>
      </c>
      <c r="D739">
        <f t="shared" ref="D739:D801" si="99">IF(AD739&gt;X739,1,0)</f>
        <v>1</v>
      </c>
      <c r="E739">
        <f t="shared" ref="E739:E801" si="100">IF(AA739=AG739,1,0)</f>
        <v>0</v>
      </c>
      <c r="F739">
        <f t="shared" ref="F739:F801" si="101">IF(AI739&gt;0,1,0)</f>
        <v>0</v>
      </c>
      <c r="G739">
        <f t="shared" ref="G739:G801" si="102">IF(AE739&gt;U739,1,0)</f>
        <v>0</v>
      </c>
      <c r="H739">
        <v>0</v>
      </c>
      <c r="I739">
        <f t="shared" ref="I739:I801" si="103">IF(((O739-R739)/R739)&gt;0.075,1,0)</f>
        <v>0</v>
      </c>
      <c r="J739">
        <v>0</v>
      </c>
      <c r="K739" t="s">
        <v>3454</v>
      </c>
      <c r="L739" t="s">
        <v>3455</v>
      </c>
      <c r="M739" t="s">
        <v>27</v>
      </c>
      <c r="N739" t="s">
        <v>27</v>
      </c>
      <c r="O739">
        <v>25.15</v>
      </c>
      <c r="P739">
        <v>0.21280199289321899</v>
      </c>
      <c r="Q739" t="s">
        <v>27</v>
      </c>
      <c r="R739">
        <v>25.649999618530298</v>
      </c>
      <c r="S739">
        <v>20.100000381469702</v>
      </c>
      <c r="T739">
        <v>47.216724395752003</v>
      </c>
      <c r="U739">
        <v>29.434160232543899</v>
      </c>
      <c r="V739">
        <v>-7639000</v>
      </c>
      <c r="W739">
        <v>1.4355779886245701</v>
      </c>
      <c r="X739">
        <v>0</v>
      </c>
      <c r="Y739">
        <v>-7.9051002860069303E-2</v>
      </c>
      <c r="Z739">
        <v>0.13333299756050099</v>
      </c>
      <c r="AA739">
        <v>12712236</v>
      </c>
      <c r="AB739" t="s">
        <v>83</v>
      </c>
      <c r="AC739" t="s">
        <v>1924</v>
      </c>
      <c r="AD739">
        <v>1.9999999552965199E-2</v>
      </c>
      <c r="AE739">
        <v>27.7293796539307</v>
      </c>
      <c r="AF739">
        <v>225.265942959923</v>
      </c>
      <c r="AG739">
        <v>14318183</v>
      </c>
      <c r="AH739">
        <v>16.0337924957275</v>
      </c>
      <c r="AI739">
        <v>-0.57427102327346802</v>
      </c>
    </row>
    <row r="740" spans="1:35">
      <c r="A740">
        <f t="shared" si="96"/>
        <v>1</v>
      </c>
      <c r="B740">
        <f t="shared" si="97"/>
        <v>1</v>
      </c>
      <c r="C740">
        <f t="shared" si="98"/>
        <v>0</v>
      </c>
      <c r="D740">
        <f t="shared" si="99"/>
        <v>1</v>
      </c>
      <c r="E740">
        <f t="shared" si="100"/>
        <v>0</v>
      </c>
      <c r="F740">
        <f t="shared" si="101"/>
        <v>1</v>
      </c>
      <c r="G740">
        <f t="shared" si="102"/>
        <v>1</v>
      </c>
      <c r="H740">
        <v>0</v>
      </c>
      <c r="I740">
        <f t="shared" si="103"/>
        <v>0</v>
      </c>
      <c r="J740">
        <v>0</v>
      </c>
      <c r="K740" t="s">
        <v>3458</v>
      </c>
      <c r="L740" t="s">
        <v>3459</v>
      </c>
      <c r="M740" t="s">
        <v>27</v>
      </c>
      <c r="N740" t="s">
        <v>27</v>
      </c>
      <c r="O740">
        <v>10.96</v>
      </c>
      <c r="P740">
        <v>8.0880584716796893</v>
      </c>
      <c r="Q740" t="s">
        <v>27</v>
      </c>
      <c r="R740">
        <v>18.75</v>
      </c>
      <c r="S740">
        <v>27.0625</v>
      </c>
      <c r="T740">
        <v>3.1022489070892298</v>
      </c>
      <c r="U740">
        <v>50.792682647705099</v>
      </c>
      <c r="V740">
        <v>-3084000</v>
      </c>
      <c r="W740">
        <v>-3.42884492874146</v>
      </c>
      <c r="X740">
        <v>-0.64999997615814198</v>
      </c>
      <c r="Y740">
        <v>2.8936169147491499</v>
      </c>
      <c r="Z740">
        <v>5.1109957695007298</v>
      </c>
      <c r="AA740">
        <v>8480000</v>
      </c>
      <c r="AB740" t="s">
        <v>27</v>
      </c>
      <c r="AC740" t="s">
        <v>27</v>
      </c>
      <c r="AD740">
        <v>0.15000000596046401</v>
      </c>
      <c r="AE740">
        <v>52.078659057617202</v>
      </c>
      <c r="AF740" t="s">
        <v>27</v>
      </c>
      <c r="AG740">
        <v>10200000</v>
      </c>
      <c r="AH740">
        <v>0</v>
      </c>
      <c r="AI740">
        <v>4.8643770217895499</v>
      </c>
    </row>
    <row r="741" spans="1:35">
      <c r="A741">
        <f t="shared" si="96"/>
        <v>0</v>
      </c>
      <c r="B741">
        <f t="shared" si="97"/>
        <v>1</v>
      </c>
      <c r="C741">
        <f t="shared" si="98"/>
        <v>1</v>
      </c>
      <c r="D741">
        <f t="shared" si="99"/>
        <v>0</v>
      </c>
      <c r="E741">
        <f t="shared" si="100"/>
        <v>0</v>
      </c>
      <c r="F741">
        <f t="shared" si="101"/>
        <v>0</v>
      </c>
      <c r="G741">
        <f t="shared" si="102"/>
        <v>1</v>
      </c>
      <c r="H741">
        <v>0</v>
      </c>
      <c r="I741">
        <f t="shared" si="103"/>
        <v>1</v>
      </c>
      <c r="J741">
        <v>0</v>
      </c>
      <c r="K741" t="s">
        <v>3466</v>
      </c>
      <c r="L741" t="s">
        <v>3467</v>
      </c>
      <c r="M741" t="s">
        <v>27</v>
      </c>
      <c r="N741" t="s">
        <v>27</v>
      </c>
      <c r="O741">
        <v>3.44</v>
      </c>
      <c r="P741" t="s">
        <v>27</v>
      </c>
      <c r="Q741" t="s">
        <v>27</v>
      </c>
      <c r="R741">
        <v>2.4500000476837198</v>
      </c>
      <c r="S741">
        <v>3.9500000476837198</v>
      </c>
      <c r="T741">
        <v>52.884616851806598</v>
      </c>
      <c r="U741">
        <v>21.6184978485107</v>
      </c>
      <c r="V741">
        <v>116000000</v>
      </c>
      <c r="W741">
        <v>-10.9841604232788</v>
      </c>
      <c r="X741">
        <v>0.15999999642372101</v>
      </c>
      <c r="Y741">
        <v>16</v>
      </c>
      <c r="Z741">
        <v>-38.095237731933601</v>
      </c>
      <c r="AA741">
        <v>35660000</v>
      </c>
      <c r="AB741" t="s">
        <v>30</v>
      </c>
      <c r="AC741" t="s">
        <v>1457</v>
      </c>
      <c r="AD741">
        <v>-5.9999998658895499E-2</v>
      </c>
      <c r="AE741">
        <v>21.909425735473601</v>
      </c>
      <c r="AF741">
        <v>5.5687727472527504</v>
      </c>
      <c r="AG741">
        <v>38670000</v>
      </c>
      <c r="AH741">
        <v>53.626293182372997</v>
      </c>
      <c r="AI741">
        <v>-1.4410710334777801</v>
      </c>
    </row>
    <row r="742" spans="1:35">
      <c r="A742">
        <f t="shared" si="96"/>
        <v>0</v>
      </c>
      <c r="B742">
        <f t="shared" si="97"/>
        <v>1</v>
      </c>
      <c r="C742">
        <f t="shared" si="98"/>
        <v>0</v>
      </c>
      <c r="D742">
        <f t="shared" si="99"/>
        <v>1</v>
      </c>
      <c r="E742">
        <f t="shared" si="100"/>
        <v>0</v>
      </c>
      <c r="F742">
        <f t="shared" si="101"/>
        <v>0</v>
      </c>
      <c r="G742">
        <f t="shared" si="102"/>
        <v>0</v>
      </c>
      <c r="H742">
        <v>0</v>
      </c>
      <c r="I742">
        <f t="shared" si="103"/>
        <v>0</v>
      </c>
      <c r="J742">
        <v>0</v>
      </c>
      <c r="K742" t="s">
        <v>3468</v>
      </c>
      <c r="L742" t="s">
        <v>3469</v>
      </c>
      <c r="M742" t="s">
        <v>27</v>
      </c>
      <c r="N742" t="s">
        <v>27</v>
      </c>
      <c r="O742">
        <v>2.27</v>
      </c>
      <c r="P742" t="s">
        <v>27</v>
      </c>
      <c r="Q742" t="s">
        <v>27</v>
      </c>
      <c r="R742">
        <v>6.9800000190734899</v>
      </c>
      <c r="S742">
        <v>6.5</v>
      </c>
      <c r="T742">
        <v>35.274402618408203</v>
      </c>
      <c r="U742">
        <v>27.270336151123001</v>
      </c>
      <c r="V742">
        <v>-29555000</v>
      </c>
      <c r="W742">
        <v>-37.322868347167997</v>
      </c>
      <c r="X742">
        <v>-0.43000000715255698</v>
      </c>
      <c r="Y742">
        <v>0.66298300027847301</v>
      </c>
      <c r="Z742">
        <v>-33.657859802246101</v>
      </c>
      <c r="AA742">
        <v>65890000</v>
      </c>
      <c r="AB742" t="s">
        <v>27</v>
      </c>
      <c r="AC742" t="s">
        <v>27</v>
      </c>
      <c r="AD742">
        <v>0.18999999761581399</v>
      </c>
      <c r="AE742">
        <v>13.024630546569799</v>
      </c>
      <c r="AF742" t="s">
        <v>27</v>
      </c>
      <c r="AG742">
        <v>68386000</v>
      </c>
      <c r="AH742">
        <v>41.951847076416001</v>
      </c>
      <c r="AI742">
        <v>-20.922554016113299</v>
      </c>
    </row>
    <row r="743" spans="1:35">
      <c r="A743">
        <f t="shared" si="96"/>
        <v>0</v>
      </c>
      <c r="B743">
        <f t="shared" si="97"/>
        <v>1</v>
      </c>
      <c r="C743">
        <f t="shared" si="98"/>
        <v>1</v>
      </c>
      <c r="D743">
        <f t="shared" si="99"/>
        <v>0</v>
      </c>
      <c r="E743">
        <f t="shared" si="100"/>
        <v>0</v>
      </c>
      <c r="F743">
        <f t="shared" si="101"/>
        <v>0</v>
      </c>
      <c r="G743">
        <f t="shared" si="102"/>
        <v>0</v>
      </c>
      <c r="H743">
        <v>0</v>
      </c>
      <c r="I743">
        <f t="shared" si="103"/>
        <v>0</v>
      </c>
      <c r="J743">
        <v>0</v>
      </c>
      <c r="K743" t="s">
        <v>3472</v>
      </c>
      <c r="L743" t="s">
        <v>3473</v>
      </c>
      <c r="M743" t="s">
        <v>27</v>
      </c>
      <c r="N743" t="s">
        <v>27</v>
      </c>
      <c r="O743">
        <v>1.23</v>
      </c>
      <c r="P743" t="s">
        <v>27</v>
      </c>
      <c r="Q743" t="s">
        <v>27</v>
      </c>
      <c r="R743">
        <v>3</v>
      </c>
      <c r="S743">
        <v>3.1500000953674299</v>
      </c>
      <c r="T743">
        <v>30.6968288421631</v>
      </c>
      <c r="U743">
        <v>13.103443145751999</v>
      </c>
      <c r="V743">
        <v>36469000</v>
      </c>
      <c r="W743">
        <v>-4.9399142265319798</v>
      </c>
      <c r="X743">
        <v>7.9999998211860698E-2</v>
      </c>
      <c r="Y743">
        <v>-20.235294342041001</v>
      </c>
      <c r="Z743">
        <v>-14.8148145675659</v>
      </c>
      <c r="AA743">
        <v>75989000</v>
      </c>
      <c r="AB743" t="s">
        <v>27</v>
      </c>
      <c r="AC743" t="s">
        <v>27</v>
      </c>
      <c r="AD743">
        <v>-0.31999999284744302</v>
      </c>
      <c r="AE743">
        <v>-7.6052260398864702</v>
      </c>
      <c r="AF743">
        <v>5.0856502511780004</v>
      </c>
      <c r="AG743">
        <v>76441000</v>
      </c>
      <c r="AH743">
        <v>32.826122283935497</v>
      </c>
      <c r="AI743">
        <v>-0.65395098924636796</v>
      </c>
    </row>
    <row r="744" spans="1:35">
      <c r="A744">
        <f t="shared" si="96"/>
        <v>1</v>
      </c>
      <c r="B744">
        <f t="shared" si="97"/>
        <v>0</v>
      </c>
      <c r="C744">
        <f t="shared" si="98"/>
        <v>0</v>
      </c>
      <c r="D744">
        <f t="shared" si="99"/>
        <v>0</v>
      </c>
      <c r="E744">
        <f t="shared" si="100"/>
        <v>0</v>
      </c>
      <c r="F744">
        <f t="shared" si="101"/>
        <v>0</v>
      </c>
      <c r="G744">
        <f t="shared" si="102"/>
        <v>0</v>
      </c>
      <c r="H744">
        <v>0</v>
      </c>
      <c r="I744">
        <f t="shared" si="103"/>
        <v>0</v>
      </c>
      <c r="J744">
        <v>0</v>
      </c>
      <c r="K744" t="s">
        <v>3486</v>
      </c>
      <c r="L744" t="s">
        <v>3487</v>
      </c>
      <c r="M744" t="s">
        <v>27</v>
      </c>
      <c r="N744" t="s">
        <v>27</v>
      </c>
      <c r="O744">
        <v>7.15</v>
      </c>
      <c r="P744" t="s">
        <v>27</v>
      </c>
      <c r="Q744" t="s">
        <v>27</v>
      </c>
      <c r="R744">
        <v>22.299999237060501</v>
      </c>
      <c r="S744">
        <v>6.25</v>
      </c>
      <c r="T744" t="s">
        <v>27</v>
      </c>
      <c r="U744" t="s">
        <v>27</v>
      </c>
      <c r="V744">
        <v>-12466000</v>
      </c>
      <c r="W744">
        <v>-127.990585327148</v>
      </c>
      <c r="X744" t="s">
        <v>27</v>
      </c>
      <c r="Y744" t="s">
        <v>27</v>
      </c>
      <c r="Z744" t="s">
        <v>27</v>
      </c>
      <c r="AA744" t="s">
        <v>27</v>
      </c>
      <c r="AB744" t="s">
        <v>27</v>
      </c>
      <c r="AC744" t="s">
        <v>27</v>
      </c>
      <c r="AD744" t="s">
        <v>27</v>
      </c>
      <c r="AE744">
        <v>34.847415924072301</v>
      </c>
      <c r="AF744" t="s">
        <v>27</v>
      </c>
      <c r="AG744">
        <v>39490000</v>
      </c>
      <c r="AH744">
        <v>7.5760788917541504</v>
      </c>
      <c r="AI744">
        <v>-191.22634887695301</v>
      </c>
    </row>
    <row r="745" spans="1:35">
      <c r="A745">
        <f t="shared" si="96"/>
        <v>1</v>
      </c>
      <c r="B745">
        <f t="shared" si="97"/>
        <v>1</v>
      </c>
      <c r="C745">
        <f t="shared" si="98"/>
        <v>1</v>
      </c>
      <c r="D745">
        <f t="shared" si="99"/>
        <v>1</v>
      </c>
      <c r="E745">
        <f t="shared" si="100"/>
        <v>0</v>
      </c>
      <c r="F745">
        <f t="shared" si="101"/>
        <v>1</v>
      </c>
      <c r="G745">
        <f t="shared" si="102"/>
        <v>0</v>
      </c>
      <c r="H745">
        <v>0</v>
      </c>
      <c r="I745">
        <f t="shared" si="103"/>
        <v>0</v>
      </c>
      <c r="J745">
        <v>0</v>
      </c>
      <c r="K745" t="s">
        <v>3488</v>
      </c>
      <c r="L745" t="s">
        <v>3489</v>
      </c>
      <c r="M745" t="s">
        <v>27</v>
      </c>
      <c r="N745" t="s">
        <v>27</v>
      </c>
      <c r="O745">
        <v>0.68</v>
      </c>
      <c r="P745" t="s">
        <v>27</v>
      </c>
      <c r="Q745" t="s">
        <v>27</v>
      </c>
      <c r="R745">
        <v>12.3400001525879</v>
      </c>
      <c r="S745">
        <v>16</v>
      </c>
      <c r="T745">
        <v>1.0883999988436701E-2</v>
      </c>
      <c r="U745">
        <v>49.292396545410199</v>
      </c>
      <c r="V745">
        <v>265000</v>
      </c>
      <c r="W745">
        <v>-19.951856613159201</v>
      </c>
      <c r="X745">
        <v>1.9999999552965199E-2</v>
      </c>
      <c r="Y745" t="s">
        <v>27</v>
      </c>
      <c r="Z745" t="s">
        <v>27</v>
      </c>
      <c r="AA745">
        <v>23725000</v>
      </c>
      <c r="AB745" t="s">
        <v>27</v>
      </c>
      <c r="AC745" t="s">
        <v>27</v>
      </c>
      <c r="AD745">
        <v>0.230000004172325</v>
      </c>
      <c r="AE745">
        <v>46.725364685058601</v>
      </c>
      <c r="AF745" t="s">
        <v>27</v>
      </c>
      <c r="AG745">
        <v>24130000</v>
      </c>
      <c r="AH745">
        <v>8.9790001511573792E-3</v>
      </c>
      <c r="AI745">
        <v>15.908397674560501</v>
      </c>
    </row>
    <row r="746" spans="1:35">
      <c r="A746">
        <f t="shared" si="96"/>
        <v>0</v>
      </c>
      <c r="B746">
        <f t="shared" si="97"/>
        <v>1</v>
      </c>
      <c r="C746">
        <f t="shared" si="98"/>
        <v>1</v>
      </c>
      <c r="D746">
        <f t="shared" si="99"/>
        <v>0</v>
      </c>
      <c r="E746">
        <f t="shared" si="100"/>
        <v>0</v>
      </c>
      <c r="F746">
        <f t="shared" si="101"/>
        <v>1</v>
      </c>
      <c r="G746">
        <f t="shared" si="102"/>
        <v>1</v>
      </c>
      <c r="H746">
        <v>0</v>
      </c>
      <c r="I746">
        <f t="shared" si="103"/>
        <v>0</v>
      </c>
      <c r="J746">
        <v>0</v>
      </c>
      <c r="K746" t="s">
        <v>3490</v>
      </c>
      <c r="L746" t="s">
        <v>3491</v>
      </c>
      <c r="M746" t="s">
        <v>27</v>
      </c>
      <c r="N746" t="s">
        <v>27</v>
      </c>
      <c r="O746">
        <v>16.88</v>
      </c>
      <c r="P746" t="s">
        <v>27</v>
      </c>
      <c r="Q746" t="s">
        <v>27</v>
      </c>
      <c r="R746">
        <v>19.5</v>
      </c>
      <c r="S746">
        <v>19.440000534057599</v>
      </c>
      <c r="T746">
        <v>30.615289688110401</v>
      </c>
      <c r="U746">
        <v>21.800996780395501</v>
      </c>
      <c r="V746">
        <v>828000.0625</v>
      </c>
      <c r="W746">
        <v>4.80499315261841</v>
      </c>
      <c r="X746">
        <v>-0.33000001311302202</v>
      </c>
      <c r="Y746">
        <v>2.4659500122070299</v>
      </c>
      <c r="Z746">
        <v>-4.2334098815918004</v>
      </c>
      <c r="AA746">
        <v>58000000</v>
      </c>
      <c r="AB746" t="s">
        <v>27</v>
      </c>
      <c r="AC746" t="s">
        <v>27</v>
      </c>
      <c r="AD746">
        <v>-0.77999997138977095</v>
      </c>
      <c r="AE746">
        <v>22.628929138183601</v>
      </c>
      <c r="AF746">
        <v>22.189597023859701</v>
      </c>
      <c r="AG746">
        <v>58148000</v>
      </c>
      <c r="AH746">
        <v>35.701648712158203</v>
      </c>
      <c r="AI746" t="s">
        <v>27</v>
      </c>
    </row>
    <row r="747" spans="1:35">
      <c r="A747">
        <f t="shared" si="96"/>
        <v>0</v>
      </c>
      <c r="B747">
        <f t="shared" si="97"/>
        <v>1</v>
      </c>
      <c r="C747">
        <f t="shared" si="98"/>
        <v>0</v>
      </c>
      <c r="D747">
        <f t="shared" si="99"/>
        <v>0</v>
      </c>
      <c r="E747">
        <f t="shared" si="100"/>
        <v>0</v>
      </c>
      <c r="F747">
        <f t="shared" si="101"/>
        <v>0</v>
      </c>
      <c r="G747">
        <f t="shared" si="102"/>
        <v>1</v>
      </c>
      <c r="H747">
        <v>0</v>
      </c>
      <c r="I747">
        <f t="shared" si="103"/>
        <v>0</v>
      </c>
      <c r="J747">
        <v>0</v>
      </c>
      <c r="K747" t="s">
        <v>3497</v>
      </c>
      <c r="L747" t="s">
        <v>3498</v>
      </c>
      <c r="M747" t="s">
        <v>27</v>
      </c>
      <c r="N747" t="s">
        <v>27</v>
      </c>
      <c r="O747">
        <v>8.99</v>
      </c>
      <c r="P747" t="s">
        <v>27</v>
      </c>
      <c r="Q747" t="s">
        <v>27</v>
      </c>
      <c r="R747">
        <v>17.809999465942401</v>
      </c>
      <c r="S747">
        <v>12.1875</v>
      </c>
      <c r="T747">
        <v>0</v>
      </c>
      <c r="U747">
        <v>52.478065490722699</v>
      </c>
      <c r="V747">
        <v>-2281665</v>
      </c>
      <c r="W747">
        <v>-47.438949584960902</v>
      </c>
      <c r="X747">
        <v>-1.9999999552965199E-2</v>
      </c>
      <c r="Y747" t="s">
        <v>27</v>
      </c>
      <c r="Z747" t="s">
        <v>27</v>
      </c>
      <c r="AA747">
        <v>20466000</v>
      </c>
      <c r="AB747" t="s">
        <v>73</v>
      </c>
      <c r="AC747" t="s">
        <v>74</v>
      </c>
      <c r="AD747">
        <v>-3.9999999105930301E-2</v>
      </c>
      <c r="AE747">
        <v>65.788009643554702</v>
      </c>
      <c r="AF747" t="s">
        <v>27</v>
      </c>
      <c r="AG747">
        <v>32215000</v>
      </c>
      <c r="AH747">
        <v>31.037157058715799</v>
      </c>
      <c r="AI747">
        <v>-24.882753372192401</v>
      </c>
    </row>
    <row r="748" spans="1:35">
      <c r="A748">
        <f t="shared" si="96"/>
        <v>0</v>
      </c>
      <c r="B748">
        <f t="shared" si="97"/>
        <v>1</v>
      </c>
      <c r="C748">
        <f t="shared" si="98"/>
        <v>1</v>
      </c>
      <c r="D748">
        <f t="shared" si="99"/>
        <v>0</v>
      </c>
      <c r="E748">
        <f t="shared" si="100"/>
        <v>0</v>
      </c>
      <c r="F748">
        <f t="shared" si="101"/>
        <v>1</v>
      </c>
      <c r="G748">
        <f t="shared" si="102"/>
        <v>0</v>
      </c>
      <c r="H748">
        <v>0</v>
      </c>
      <c r="I748">
        <f t="shared" si="103"/>
        <v>0</v>
      </c>
      <c r="J748">
        <v>0</v>
      </c>
      <c r="K748" t="s">
        <v>3501</v>
      </c>
      <c r="L748" t="s">
        <v>3502</v>
      </c>
      <c r="M748" t="s">
        <v>27</v>
      </c>
      <c r="N748" t="s">
        <v>27</v>
      </c>
      <c r="O748">
        <v>4.58</v>
      </c>
      <c r="P748">
        <v>7.3330388069152797</v>
      </c>
      <c r="Q748" t="s">
        <v>27</v>
      </c>
      <c r="R748">
        <v>14</v>
      </c>
      <c r="S748">
        <v>26.120000839233398</v>
      </c>
      <c r="T748">
        <v>1.01029300689697</v>
      </c>
      <c r="U748">
        <v>17.2501106262207</v>
      </c>
      <c r="V748" t="s">
        <v>27</v>
      </c>
      <c r="W748">
        <v>6.7605957984924299</v>
      </c>
      <c r="X748">
        <v>0.119999997317791</v>
      </c>
      <c r="Y748">
        <v>3.8333330154418901</v>
      </c>
      <c r="Z748">
        <v>-4.2111878395080602</v>
      </c>
      <c r="AA748">
        <v>21414000</v>
      </c>
      <c r="AB748" t="s">
        <v>27</v>
      </c>
      <c r="AC748" t="s">
        <v>27</v>
      </c>
      <c r="AD748">
        <v>-0.119999997317791</v>
      </c>
      <c r="AE748">
        <v>3.9325640201568599</v>
      </c>
      <c r="AF748" t="s">
        <v>27</v>
      </c>
      <c r="AG748">
        <v>21504000</v>
      </c>
      <c r="AH748">
        <v>1.1005009412765501</v>
      </c>
      <c r="AI748">
        <v>7.5152049064636204</v>
      </c>
    </row>
    <row r="749" spans="1:35">
      <c r="A749">
        <f t="shared" si="96"/>
        <v>0</v>
      </c>
      <c r="B749">
        <f t="shared" si="97"/>
        <v>1</v>
      </c>
      <c r="C749">
        <f t="shared" si="98"/>
        <v>1</v>
      </c>
      <c r="D749">
        <f t="shared" si="99"/>
        <v>1</v>
      </c>
      <c r="E749">
        <f t="shared" si="100"/>
        <v>0</v>
      </c>
      <c r="F749">
        <f t="shared" si="101"/>
        <v>0</v>
      </c>
      <c r="G749">
        <f t="shared" si="102"/>
        <v>1</v>
      </c>
      <c r="H749">
        <v>0</v>
      </c>
      <c r="I749">
        <f t="shared" si="103"/>
        <v>0</v>
      </c>
      <c r="J749">
        <v>0</v>
      </c>
      <c r="K749" t="s">
        <v>3503</v>
      </c>
      <c r="L749" t="s">
        <v>3504</v>
      </c>
      <c r="M749" t="s">
        <v>27</v>
      </c>
      <c r="N749" t="s">
        <v>27</v>
      </c>
      <c r="O749">
        <v>5.61</v>
      </c>
      <c r="P749" t="s">
        <v>27</v>
      </c>
      <c r="Q749" t="s">
        <v>27</v>
      </c>
      <c r="R749">
        <v>16.0100002288818</v>
      </c>
      <c r="S749">
        <v>37.9375</v>
      </c>
      <c r="T749">
        <v>0</v>
      </c>
      <c r="U749">
        <v>74.310028076171903</v>
      </c>
      <c r="V749">
        <v>19093000</v>
      </c>
      <c r="W749">
        <v>-18.044061660766602</v>
      </c>
      <c r="X749">
        <v>3.9999999105930301E-2</v>
      </c>
      <c r="Y749">
        <v>0.12752899527549699</v>
      </c>
      <c r="Z749">
        <v>2.8004670143127401</v>
      </c>
      <c r="AA749">
        <v>194430704</v>
      </c>
      <c r="AB749" t="s">
        <v>38</v>
      </c>
      <c r="AC749" t="s">
        <v>89</v>
      </c>
      <c r="AD749">
        <v>5.0000000745058101E-2</v>
      </c>
      <c r="AE749">
        <v>78.936630249023395</v>
      </c>
      <c r="AF749">
        <v>72.356355427221402</v>
      </c>
      <c r="AG749">
        <v>198759008</v>
      </c>
      <c r="AH749">
        <v>0</v>
      </c>
      <c r="AI749">
        <v>-4.9464092254638699</v>
      </c>
    </row>
    <row r="750" spans="1:35">
      <c r="A750">
        <f t="shared" si="96"/>
        <v>0</v>
      </c>
      <c r="B750">
        <f t="shared" si="97"/>
        <v>1</v>
      </c>
      <c r="C750">
        <f t="shared" si="98"/>
        <v>0</v>
      </c>
      <c r="D750">
        <f t="shared" si="99"/>
        <v>1</v>
      </c>
      <c r="E750">
        <f t="shared" si="100"/>
        <v>0</v>
      </c>
      <c r="F750">
        <f t="shared" si="101"/>
        <v>0</v>
      </c>
      <c r="G750">
        <f t="shared" si="102"/>
        <v>1</v>
      </c>
      <c r="H750">
        <v>0</v>
      </c>
      <c r="I750">
        <f t="shared" si="103"/>
        <v>0</v>
      </c>
      <c r="J750">
        <v>0</v>
      </c>
      <c r="K750" t="s">
        <v>3507</v>
      </c>
      <c r="L750" t="s">
        <v>3508</v>
      </c>
      <c r="M750" t="s">
        <v>27</v>
      </c>
      <c r="N750" t="s">
        <v>27</v>
      </c>
      <c r="O750">
        <v>5.17</v>
      </c>
      <c r="P750" t="s">
        <v>27</v>
      </c>
      <c r="Q750" t="s">
        <v>27</v>
      </c>
      <c r="R750">
        <v>6.0700001716613796</v>
      </c>
      <c r="S750">
        <v>7.125</v>
      </c>
      <c r="T750">
        <v>0.56049197912216198</v>
      </c>
      <c r="U750">
        <v>-276.49728393554699</v>
      </c>
      <c r="V750">
        <v>-16345000</v>
      </c>
      <c r="W750">
        <v>-105.272895812988</v>
      </c>
      <c r="X750">
        <v>-1.8899999856948899</v>
      </c>
      <c r="Y750" t="s">
        <v>27</v>
      </c>
      <c r="Z750">
        <v>-87.818183898925795</v>
      </c>
      <c r="AA750">
        <v>42421000</v>
      </c>
      <c r="AB750" t="s">
        <v>38</v>
      </c>
      <c r="AC750" t="s">
        <v>89</v>
      </c>
      <c r="AD750">
        <v>-0.81000000238418601</v>
      </c>
      <c r="AE750">
        <v>2.32122802734375</v>
      </c>
      <c r="AF750" t="s">
        <v>27</v>
      </c>
      <c r="AG750">
        <v>43775000</v>
      </c>
      <c r="AH750">
        <v>25.349113464355501</v>
      </c>
      <c r="AI750">
        <v>-95.862327575683594</v>
      </c>
    </row>
    <row r="751" spans="1:35">
      <c r="A751">
        <f t="shared" si="96"/>
        <v>0</v>
      </c>
      <c r="B751">
        <f t="shared" si="97"/>
        <v>0</v>
      </c>
      <c r="C751">
        <f t="shared" si="98"/>
        <v>1</v>
      </c>
      <c r="D751">
        <f t="shared" si="99"/>
        <v>0</v>
      </c>
      <c r="E751">
        <f t="shared" si="100"/>
        <v>0</v>
      </c>
      <c r="F751">
        <f t="shared" si="101"/>
        <v>1</v>
      </c>
      <c r="G751">
        <f t="shared" si="102"/>
        <v>0</v>
      </c>
      <c r="H751">
        <v>0</v>
      </c>
      <c r="I751">
        <f t="shared" si="103"/>
        <v>0</v>
      </c>
      <c r="J751">
        <v>0</v>
      </c>
      <c r="K751" t="s">
        <v>3509</v>
      </c>
      <c r="L751" t="s">
        <v>3510</v>
      </c>
      <c r="M751" t="s">
        <v>27</v>
      </c>
      <c r="N751" t="s">
        <v>27</v>
      </c>
      <c r="O751">
        <v>20.03</v>
      </c>
      <c r="P751" t="s">
        <v>27</v>
      </c>
      <c r="Q751" t="s">
        <v>27</v>
      </c>
      <c r="R751">
        <v>20.299999237060501</v>
      </c>
      <c r="S751">
        <v>11.25</v>
      </c>
      <c r="T751" t="s">
        <v>27</v>
      </c>
      <c r="U751" t="s">
        <v>27</v>
      </c>
      <c r="V751" t="s">
        <v>27</v>
      </c>
      <c r="W751" t="s">
        <v>27</v>
      </c>
      <c r="X751" t="s">
        <v>27</v>
      </c>
      <c r="Y751" t="s">
        <v>27</v>
      </c>
      <c r="Z751" t="s">
        <v>27</v>
      </c>
      <c r="AA751">
        <v>21490000</v>
      </c>
      <c r="AB751" t="s">
        <v>27</v>
      </c>
      <c r="AC751" t="s">
        <v>27</v>
      </c>
      <c r="AD751" t="s">
        <v>27</v>
      </c>
      <c r="AE751" t="s">
        <v>27</v>
      </c>
      <c r="AF751" t="s">
        <v>27</v>
      </c>
      <c r="AG751">
        <v>27811000</v>
      </c>
      <c r="AH751" t="s">
        <v>27</v>
      </c>
      <c r="AI751" t="s">
        <v>27</v>
      </c>
    </row>
    <row r="752" spans="1:35">
      <c r="A752">
        <f t="shared" si="96"/>
        <v>0</v>
      </c>
      <c r="B752">
        <f t="shared" si="97"/>
        <v>0</v>
      </c>
      <c r="C752">
        <f t="shared" si="98"/>
        <v>1</v>
      </c>
      <c r="D752">
        <f t="shared" si="99"/>
        <v>0</v>
      </c>
      <c r="E752">
        <f t="shared" si="100"/>
        <v>0</v>
      </c>
      <c r="F752">
        <f t="shared" si="101"/>
        <v>1</v>
      </c>
      <c r="G752">
        <f t="shared" si="102"/>
        <v>0</v>
      </c>
      <c r="H752">
        <v>0</v>
      </c>
      <c r="I752">
        <f t="shared" si="103"/>
        <v>0</v>
      </c>
      <c r="J752">
        <v>0</v>
      </c>
      <c r="K752" t="s">
        <v>3511</v>
      </c>
      <c r="L752" t="s">
        <v>3512</v>
      </c>
      <c r="M752" t="s">
        <v>27</v>
      </c>
      <c r="N752" t="s">
        <v>27</v>
      </c>
      <c r="O752">
        <v>11.2</v>
      </c>
      <c r="P752" t="s">
        <v>27</v>
      </c>
      <c r="Q752" t="s">
        <v>27</v>
      </c>
      <c r="R752">
        <v>24.7700004577637</v>
      </c>
      <c r="S752">
        <v>37.125</v>
      </c>
      <c r="T752">
        <v>0</v>
      </c>
      <c r="U752">
        <v>61.529647827148402</v>
      </c>
      <c r="V752">
        <v>16819000</v>
      </c>
      <c r="W752">
        <v>39.944133758544901</v>
      </c>
      <c r="X752">
        <v>0.56999999284744296</v>
      </c>
      <c r="Y752" t="s">
        <v>27</v>
      </c>
      <c r="Z752" t="s">
        <v>27</v>
      </c>
      <c r="AA752">
        <v>12644000</v>
      </c>
      <c r="AB752" t="s">
        <v>27</v>
      </c>
      <c r="AC752" t="s">
        <v>27</v>
      </c>
      <c r="AD752">
        <v>0.28999999165535001</v>
      </c>
      <c r="AE752">
        <v>56.0709037780762</v>
      </c>
      <c r="AF752" t="s">
        <v>27</v>
      </c>
      <c r="AG752">
        <v>13065000</v>
      </c>
      <c r="AH752">
        <v>0</v>
      </c>
      <c r="AI752">
        <v>15.342033386230501</v>
      </c>
    </row>
    <row r="753" spans="1:35">
      <c r="A753">
        <f t="shared" si="96"/>
        <v>1</v>
      </c>
      <c r="B753">
        <f t="shared" si="97"/>
        <v>0</v>
      </c>
      <c r="C753">
        <f t="shared" si="98"/>
        <v>0</v>
      </c>
      <c r="D753">
        <f t="shared" si="99"/>
        <v>1</v>
      </c>
      <c r="E753">
        <f t="shared" si="100"/>
        <v>0</v>
      </c>
      <c r="F753">
        <f t="shared" si="101"/>
        <v>0</v>
      </c>
      <c r="G753">
        <f t="shared" si="102"/>
        <v>1</v>
      </c>
      <c r="H753">
        <v>0</v>
      </c>
      <c r="I753">
        <f t="shared" si="103"/>
        <v>0</v>
      </c>
      <c r="J753">
        <v>0</v>
      </c>
      <c r="K753" t="s">
        <v>3513</v>
      </c>
      <c r="L753" t="s">
        <v>3514</v>
      </c>
      <c r="M753" t="s">
        <v>27</v>
      </c>
      <c r="N753" t="s">
        <v>27</v>
      </c>
      <c r="O753">
        <v>11.4</v>
      </c>
      <c r="P753" t="s">
        <v>27</v>
      </c>
      <c r="Q753" t="s">
        <v>27</v>
      </c>
      <c r="R753">
        <v>22.9899997711182</v>
      </c>
      <c r="S753">
        <v>24</v>
      </c>
      <c r="T753">
        <v>66.796798706054702</v>
      </c>
      <c r="U753">
        <v>68.665374755859403</v>
      </c>
      <c r="V753">
        <v>-7104000</v>
      </c>
      <c r="W753">
        <v>-19.7852993011475</v>
      </c>
      <c r="X753">
        <v>-1.33000004291534</v>
      </c>
      <c r="Y753">
        <v>-15.658120155334499</v>
      </c>
      <c r="Z753">
        <v>-6.8213319778442401</v>
      </c>
      <c r="AA753">
        <v>12461887</v>
      </c>
      <c r="AB753" t="s">
        <v>27</v>
      </c>
      <c r="AC753" t="s">
        <v>27</v>
      </c>
      <c r="AD753">
        <v>-0.58999997377395597</v>
      </c>
      <c r="AE753">
        <v>96.530548095703097</v>
      </c>
      <c r="AF753" t="s">
        <v>27</v>
      </c>
      <c r="AG753">
        <v>18858732</v>
      </c>
      <c r="AH753">
        <v>5.1980299949645996</v>
      </c>
      <c r="AI753">
        <v>-73.006706237792997</v>
      </c>
    </row>
    <row r="754" spans="1:35">
      <c r="A754">
        <f t="shared" si="96"/>
        <v>0</v>
      </c>
      <c r="B754">
        <f t="shared" si="97"/>
        <v>0</v>
      </c>
      <c r="C754">
        <f t="shared" si="98"/>
        <v>0</v>
      </c>
      <c r="D754">
        <f t="shared" si="99"/>
        <v>0</v>
      </c>
      <c r="E754">
        <f t="shared" si="100"/>
        <v>0</v>
      </c>
      <c r="F754">
        <f t="shared" si="101"/>
        <v>1</v>
      </c>
      <c r="G754">
        <f t="shared" si="102"/>
        <v>0</v>
      </c>
      <c r="H754">
        <v>0</v>
      </c>
      <c r="I754">
        <f t="shared" si="103"/>
        <v>0</v>
      </c>
      <c r="J754">
        <v>0</v>
      </c>
      <c r="K754" t="s">
        <v>3521</v>
      </c>
      <c r="L754" t="s">
        <v>3522</v>
      </c>
      <c r="M754" t="s">
        <v>27</v>
      </c>
      <c r="N754" t="s">
        <v>27</v>
      </c>
      <c r="O754">
        <v>21.1</v>
      </c>
      <c r="P754">
        <v>6.7617440223693803</v>
      </c>
      <c r="Q754" t="s">
        <v>27</v>
      </c>
      <c r="R754">
        <v>50</v>
      </c>
      <c r="S754">
        <v>76.625</v>
      </c>
      <c r="T754">
        <v>14.926104545593301</v>
      </c>
      <c r="U754">
        <v>35.359302520752003</v>
      </c>
      <c r="V754">
        <v>-18373002</v>
      </c>
      <c r="W754">
        <v>4.64151811599731</v>
      </c>
      <c r="X754">
        <v>0.60000002384185802</v>
      </c>
      <c r="Y754">
        <v>3.0297870635986301</v>
      </c>
      <c r="Z754">
        <v>3.2757380008697501</v>
      </c>
      <c r="AA754">
        <v>17256000</v>
      </c>
      <c r="AB754" t="s">
        <v>27</v>
      </c>
      <c r="AC754" t="s">
        <v>27</v>
      </c>
      <c r="AD754">
        <v>-0.17000000178813901</v>
      </c>
      <c r="AE754">
        <v>13.1640424728394</v>
      </c>
      <c r="AF754">
        <v>4.17933509106311</v>
      </c>
      <c r="AG754">
        <v>17851000</v>
      </c>
      <c r="AH754">
        <v>15.1884613037109</v>
      </c>
      <c r="AI754">
        <v>2.1418480873107901</v>
      </c>
    </row>
    <row r="755" spans="1:35">
      <c r="A755">
        <f t="shared" si="96"/>
        <v>1</v>
      </c>
      <c r="B755">
        <f t="shared" si="97"/>
        <v>1</v>
      </c>
      <c r="C755">
        <f t="shared" si="98"/>
        <v>0</v>
      </c>
      <c r="D755">
        <f t="shared" si="99"/>
        <v>0</v>
      </c>
      <c r="E755">
        <f t="shared" si="100"/>
        <v>0</v>
      </c>
      <c r="F755">
        <f t="shared" si="101"/>
        <v>1</v>
      </c>
      <c r="G755">
        <f t="shared" si="102"/>
        <v>0</v>
      </c>
      <c r="H755">
        <v>0</v>
      </c>
      <c r="I755">
        <f t="shared" si="103"/>
        <v>0</v>
      </c>
      <c r="J755">
        <v>0</v>
      </c>
      <c r="K755" t="s">
        <v>3527</v>
      </c>
      <c r="L755" t="s">
        <v>3528</v>
      </c>
      <c r="M755" t="s">
        <v>27</v>
      </c>
      <c r="N755" t="s">
        <v>27</v>
      </c>
      <c r="O755">
        <v>0.37</v>
      </c>
      <c r="P755" t="s">
        <v>27</v>
      </c>
      <c r="Q755" t="s">
        <v>27</v>
      </c>
      <c r="R755">
        <v>5.3499999046325701</v>
      </c>
      <c r="S755">
        <v>22.2399997711182</v>
      </c>
      <c r="T755" t="s">
        <v>27</v>
      </c>
      <c r="U755" t="s">
        <v>27</v>
      </c>
      <c r="V755">
        <v>-144442000</v>
      </c>
      <c r="W755">
        <v>5.0309538841247603</v>
      </c>
      <c r="X755" t="s">
        <v>27</v>
      </c>
      <c r="Y755" t="s">
        <v>27</v>
      </c>
      <c r="Z755" t="s">
        <v>27</v>
      </c>
      <c r="AA755" t="s">
        <v>27</v>
      </c>
      <c r="AB755" t="s">
        <v>27</v>
      </c>
      <c r="AC755" t="s">
        <v>27</v>
      </c>
      <c r="AD755">
        <v>-0.259999990463257</v>
      </c>
      <c r="AE755">
        <v>27.050136566162099</v>
      </c>
      <c r="AF755" t="s">
        <v>27</v>
      </c>
      <c r="AG755">
        <v>103775000</v>
      </c>
      <c r="AH755">
        <v>22.677282333373999</v>
      </c>
      <c r="AI755">
        <v>6.8021388053893999</v>
      </c>
    </row>
    <row r="756" spans="1:35">
      <c r="A756">
        <f t="shared" si="96"/>
        <v>0</v>
      </c>
      <c r="B756">
        <f t="shared" si="97"/>
        <v>1</v>
      </c>
      <c r="C756">
        <f t="shared" si="98"/>
        <v>1</v>
      </c>
      <c r="D756">
        <f t="shared" si="99"/>
        <v>0</v>
      </c>
      <c r="E756">
        <f t="shared" si="100"/>
        <v>0</v>
      </c>
      <c r="F756">
        <f t="shared" si="101"/>
        <v>1</v>
      </c>
      <c r="G756">
        <f t="shared" si="102"/>
        <v>0</v>
      </c>
      <c r="H756">
        <v>0</v>
      </c>
      <c r="I756">
        <f t="shared" si="103"/>
        <v>0</v>
      </c>
      <c r="J756">
        <v>0</v>
      </c>
      <c r="K756" t="s">
        <v>3535</v>
      </c>
      <c r="L756" t="s">
        <v>3536</v>
      </c>
      <c r="M756" t="s">
        <v>27</v>
      </c>
      <c r="N756" t="s">
        <v>27</v>
      </c>
      <c r="O756">
        <v>6</v>
      </c>
      <c r="P756" t="s">
        <v>27</v>
      </c>
      <c r="Q756" t="s">
        <v>27</v>
      </c>
      <c r="R756">
        <v>6</v>
      </c>
      <c r="S756">
        <v>9.0625</v>
      </c>
      <c r="T756">
        <v>17.171709060668899</v>
      </c>
      <c r="U756">
        <v>31.981864929199201</v>
      </c>
      <c r="V756">
        <v>2739000</v>
      </c>
      <c r="W756">
        <v>-8.9477691650390607</v>
      </c>
      <c r="X756">
        <v>0.519999980926514</v>
      </c>
      <c r="Y756" t="s">
        <v>27</v>
      </c>
      <c r="Z756">
        <v>-2.4916939735412602</v>
      </c>
      <c r="AA756">
        <v>34688124</v>
      </c>
      <c r="AB756" t="s">
        <v>27</v>
      </c>
      <c r="AC756" t="s">
        <v>27</v>
      </c>
      <c r="AD756">
        <v>-2.9999999329447701E-2</v>
      </c>
      <c r="AE756">
        <v>29.781169891357401</v>
      </c>
      <c r="AF756" t="s">
        <v>27</v>
      </c>
      <c r="AG756">
        <v>34649000</v>
      </c>
      <c r="AH756">
        <v>18.663904190063501</v>
      </c>
      <c r="AI756">
        <v>8.2339658737182599</v>
      </c>
    </row>
    <row r="757" spans="1:35">
      <c r="A757">
        <f t="shared" si="96"/>
        <v>0</v>
      </c>
      <c r="B757">
        <f t="shared" si="97"/>
        <v>0</v>
      </c>
      <c r="C757">
        <f t="shared" si="98"/>
        <v>1</v>
      </c>
      <c r="D757">
        <f t="shared" si="99"/>
        <v>0</v>
      </c>
      <c r="E757">
        <f t="shared" si="100"/>
        <v>1</v>
      </c>
      <c r="F757">
        <f t="shared" si="101"/>
        <v>1</v>
      </c>
      <c r="G757">
        <f t="shared" si="102"/>
        <v>0</v>
      </c>
      <c r="H757">
        <v>0</v>
      </c>
      <c r="I757">
        <f t="shared" si="103"/>
        <v>0</v>
      </c>
      <c r="J757">
        <v>0</v>
      </c>
      <c r="K757" t="s">
        <v>3539</v>
      </c>
      <c r="L757" t="s">
        <v>3540</v>
      </c>
      <c r="M757" t="s">
        <v>27</v>
      </c>
      <c r="N757" t="s">
        <v>27</v>
      </c>
      <c r="O757">
        <v>9.25</v>
      </c>
      <c r="P757" t="s">
        <v>27</v>
      </c>
      <c r="Q757" t="s">
        <v>27</v>
      </c>
      <c r="R757">
        <v>11.550000190734901</v>
      </c>
      <c r="S757">
        <v>13.5100002288818</v>
      </c>
      <c r="T757" t="s">
        <v>27</v>
      </c>
      <c r="U757" t="s">
        <v>27</v>
      </c>
      <c r="V757" t="s">
        <v>27</v>
      </c>
      <c r="W757">
        <v>9.8403558731079102</v>
      </c>
      <c r="X757" t="s">
        <v>27</v>
      </c>
      <c r="Y757" t="s">
        <v>27</v>
      </c>
      <c r="Z757" t="s">
        <v>27</v>
      </c>
      <c r="AA757" t="s">
        <v>27</v>
      </c>
      <c r="AB757" t="s">
        <v>27</v>
      </c>
      <c r="AC757" t="s">
        <v>27</v>
      </c>
      <c r="AD757" t="s">
        <v>27</v>
      </c>
      <c r="AE757" t="s">
        <v>27</v>
      </c>
      <c r="AF757" t="s">
        <v>27</v>
      </c>
      <c r="AG757" t="s">
        <v>27</v>
      </c>
      <c r="AH757" t="s">
        <v>27</v>
      </c>
      <c r="AI757">
        <v>5.1968421936035201</v>
      </c>
    </row>
    <row r="758" spans="1:35">
      <c r="A758">
        <f t="shared" si="96"/>
        <v>1</v>
      </c>
      <c r="B758">
        <f t="shared" si="97"/>
        <v>1</v>
      </c>
      <c r="C758">
        <f t="shared" si="98"/>
        <v>0</v>
      </c>
      <c r="D758">
        <f t="shared" si="99"/>
        <v>0</v>
      </c>
      <c r="E758">
        <f t="shared" si="100"/>
        <v>0</v>
      </c>
      <c r="F758">
        <f t="shared" si="101"/>
        <v>0</v>
      </c>
      <c r="G758">
        <f t="shared" si="102"/>
        <v>0</v>
      </c>
      <c r="H758">
        <v>0</v>
      </c>
      <c r="I758">
        <f t="shared" si="103"/>
        <v>0</v>
      </c>
      <c r="J758">
        <v>0</v>
      </c>
      <c r="K758" t="s">
        <v>3545</v>
      </c>
      <c r="L758" t="s">
        <v>3546</v>
      </c>
      <c r="M758" t="s">
        <v>27</v>
      </c>
      <c r="N758" t="s">
        <v>27</v>
      </c>
      <c r="O758">
        <v>1.41</v>
      </c>
      <c r="P758" t="s">
        <v>27</v>
      </c>
      <c r="Q758" t="s">
        <v>27</v>
      </c>
      <c r="R758">
        <v>3.1400001049041699</v>
      </c>
      <c r="S758">
        <v>28.8125</v>
      </c>
      <c r="T758" t="s">
        <v>27</v>
      </c>
      <c r="U758" t="s">
        <v>27</v>
      </c>
      <c r="V758">
        <v>-18463000</v>
      </c>
      <c r="W758">
        <v>-58.814521789550803</v>
      </c>
      <c r="X758" t="s">
        <v>27</v>
      </c>
      <c r="Y758" t="s">
        <v>27</v>
      </c>
      <c r="Z758">
        <v>-43.971630096435497</v>
      </c>
      <c r="AA758" t="s">
        <v>27</v>
      </c>
      <c r="AB758" t="s">
        <v>27</v>
      </c>
      <c r="AC758" t="s">
        <v>27</v>
      </c>
      <c r="AD758">
        <v>-0.21999999880790699</v>
      </c>
      <c r="AE758">
        <v>43.564750671386697</v>
      </c>
      <c r="AF758" t="s">
        <v>27</v>
      </c>
      <c r="AG758">
        <v>134634000</v>
      </c>
      <c r="AH758">
        <v>1.28180503845215</v>
      </c>
      <c r="AI758">
        <v>-38.408847808837898</v>
      </c>
    </row>
    <row r="759" spans="1:35">
      <c r="A759">
        <f t="shared" si="96"/>
        <v>1</v>
      </c>
      <c r="B759">
        <f t="shared" si="97"/>
        <v>0</v>
      </c>
      <c r="C759">
        <f t="shared" si="98"/>
        <v>0</v>
      </c>
      <c r="D759">
        <f t="shared" si="99"/>
        <v>0</v>
      </c>
      <c r="E759">
        <f t="shared" si="100"/>
        <v>0</v>
      </c>
      <c r="F759">
        <f t="shared" si="101"/>
        <v>0</v>
      </c>
      <c r="G759">
        <f t="shared" si="102"/>
        <v>0</v>
      </c>
      <c r="H759">
        <v>0</v>
      </c>
      <c r="I759">
        <f t="shared" si="103"/>
        <v>0</v>
      </c>
      <c r="J759">
        <v>0</v>
      </c>
      <c r="K759" t="s">
        <v>3549</v>
      </c>
      <c r="L759" t="s">
        <v>3550</v>
      </c>
      <c r="M759" t="s">
        <v>27</v>
      </c>
      <c r="N759" t="s">
        <v>27</v>
      </c>
      <c r="O759">
        <v>13.35</v>
      </c>
      <c r="P759" t="s">
        <v>27</v>
      </c>
      <c r="Q759" t="s">
        <v>27</v>
      </c>
      <c r="R759">
        <v>24</v>
      </c>
      <c r="S759">
        <v>16.346666971842399</v>
      </c>
      <c r="T759" t="s">
        <v>27</v>
      </c>
      <c r="U759" t="s">
        <v>27</v>
      </c>
      <c r="V759">
        <v>-1546000</v>
      </c>
      <c r="W759">
        <v>5.9038767814636204</v>
      </c>
      <c r="X759" t="s">
        <v>27</v>
      </c>
      <c r="Y759" t="s">
        <v>27</v>
      </c>
      <c r="Z759" t="s">
        <v>27</v>
      </c>
      <c r="AA759" t="s">
        <v>27</v>
      </c>
      <c r="AB759" t="s">
        <v>61</v>
      </c>
      <c r="AC759" t="s">
        <v>77</v>
      </c>
      <c r="AD759">
        <v>0.19333332777023299</v>
      </c>
      <c r="AE759">
        <v>12.623785972595201</v>
      </c>
      <c r="AF759" t="s">
        <v>27</v>
      </c>
      <c r="AG759">
        <v>11278500</v>
      </c>
      <c r="AH759">
        <v>15.7097883224487</v>
      </c>
      <c r="AI759">
        <v>-1.90510702133179</v>
      </c>
    </row>
    <row r="760" spans="1:35">
      <c r="A760">
        <f t="shared" si="96"/>
        <v>1</v>
      </c>
      <c r="B760">
        <f t="shared" si="97"/>
        <v>1</v>
      </c>
      <c r="C760">
        <f t="shared" si="98"/>
        <v>1</v>
      </c>
      <c r="D760">
        <f t="shared" si="99"/>
        <v>0</v>
      </c>
      <c r="E760">
        <f t="shared" si="100"/>
        <v>0</v>
      </c>
      <c r="F760">
        <f t="shared" si="101"/>
        <v>0</v>
      </c>
      <c r="G760">
        <f t="shared" si="102"/>
        <v>1</v>
      </c>
      <c r="H760">
        <v>0</v>
      </c>
      <c r="I760">
        <f t="shared" si="103"/>
        <v>0</v>
      </c>
      <c r="J760">
        <v>0</v>
      </c>
      <c r="K760" t="s">
        <v>3563</v>
      </c>
      <c r="L760" t="s">
        <v>3564</v>
      </c>
      <c r="M760" t="s">
        <v>27</v>
      </c>
      <c r="N760" t="s">
        <v>27</v>
      </c>
      <c r="O760">
        <v>2.48</v>
      </c>
      <c r="P760" t="s">
        <v>27</v>
      </c>
      <c r="Q760" t="s">
        <v>27</v>
      </c>
      <c r="R760">
        <v>6.3000001907348597</v>
      </c>
      <c r="S760">
        <v>16.1875</v>
      </c>
      <c r="T760">
        <v>49.933925628662102</v>
      </c>
      <c r="U760">
        <v>53.212409973144503</v>
      </c>
      <c r="V760">
        <v>8816000</v>
      </c>
      <c r="W760">
        <v>-4.4562439918518102</v>
      </c>
      <c r="X760">
        <v>-3.9999999105930301E-2</v>
      </c>
      <c r="Y760">
        <v>-5.2283458709716797</v>
      </c>
      <c r="Z760">
        <v>5.0675678253173801</v>
      </c>
      <c r="AA760">
        <v>36033000</v>
      </c>
      <c r="AB760" t="s">
        <v>27</v>
      </c>
      <c r="AC760" t="s">
        <v>27</v>
      </c>
      <c r="AD760">
        <v>-0.37000000476837203</v>
      </c>
      <c r="AE760">
        <v>56.075199127197301</v>
      </c>
      <c r="AF760">
        <v>9.7819559229908393</v>
      </c>
      <c r="AG760">
        <v>36254332</v>
      </c>
      <c r="AH760">
        <v>47.514026641845703</v>
      </c>
      <c r="AI760">
        <v>-1.80620300769806</v>
      </c>
    </row>
    <row r="761" spans="1:35">
      <c r="A761">
        <f t="shared" si="96"/>
        <v>0</v>
      </c>
      <c r="B761">
        <f t="shared" si="97"/>
        <v>0</v>
      </c>
      <c r="C761">
        <f t="shared" si="98"/>
        <v>1</v>
      </c>
      <c r="D761">
        <f t="shared" si="99"/>
        <v>1</v>
      </c>
      <c r="E761">
        <f t="shared" si="100"/>
        <v>0</v>
      </c>
      <c r="F761">
        <f t="shared" si="101"/>
        <v>1</v>
      </c>
      <c r="G761">
        <f t="shared" si="102"/>
        <v>1</v>
      </c>
      <c r="H761">
        <v>0</v>
      </c>
      <c r="I761">
        <f t="shared" si="103"/>
        <v>1</v>
      </c>
      <c r="J761">
        <v>0</v>
      </c>
      <c r="K761" t="s">
        <v>3565</v>
      </c>
      <c r="L761" t="s">
        <v>3566</v>
      </c>
      <c r="M761" t="s">
        <v>27</v>
      </c>
      <c r="N761" t="s">
        <v>27</v>
      </c>
      <c r="O761">
        <v>16.329999999999998</v>
      </c>
      <c r="P761">
        <v>10.268322944641101</v>
      </c>
      <c r="Q761" t="s">
        <v>27</v>
      </c>
      <c r="R761">
        <v>15.0200004577637</v>
      </c>
      <c r="S761">
        <v>22.375</v>
      </c>
      <c r="T761">
        <v>51.399238586425803</v>
      </c>
      <c r="U761">
        <v>51.207118988037102</v>
      </c>
      <c r="V761" t="s">
        <v>27</v>
      </c>
      <c r="W761">
        <v>12.7757892608643</v>
      </c>
      <c r="X761">
        <v>-0.18000000715255701</v>
      </c>
      <c r="Y761">
        <v>5.76536321640015</v>
      </c>
      <c r="Z761" t="s">
        <v>27</v>
      </c>
      <c r="AA761">
        <v>23473000</v>
      </c>
      <c r="AB761" t="s">
        <v>38</v>
      </c>
      <c r="AC761" t="s">
        <v>146</v>
      </c>
      <c r="AD761" t="s">
        <v>27</v>
      </c>
      <c r="AE761" t="s">
        <v>27</v>
      </c>
      <c r="AF761">
        <v>11.519849276036499</v>
      </c>
      <c r="AG761" t="s">
        <v>27</v>
      </c>
      <c r="AH761" t="s">
        <v>27</v>
      </c>
      <c r="AI761">
        <v>4.2319350242614702</v>
      </c>
    </row>
    <row r="762" spans="1:35">
      <c r="A762">
        <f t="shared" si="96"/>
        <v>0</v>
      </c>
      <c r="B762">
        <f t="shared" si="97"/>
        <v>0</v>
      </c>
      <c r="C762">
        <f t="shared" si="98"/>
        <v>0</v>
      </c>
      <c r="D762">
        <f t="shared" si="99"/>
        <v>1</v>
      </c>
      <c r="E762">
        <f t="shared" si="100"/>
        <v>0</v>
      </c>
      <c r="F762">
        <f t="shared" si="101"/>
        <v>0</v>
      </c>
      <c r="G762">
        <f t="shared" si="102"/>
        <v>1</v>
      </c>
      <c r="H762">
        <v>0</v>
      </c>
      <c r="I762">
        <f t="shared" si="103"/>
        <v>0</v>
      </c>
      <c r="J762">
        <v>0</v>
      </c>
      <c r="K762" t="s">
        <v>3567</v>
      </c>
      <c r="L762" t="s">
        <v>3568</v>
      </c>
      <c r="M762" t="s">
        <v>27</v>
      </c>
      <c r="N762" t="s">
        <v>27</v>
      </c>
      <c r="O762">
        <v>17.39</v>
      </c>
      <c r="P762">
        <v>6.8018131256103498</v>
      </c>
      <c r="Q762" t="s">
        <v>27</v>
      </c>
      <c r="R762">
        <v>23.659999847412099</v>
      </c>
      <c r="S762">
        <v>23.549999237060501</v>
      </c>
      <c r="T762">
        <v>20.330755233764599</v>
      </c>
      <c r="U762">
        <v>7.1182150840759304</v>
      </c>
      <c r="V762">
        <v>-31700000</v>
      </c>
      <c r="W762">
        <v>11.3722839355469</v>
      </c>
      <c r="X762">
        <v>-0.34999999403953602</v>
      </c>
      <c r="Y762">
        <v>12.449197769165</v>
      </c>
      <c r="Z762">
        <v>1.61662805080414</v>
      </c>
      <c r="AA762">
        <v>37300000</v>
      </c>
      <c r="AB762" t="s">
        <v>61</v>
      </c>
      <c r="AC762" t="s">
        <v>101</v>
      </c>
      <c r="AD762">
        <v>0.20999999344348899</v>
      </c>
      <c r="AE762">
        <v>15.714669227600099</v>
      </c>
      <c r="AF762">
        <v>28.863056502242198</v>
      </c>
      <c r="AG762">
        <v>43800000</v>
      </c>
      <c r="AH762">
        <v>24.853700637817401</v>
      </c>
      <c r="AI762">
        <v>-4.6507999300956698E-2</v>
      </c>
    </row>
    <row r="763" spans="1:35">
      <c r="A763">
        <f t="shared" si="96"/>
        <v>1</v>
      </c>
      <c r="B763">
        <f t="shared" si="97"/>
        <v>1</v>
      </c>
      <c r="C763">
        <f t="shared" si="98"/>
        <v>0</v>
      </c>
      <c r="D763">
        <f t="shared" si="99"/>
        <v>0</v>
      </c>
      <c r="E763">
        <f t="shared" si="100"/>
        <v>0</v>
      </c>
      <c r="F763">
        <f t="shared" si="101"/>
        <v>0</v>
      </c>
      <c r="G763">
        <f t="shared" si="102"/>
        <v>1</v>
      </c>
      <c r="H763">
        <v>0</v>
      </c>
      <c r="I763">
        <f t="shared" si="103"/>
        <v>0</v>
      </c>
      <c r="J763">
        <v>0</v>
      </c>
      <c r="K763" t="s">
        <v>3569</v>
      </c>
      <c r="L763" t="s">
        <v>3570</v>
      </c>
      <c r="M763" t="s">
        <v>27</v>
      </c>
      <c r="N763" t="s">
        <v>27</v>
      </c>
      <c r="O763">
        <v>3.2</v>
      </c>
      <c r="P763" t="s">
        <v>27</v>
      </c>
      <c r="Q763" t="s">
        <v>27</v>
      </c>
      <c r="R763">
        <v>5.7199997901916504</v>
      </c>
      <c r="S763">
        <v>11.0625</v>
      </c>
      <c r="T763">
        <v>12.066364288330099</v>
      </c>
      <c r="U763">
        <v>54.8353271484375</v>
      </c>
      <c r="V763">
        <v>-5215000</v>
      </c>
      <c r="W763">
        <v>-51.250686645507798</v>
      </c>
      <c r="X763">
        <v>-0.10000000149011599</v>
      </c>
      <c r="Y763">
        <v>-6.1428570747375497</v>
      </c>
      <c r="Z763">
        <v>-11.1627912521362</v>
      </c>
      <c r="AA763">
        <v>28756000</v>
      </c>
      <c r="AB763" t="s">
        <v>27</v>
      </c>
      <c r="AC763" t="s">
        <v>27</v>
      </c>
      <c r="AD763">
        <v>-0.20999999344348899</v>
      </c>
      <c r="AE763">
        <v>58</v>
      </c>
      <c r="AF763" t="s">
        <v>27</v>
      </c>
      <c r="AG763">
        <v>37262000</v>
      </c>
      <c r="AH763">
        <v>3.9612739086151101</v>
      </c>
      <c r="AI763">
        <v>-22.219438552856399</v>
      </c>
    </row>
    <row r="764" spans="1:35">
      <c r="A764">
        <f t="shared" si="96"/>
        <v>1</v>
      </c>
      <c r="B764">
        <f t="shared" si="97"/>
        <v>1</v>
      </c>
      <c r="C764">
        <f t="shared" si="98"/>
        <v>0</v>
      </c>
      <c r="D764">
        <f t="shared" si="99"/>
        <v>1</v>
      </c>
      <c r="E764">
        <f t="shared" si="100"/>
        <v>0</v>
      </c>
      <c r="F764">
        <f t="shared" si="101"/>
        <v>0</v>
      </c>
      <c r="G764">
        <f t="shared" si="102"/>
        <v>0</v>
      </c>
      <c r="H764">
        <v>0</v>
      </c>
      <c r="I764">
        <f t="shared" si="103"/>
        <v>0</v>
      </c>
      <c r="J764">
        <v>0</v>
      </c>
      <c r="K764" t="s">
        <v>3571</v>
      </c>
      <c r="L764" t="s">
        <v>3572</v>
      </c>
      <c r="M764" t="s">
        <v>27</v>
      </c>
      <c r="N764" t="s">
        <v>27</v>
      </c>
      <c r="O764">
        <v>7.37</v>
      </c>
      <c r="P764" t="s">
        <v>27</v>
      </c>
      <c r="Q764" t="s">
        <v>27</v>
      </c>
      <c r="R764">
        <v>29.899999618530298</v>
      </c>
      <c r="S764">
        <v>15.375</v>
      </c>
      <c r="T764">
        <v>6.9394459724426296</v>
      </c>
      <c r="U764">
        <v>87.776222229003906</v>
      </c>
      <c r="V764">
        <v>-1795000</v>
      </c>
      <c r="W764">
        <v>-5.8398818969726598</v>
      </c>
      <c r="X764">
        <v>-0.17000000178813901</v>
      </c>
      <c r="Y764">
        <v>-4.5913038253784197</v>
      </c>
      <c r="Z764">
        <v>3.9511909484863299</v>
      </c>
      <c r="AA764">
        <v>7052000</v>
      </c>
      <c r="AB764" t="s">
        <v>27</v>
      </c>
      <c r="AC764" t="s">
        <v>27</v>
      </c>
      <c r="AD764">
        <v>0.109999999403954</v>
      </c>
      <c r="AE764">
        <v>79.061012268066406</v>
      </c>
      <c r="AF764">
        <v>85.924923284261098</v>
      </c>
      <c r="AG764">
        <v>7474000</v>
      </c>
      <c r="AH764">
        <v>5.7384171485900897</v>
      </c>
      <c r="AI764">
        <v>-4.1592421531677202</v>
      </c>
    </row>
    <row r="765" spans="1:35">
      <c r="A765">
        <f t="shared" si="96"/>
        <v>1</v>
      </c>
      <c r="B765">
        <f t="shared" si="97"/>
        <v>1</v>
      </c>
      <c r="C765">
        <f t="shared" si="98"/>
        <v>0</v>
      </c>
      <c r="D765">
        <f t="shared" si="99"/>
        <v>1</v>
      </c>
      <c r="E765">
        <f t="shared" si="100"/>
        <v>0</v>
      </c>
      <c r="F765">
        <f t="shared" si="101"/>
        <v>0</v>
      </c>
      <c r="G765">
        <f t="shared" si="102"/>
        <v>1</v>
      </c>
      <c r="H765">
        <v>0</v>
      </c>
      <c r="I765">
        <f t="shared" si="103"/>
        <v>0</v>
      </c>
      <c r="J765">
        <v>0</v>
      </c>
      <c r="K765" t="s">
        <v>3575</v>
      </c>
      <c r="L765" t="s">
        <v>3576</v>
      </c>
      <c r="M765" t="s">
        <v>27</v>
      </c>
      <c r="N765" t="s">
        <v>27</v>
      </c>
      <c r="O765">
        <v>3.92</v>
      </c>
      <c r="P765" t="s">
        <v>27</v>
      </c>
      <c r="Q765" t="s">
        <v>27</v>
      </c>
      <c r="R765">
        <v>14.329999923706101</v>
      </c>
      <c r="S765">
        <v>14.5</v>
      </c>
      <c r="T765">
        <v>18.385900497436499</v>
      </c>
      <c r="U765">
        <v>15.2367649078369</v>
      </c>
      <c r="V765">
        <v>-3019000</v>
      </c>
      <c r="W765">
        <v>-20.552776336669901</v>
      </c>
      <c r="X765">
        <v>-0.37000000476837203</v>
      </c>
      <c r="Y765" t="s">
        <v>27</v>
      </c>
      <c r="Z765">
        <v>-3.1818180084228498</v>
      </c>
      <c r="AA765">
        <v>33860000</v>
      </c>
      <c r="AB765" t="s">
        <v>27</v>
      </c>
      <c r="AC765" t="s">
        <v>27</v>
      </c>
      <c r="AD765">
        <v>-0.270000010728836</v>
      </c>
      <c r="AE765">
        <v>33.9485473632813</v>
      </c>
      <c r="AF765" t="s">
        <v>27</v>
      </c>
      <c r="AG765">
        <v>44468000</v>
      </c>
      <c r="AH765">
        <v>6.55612993240356</v>
      </c>
      <c r="AI765">
        <v>-19.556238174438501</v>
      </c>
    </row>
    <row r="766" spans="1:35">
      <c r="A766">
        <f t="shared" si="96"/>
        <v>0</v>
      </c>
      <c r="B766">
        <f t="shared" si="97"/>
        <v>0</v>
      </c>
      <c r="C766">
        <f t="shared" si="98"/>
        <v>1</v>
      </c>
      <c r="D766">
        <f t="shared" si="99"/>
        <v>0</v>
      </c>
      <c r="E766">
        <f t="shared" si="100"/>
        <v>0</v>
      </c>
      <c r="F766">
        <f t="shared" si="101"/>
        <v>0</v>
      </c>
      <c r="G766">
        <f t="shared" si="102"/>
        <v>0</v>
      </c>
      <c r="H766">
        <v>0</v>
      </c>
      <c r="I766">
        <f t="shared" si="103"/>
        <v>0</v>
      </c>
      <c r="J766">
        <v>0</v>
      </c>
      <c r="K766" t="s">
        <v>3587</v>
      </c>
      <c r="L766" t="s">
        <v>3588</v>
      </c>
      <c r="M766" t="s">
        <v>27</v>
      </c>
      <c r="N766" t="s">
        <v>27</v>
      </c>
      <c r="O766">
        <v>14.39</v>
      </c>
      <c r="P766" t="s">
        <v>27</v>
      </c>
      <c r="Q766" t="s">
        <v>27</v>
      </c>
      <c r="R766">
        <v>14.5</v>
      </c>
      <c r="S766">
        <v>12.079999923706101</v>
      </c>
      <c r="T766">
        <v>56.208518981933601</v>
      </c>
      <c r="U766" t="s">
        <v>27</v>
      </c>
      <c r="V766">
        <v>9479000</v>
      </c>
      <c r="W766">
        <v>0.120909996330738</v>
      </c>
      <c r="X766">
        <v>-1.9999999552965199E-2</v>
      </c>
      <c r="Y766">
        <v>-7.8987340927123997</v>
      </c>
      <c r="Z766">
        <v>-3.4657039642334002</v>
      </c>
      <c r="AA766">
        <v>15383000</v>
      </c>
      <c r="AB766" t="s">
        <v>27</v>
      </c>
      <c r="AC766" t="s">
        <v>27</v>
      </c>
      <c r="AD766">
        <v>-0.140000000596046</v>
      </c>
      <c r="AE766" t="s">
        <v>27</v>
      </c>
      <c r="AF766">
        <v>9.7728993349916191</v>
      </c>
      <c r="AG766">
        <v>18034000</v>
      </c>
      <c r="AH766">
        <v>61.1830444335938</v>
      </c>
      <c r="AI766">
        <v>-6.7790001630783098E-3</v>
      </c>
    </row>
    <row r="767" spans="1:35">
      <c r="A767">
        <f t="shared" si="96"/>
        <v>1</v>
      </c>
      <c r="B767">
        <f t="shared" si="97"/>
        <v>1</v>
      </c>
      <c r="C767">
        <f t="shared" si="98"/>
        <v>1</v>
      </c>
      <c r="D767">
        <f t="shared" si="99"/>
        <v>0</v>
      </c>
      <c r="E767">
        <f t="shared" si="100"/>
        <v>0</v>
      </c>
      <c r="F767">
        <f t="shared" si="101"/>
        <v>1</v>
      </c>
      <c r="G767">
        <f t="shared" si="102"/>
        <v>0</v>
      </c>
      <c r="H767">
        <v>0</v>
      </c>
      <c r="I767">
        <f t="shared" si="103"/>
        <v>0</v>
      </c>
      <c r="J767">
        <v>0</v>
      </c>
      <c r="K767" t="s">
        <v>3591</v>
      </c>
      <c r="L767" t="s">
        <v>3592</v>
      </c>
      <c r="M767" t="s">
        <v>27</v>
      </c>
      <c r="N767" t="s">
        <v>27</v>
      </c>
      <c r="O767">
        <v>4.6890000000000001</v>
      </c>
      <c r="P767" t="s">
        <v>27</v>
      </c>
      <c r="Q767" t="s">
        <v>27</v>
      </c>
      <c r="R767">
        <v>9.5500001907348597</v>
      </c>
      <c r="S767">
        <v>15.4375</v>
      </c>
      <c r="T767" t="s">
        <v>27</v>
      </c>
      <c r="U767" t="s">
        <v>27</v>
      </c>
      <c r="V767">
        <v>4368000</v>
      </c>
      <c r="W767">
        <v>-0.201975002884865</v>
      </c>
      <c r="X767" t="s">
        <v>27</v>
      </c>
      <c r="Y767" t="s">
        <v>27</v>
      </c>
      <c r="Z767">
        <v>12.351945877075201</v>
      </c>
      <c r="AA767" t="s">
        <v>27</v>
      </c>
      <c r="AB767" t="s">
        <v>38</v>
      </c>
      <c r="AC767" t="s">
        <v>146</v>
      </c>
      <c r="AD767">
        <v>2.9999999329447701E-2</v>
      </c>
      <c r="AE767">
        <v>21.840492248535199</v>
      </c>
      <c r="AF767">
        <v>17.302691800097001</v>
      </c>
      <c r="AG767">
        <v>37565000</v>
      </c>
      <c r="AH767">
        <v>17.668931961059599</v>
      </c>
      <c r="AI767">
        <v>15.1552133560181</v>
      </c>
    </row>
    <row r="768" spans="1:35">
      <c r="A768">
        <f t="shared" si="96"/>
        <v>0</v>
      </c>
      <c r="B768">
        <f t="shared" si="97"/>
        <v>0</v>
      </c>
      <c r="C768">
        <f t="shared" si="98"/>
        <v>0</v>
      </c>
      <c r="D768">
        <f t="shared" si="99"/>
        <v>0</v>
      </c>
      <c r="E768">
        <f t="shared" si="100"/>
        <v>0</v>
      </c>
      <c r="F768">
        <f t="shared" si="101"/>
        <v>0</v>
      </c>
      <c r="G768">
        <f t="shared" si="102"/>
        <v>0</v>
      </c>
      <c r="H768">
        <v>0</v>
      </c>
      <c r="I768">
        <f t="shared" si="103"/>
        <v>0</v>
      </c>
      <c r="J768">
        <v>0</v>
      </c>
      <c r="K768" t="s">
        <v>3595</v>
      </c>
      <c r="L768" t="s">
        <v>3596</v>
      </c>
      <c r="M768" t="s">
        <v>27</v>
      </c>
      <c r="N768" t="s">
        <v>27</v>
      </c>
      <c r="O768">
        <v>4.0999999999999996</v>
      </c>
      <c r="P768" t="s">
        <v>27</v>
      </c>
      <c r="Q768" t="s">
        <v>27</v>
      </c>
      <c r="R768">
        <v>22.090000152587901</v>
      </c>
      <c r="S768">
        <v>28.625</v>
      </c>
      <c r="T768">
        <v>4.5247211456298801</v>
      </c>
      <c r="U768">
        <v>-127.42160797119099</v>
      </c>
      <c r="V768">
        <v>-22328000</v>
      </c>
      <c r="W768">
        <v>-13.9089803695679</v>
      </c>
      <c r="X768">
        <v>-0.140000000596046</v>
      </c>
      <c r="Y768" t="s">
        <v>27</v>
      </c>
      <c r="Z768">
        <v>-5.0488600730895996</v>
      </c>
      <c r="AA768">
        <v>48086400</v>
      </c>
      <c r="AB768" t="s">
        <v>27</v>
      </c>
      <c r="AC768" t="s">
        <v>27</v>
      </c>
      <c r="AD768">
        <v>-0.28999999165535001</v>
      </c>
      <c r="AE768">
        <v>-178.29756164550801</v>
      </c>
      <c r="AF768" t="s">
        <v>27</v>
      </c>
      <c r="AG768">
        <v>49727832</v>
      </c>
      <c r="AH768">
        <v>5.1479558944702104</v>
      </c>
      <c r="AI768">
        <v>-15.8585319519043</v>
      </c>
    </row>
    <row r="769" spans="1:35">
      <c r="A769">
        <f t="shared" si="96"/>
        <v>1</v>
      </c>
      <c r="B769">
        <f t="shared" si="97"/>
        <v>1</v>
      </c>
      <c r="C769">
        <f t="shared" si="98"/>
        <v>0</v>
      </c>
      <c r="D769">
        <f t="shared" si="99"/>
        <v>0</v>
      </c>
      <c r="E769">
        <f t="shared" si="100"/>
        <v>0</v>
      </c>
      <c r="F769">
        <f t="shared" si="101"/>
        <v>1</v>
      </c>
      <c r="G769">
        <f t="shared" si="102"/>
        <v>0</v>
      </c>
      <c r="H769">
        <v>0</v>
      </c>
      <c r="I769">
        <f t="shared" si="103"/>
        <v>0</v>
      </c>
      <c r="J769">
        <v>0</v>
      </c>
      <c r="K769" t="s">
        <v>3599</v>
      </c>
      <c r="L769" t="s">
        <v>3600</v>
      </c>
      <c r="M769" t="s">
        <v>27</v>
      </c>
      <c r="N769" t="s">
        <v>27</v>
      </c>
      <c r="O769">
        <v>2.67</v>
      </c>
      <c r="P769" t="s">
        <v>27</v>
      </c>
      <c r="Q769" t="s">
        <v>27</v>
      </c>
      <c r="R769">
        <v>5.0500001907348597</v>
      </c>
      <c r="S769">
        <v>6.75</v>
      </c>
      <c r="T769">
        <v>8.5568003356456798E-2</v>
      </c>
      <c r="U769">
        <v>58.461238861083999</v>
      </c>
      <c r="V769">
        <v>-12531000</v>
      </c>
      <c r="W769">
        <v>-2.1858949661254901</v>
      </c>
      <c r="X769">
        <v>0.239999994635582</v>
      </c>
      <c r="Y769" t="s">
        <v>27</v>
      </c>
      <c r="Z769">
        <v>-8.3333330154418892</v>
      </c>
      <c r="AA769">
        <v>65072000</v>
      </c>
      <c r="AB769" t="s">
        <v>27</v>
      </c>
      <c r="AC769" t="s">
        <v>27</v>
      </c>
      <c r="AD769">
        <v>-0.28999999165535001</v>
      </c>
      <c r="AE769">
        <v>56.824512481689503</v>
      </c>
      <c r="AF769" t="s">
        <v>27</v>
      </c>
      <c r="AG769">
        <v>64884004</v>
      </c>
      <c r="AH769">
        <v>2.5877000764012299E-2</v>
      </c>
      <c r="AI769">
        <v>12.24462890625</v>
      </c>
    </row>
    <row r="770" spans="1:35">
      <c r="A770">
        <f t="shared" si="96"/>
        <v>0</v>
      </c>
      <c r="B770">
        <f t="shared" si="97"/>
        <v>1</v>
      </c>
      <c r="C770">
        <f t="shared" si="98"/>
        <v>0</v>
      </c>
      <c r="D770">
        <f t="shared" si="99"/>
        <v>0</v>
      </c>
      <c r="E770">
        <f t="shared" si="100"/>
        <v>0</v>
      </c>
      <c r="F770">
        <f t="shared" si="101"/>
        <v>1</v>
      </c>
      <c r="G770">
        <f t="shared" si="102"/>
        <v>0</v>
      </c>
      <c r="H770">
        <v>0</v>
      </c>
      <c r="I770">
        <f t="shared" si="103"/>
        <v>0</v>
      </c>
      <c r="J770">
        <v>0</v>
      </c>
      <c r="K770" t="s">
        <v>3601</v>
      </c>
      <c r="L770" t="s">
        <v>3602</v>
      </c>
      <c r="M770" t="s">
        <v>27</v>
      </c>
      <c r="N770" t="s">
        <v>27</v>
      </c>
      <c r="O770">
        <v>2.15</v>
      </c>
      <c r="P770" t="s">
        <v>27</v>
      </c>
      <c r="Q770" t="s">
        <v>27</v>
      </c>
      <c r="R770">
        <v>13.1199998855591</v>
      </c>
      <c r="S770">
        <v>76.0625</v>
      </c>
      <c r="T770">
        <v>39.747947692871101</v>
      </c>
      <c r="U770">
        <v>60.1348686218262</v>
      </c>
      <c r="V770">
        <v>-104711000</v>
      </c>
      <c r="W770">
        <v>-9.1678152084350604</v>
      </c>
      <c r="X770">
        <v>-1.9999999552965199E-2</v>
      </c>
      <c r="Y770">
        <v>-0.24838300049305001</v>
      </c>
      <c r="Z770">
        <v>-5.7931032180786097</v>
      </c>
      <c r="AA770">
        <v>105655000</v>
      </c>
      <c r="AB770" t="s">
        <v>171</v>
      </c>
      <c r="AC770" t="s">
        <v>172</v>
      </c>
      <c r="AD770">
        <v>-0.20999999344348899</v>
      </c>
      <c r="AE770">
        <v>55.128097534179702</v>
      </c>
      <c r="AF770" t="s">
        <v>27</v>
      </c>
      <c r="AG770">
        <v>114373000</v>
      </c>
      <c r="AH770">
        <v>44.582725524902301</v>
      </c>
      <c r="AI770">
        <v>0.10005100071430199</v>
      </c>
    </row>
    <row r="771" spans="1:35">
      <c r="A771">
        <f t="shared" si="96"/>
        <v>0</v>
      </c>
      <c r="B771">
        <f t="shared" si="97"/>
        <v>0</v>
      </c>
      <c r="C771">
        <f t="shared" si="98"/>
        <v>0</v>
      </c>
      <c r="D771">
        <f t="shared" si="99"/>
        <v>0</v>
      </c>
      <c r="E771">
        <f t="shared" si="100"/>
        <v>0</v>
      </c>
      <c r="F771">
        <f t="shared" si="101"/>
        <v>1</v>
      </c>
      <c r="G771">
        <f t="shared" si="102"/>
        <v>0</v>
      </c>
      <c r="H771">
        <v>0</v>
      </c>
      <c r="I771">
        <f t="shared" si="103"/>
        <v>0</v>
      </c>
      <c r="J771">
        <v>0</v>
      </c>
      <c r="K771" t="s">
        <v>3605</v>
      </c>
      <c r="L771" t="s">
        <v>3606</v>
      </c>
      <c r="M771" t="s">
        <v>27</v>
      </c>
      <c r="N771" t="s">
        <v>27</v>
      </c>
      <c r="O771">
        <v>4.7</v>
      </c>
      <c r="P771">
        <v>10.834709167480501</v>
      </c>
      <c r="Q771">
        <v>5.8780550956726101</v>
      </c>
      <c r="R771">
        <v>28.299999237060501</v>
      </c>
      <c r="S771">
        <v>19.8125</v>
      </c>
      <c r="T771">
        <v>3.8049170970916699</v>
      </c>
      <c r="U771">
        <v>35.900161743164098</v>
      </c>
      <c r="V771">
        <v>-23154280</v>
      </c>
      <c r="W771">
        <v>8.7325515747070295</v>
      </c>
      <c r="X771" t="s">
        <v>27</v>
      </c>
      <c r="Y771" t="s">
        <v>27</v>
      </c>
      <c r="Z771" t="s">
        <v>27</v>
      </c>
      <c r="AA771">
        <v>18372000</v>
      </c>
      <c r="AB771" t="s">
        <v>27</v>
      </c>
      <c r="AC771" t="s">
        <v>27</v>
      </c>
      <c r="AD771" t="s">
        <v>27</v>
      </c>
      <c r="AE771">
        <v>34.201908111572301</v>
      </c>
      <c r="AF771">
        <v>3.3897222279846502</v>
      </c>
      <c r="AG771">
        <v>22866830</v>
      </c>
      <c r="AH771">
        <v>9.1674127578735405</v>
      </c>
      <c r="AI771">
        <v>4.6754322052001998</v>
      </c>
    </row>
    <row r="772" spans="1:35">
      <c r="A772">
        <f t="shared" si="96"/>
        <v>1</v>
      </c>
      <c r="B772">
        <f t="shared" si="97"/>
        <v>0</v>
      </c>
      <c r="C772">
        <f t="shared" si="98"/>
        <v>1</v>
      </c>
      <c r="D772">
        <f t="shared" si="99"/>
        <v>1</v>
      </c>
      <c r="E772">
        <f t="shared" si="100"/>
        <v>0</v>
      </c>
      <c r="F772">
        <f t="shared" si="101"/>
        <v>0</v>
      </c>
      <c r="G772">
        <f t="shared" si="102"/>
        <v>0</v>
      </c>
      <c r="H772">
        <v>0</v>
      </c>
      <c r="I772">
        <f t="shared" si="103"/>
        <v>0</v>
      </c>
      <c r="J772">
        <v>0</v>
      </c>
      <c r="K772" t="s">
        <v>3607</v>
      </c>
      <c r="L772" t="s">
        <v>3608</v>
      </c>
      <c r="M772" t="s">
        <v>27</v>
      </c>
      <c r="N772" t="s">
        <v>27</v>
      </c>
      <c r="O772">
        <v>3.9</v>
      </c>
      <c r="P772" t="s">
        <v>27</v>
      </c>
      <c r="Q772" t="s">
        <v>27</v>
      </c>
      <c r="R772">
        <v>4.4000000953674299</v>
      </c>
      <c r="S772">
        <v>1.75</v>
      </c>
      <c r="T772">
        <v>29.6518669128418</v>
      </c>
      <c r="U772">
        <v>39.314617156982401</v>
      </c>
      <c r="V772">
        <v>7118000</v>
      </c>
      <c r="W772">
        <v>-1.40871798992157</v>
      </c>
      <c r="X772">
        <v>-5.0000000745058101E-2</v>
      </c>
      <c r="Y772">
        <v>-3</v>
      </c>
      <c r="Z772" t="s">
        <v>27</v>
      </c>
      <c r="AA772">
        <v>46679000</v>
      </c>
      <c r="AB772" t="s">
        <v>38</v>
      </c>
      <c r="AC772" t="s">
        <v>89</v>
      </c>
      <c r="AD772">
        <v>0</v>
      </c>
      <c r="AE772">
        <v>34.886585235595703</v>
      </c>
      <c r="AF772">
        <v>11.246712070766399</v>
      </c>
      <c r="AG772">
        <v>47224000</v>
      </c>
      <c r="AH772">
        <v>2.16724300384521</v>
      </c>
      <c r="AI772">
        <v>-12.3014221191406</v>
      </c>
    </row>
    <row r="773" spans="1:35">
      <c r="A773">
        <f t="shared" si="96"/>
        <v>0</v>
      </c>
      <c r="B773">
        <f t="shared" si="97"/>
        <v>0</v>
      </c>
      <c r="C773">
        <f t="shared" si="98"/>
        <v>0</v>
      </c>
      <c r="D773">
        <f t="shared" si="99"/>
        <v>0</v>
      </c>
      <c r="E773">
        <f t="shared" si="100"/>
        <v>0</v>
      </c>
      <c r="F773">
        <f t="shared" si="101"/>
        <v>1</v>
      </c>
      <c r="G773">
        <f t="shared" si="102"/>
        <v>0</v>
      </c>
      <c r="H773">
        <v>0</v>
      </c>
      <c r="I773">
        <f t="shared" si="103"/>
        <v>0</v>
      </c>
      <c r="J773">
        <v>0</v>
      </c>
      <c r="K773" t="s">
        <v>3609</v>
      </c>
      <c r="L773" t="s">
        <v>3610</v>
      </c>
      <c r="M773" t="s">
        <v>27</v>
      </c>
      <c r="N773" t="s">
        <v>27</v>
      </c>
      <c r="O773">
        <v>1.02</v>
      </c>
      <c r="P773">
        <v>6.1705918312072798</v>
      </c>
      <c r="Q773" t="s">
        <v>27</v>
      </c>
      <c r="R773">
        <v>14.699999809265099</v>
      </c>
      <c r="S773">
        <v>40.900001525878899</v>
      </c>
      <c r="T773">
        <v>24.015083312988299</v>
      </c>
      <c r="U773" t="s">
        <v>27</v>
      </c>
      <c r="V773">
        <v>-351000000</v>
      </c>
      <c r="W773">
        <v>6.2496838569641104</v>
      </c>
      <c r="X773">
        <v>-2.2999999523162802</v>
      </c>
      <c r="Y773">
        <v>7.6928567886352504</v>
      </c>
      <c r="Z773">
        <v>-130.06571960449199</v>
      </c>
      <c r="AA773">
        <v>52100000</v>
      </c>
      <c r="AB773" t="s">
        <v>27</v>
      </c>
      <c r="AC773" t="s">
        <v>27</v>
      </c>
      <c r="AD773">
        <v>-21.430000305175799</v>
      </c>
      <c r="AE773">
        <v>80.423667907714801</v>
      </c>
      <c r="AF773" t="s">
        <v>27</v>
      </c>
      <c r="AG773">
        <v>54497000</v>
      </c>
      <c r="AH773">
        <v>36.166225433349602</v>
      </c>
      <c r="AI773">
        <v>0.220662996172905</v>
      </c>
    </row>
    <row r="774" spans="1:35">
      <c r="A774">
        <f t="shared" si="96"/>
        <v>1</v>
      </c>
      <c r="B774">
        <f t="shared" si="97"/>
        <v>0</v>
      </c>
      <c r="C774">
        <f t="shared" si="98"/>
        <v>0</v>
      </c>
      <c r="D774">
        <f t="shared" si="99"/>
        <v>0</v>
      </c>
      <c r="E774">
        <f t="shared" si="100"/>
        <v>0</v>
      </c>
      <c r="F774">
        <f t="shared" si="101"/>
        <v>0</v>
      </c>
      <c r="G774">
        <f t="shared" si="102"/>
        <v>1</v>
      </c>
      <c r="H774">
        <v>0</v>
      </c>
      <c r="I774">
        <f t="shared" si="103"/>
        <v>0</v>
      </c>
      <c r="J774">
        <v>0</v>
      </c>
      <c r="K774" t="s">
        <v>3611</v>
      </c>
      <c r="L774" t="s">
        <v>3612</v>
      </c>
      <c r="M774" t="s">
        <v>27</v>
      </c>
      <c r="N774" t="s">
        <v>27</v>
      </c>
      <c r="O774">
        <v>0.34</v>
      </c>
      <c r="P774" t="s">
        <v>27</v>
      </c>
      <c r="Q774" t="s">
        <v>27</v>
      </c>
      <c r="R774">
        <v>4.1300001144409197</v>
      </c>
      <c r="S774">
        <v>7.625</v>
      </c>
      <c r="T774">
        <v>59.669754028320298</v>
      </c>
      <c r="U774">
        <v>-14.5801286697388</v>
      </c>
      <c r="V774">
        <v>-55418000</v>
      </c>
      <c r="W774" t="s">
        <v>27</v>
      </c>
      <c r="X774">
        <v>-0.119999997317791</v>
      </c>
      <c r="Y774" t="s">
        <v>27</v>
      </c>
      <c r="Z774">
        <v>-14.7459726333618</v>
      </c>
      <c r="AA774">
        <v>63544000</v>
      </c>
      <c r="AB774" t="s">
        <v>27</v>
      </c>
      <c r="AC774" t="s">
        <v>27</v>
      </c>
      <c r="AD774">
        <v>-0.40000000596046398</v>
      </c>
      <c r="AE774">
        <v>15.038158416748001</v>
      </c>
      <c r="AF774" t="s">
        <v>27</v>
      </c>
      <c r="AG774">
        <v>81116000</v>
      </c>
      <c r="AH774">
        <v>58.963516235351598</v>
      </c>
      <c r="AI774">
        <v>-19.445501327514599</v>
      </c>
    </row>
    <row r="775" spans="1:35">
      <c r="A775">
        <f t="shared" si="96"/>
        <v>1</v>
      </c>
      <c r="B775">
        <f t="shared" si="97"/>
        <v>0</v>
      </c>
      <c r="C775">
        <f t="shared" si="98"/>
        <v>0</v>
      </c>
      <c r="D775">
        <f t="shared" si="99"/>
        <v>0</v>
      </c>
      <c r="E775">
        <f t="shared" si="100"/>
        <v>0</v>
      </c>
      <c r="F775">
        <f t="shared" si="101"/>
        <v>0</v>
      </c>
      <c r="G775">
        <f t="shared" si="102"/>
        <v>0</v>
      </c>
      <c r="H775">
        <v>0</v>
      </c>
      <c r="I775">
        <f t="shared" si="103"/>
        <v>0</v>
      </c>
      <c r="J775">
        <v>0</v>
      </c>
      <c r="K775" t="s">
        <v>3623</v>
      </c>
      <c r="L775" t="s">
        <v>3624</v>
      </c>
      <c r="M775" t="s">
        <v>27</v>
      </c>
      <c r="N775" t="s">
        <v>27</v>
      </c>
      <c r="O775">
        <v>11.75</v>
      </c>
      <c r="P775" t="s">
        <v>27</v>
      </c>
      <c r="Q775" t="s">
        <v>27</v>
      </c>
      <c r="R775">
        <v>15.289999961853001</v>
      </c>
      <c r="S775">
        <v>31.4375</v>
      </c>
      <c r="T775">
        <v>0.37564998865127602</v>
      </c>
      <c r="U775">
        <v>40.3164672851563</v>
      </c>
      <c r="V775">
        <v>-3237000</v>
      </c>
      <c r="W775">
        <v>-1.72679495811462</v>
      </c>
      <c r="X775">
        <v>0.70999997854232799</v>
      </c>
      <c r="Y775">
        <v>-0.18677000701427501</v>
      </c>
      <c r="Z775">
        <v>4.8454470634460396</v>
      </c>
      <c r="AA775">
        <v>21243000</v>
      </c>
      <c r="AB775" t="s">
        <v>38</v>
      </c>
      <c r="AC775" t="s">
        <v>118</v>
      </c>
      <c r="AD775">
        <v>-1.16999995708466</v>
      </c>
      <c r="AE775">
        <v>34.650295257568402</v>
      </c>
      <c r="AF775" t="s">
        <v>27</v>
      </c>
      <c r="AG775">
        <v>22438000</v>
      </c>
      <c r="AH775">
        <v>0</v>
      </c>
      <c r="AI775">
        <v>-3.6563870906829798</v>
      </c>
    </row>
    <row r="776" spans="1:35">
      <c r="A776">
        <f t="shared" si="96"/>
        <v>1</v>
      </c>
      <c r="B776">
        <f t="shared" si="97"/>
        <v>0</v>
      </c>
      <c r="C776">
        <f t="shared" si="98"/>
        <v>1</v>
      </c>
      <c r="D776">
        <f t="shared" si="99"/>
        <v>0</v>
      </c>
      <c r="E776">
        <f t="shared" si="100"/>
        <v>0</v>
      </c>
      <c r="F776">
        <f t="shared" si="101"/>
        <v>0</v>
      </c>
      <c r="G776">
        <f t="shared" si="102"/>
        <v>0</v>
      </c>
      <c r="H776">
        <v>0</v>
      </c>
      <c r="I776">
        <f t="shared" si="103"/>
        <v>0</v>
      </c>
      <c r="J776">
        <v>0</v>
      </c>
      <c r="K776" t="s">
        <v>3629</v>
      </c>
      <c r="L776" t="s">
        <v>3630</v>
      </c>
      <c r="M776" t="s">
        <v>27</v>
      </c>
      <c r="N776" t="s">
        <v>27</v>
      </c>
      <c r="O776">
        <v>5.41</v>
      </c>
      <c r="P776">
        <v>4.92386722564697</v>
      </c>
      <c r="Q776" t="s">
        <v>27</v>
      </c>
      <c r="R776">
        <v>7.5500001907348597</v>
      </c>
      <c r="S776">
        <v>6.5</v>
      </c>
      <c r="T776">
        <v>37.379787445068402</v>
      </c>
      <c r="U776">
        <v>9.3734464645385707</v>
      </c>
      <c r="V776">
        <v>33581000</v>
      </c>
      <c r="W776">
        <v>2.7959229946136501</v>
      </c>
      <c r="X776">
        <v>-5.9999998658895499E-2</v>
      </c>
      <c r="Y776">
        <v>5.5</v>
      </c>
      <c r="Z776">
        <v>-3.9787800312042201</v>
      </c>
      <c r="AA776">
        <v>53673000</v>
      </c>
      <c r="AB776" t="s">
        <v>30</v>
      </c>
      <c r="AC776" t="s">
        <v>542</v>
      </c>
      <c r="AD776">
        <v>-7.0000000298023196E-2</v>
      </c>
      <c r="AE776">
        <v>6.9914932250976598</v>
      </c>
      <c r="AF776" t="s">
        <v>27</v>
      </c>
      <c r="AG776">
        <v>53825000</v>
      </c>
      <c r="AH776">
        <v>30.121244430541999</v>
      </c>
      <c r="AI776">
        <v>-3.5852739810943599</v>
      </c>
    </row>
    <row r="777" spans="1:35">
      <c r="A777">
        <f t="shared" si="96"/>
        <v>1</v>
      </c>
      <c r="B777">
        <f t="shared" si="97"/>
        <v>0</v>
      </c>
      <c r="C777">
        <f t="shared" si="98"/>
        <v>1</v>
      </c>
      <c r="D777">
        <f t="shared" si="99"/>
        <v>0</v>
      </c>
      <c r="E777">
        <f t="shared" si="100"/>
        <v>0</v>
      </c>
      <c r="F777">
        <f t="shared" si="101"/>
        <v>1</v>
      </c>
      <c r="G777">
        <f t="shared" si="102"/>
        <v>0</v>
      </c>
      <c r="H777">
        <v>0</v>
      </c>
      <c r="I777">
        <f t="shared" si="103"/>
        <v>0</v>
      </c>
      <c r="J777">
        <v>0</v>
      </c>
      <c r="K777" t="s">
        <v>3633</v>
      </c>
      <c r="L777" t="s">
        <v>3634</v>
      </c>
      <c r="M777" t="s">
        <v>27</v>
      </c>
      <c r="N777" t="s">
        <v>27</v>
      </c>
      <c r="O777">
        <v>18.510000000000002</v>
      </c>
      <c r="P777" t="s">
        <v>27</v>
      </c>
      <c r="Q777" t="s">
        <v>27</v>
      </c>
      <c r="R777">
        <v>21.850000381469702</v>
      </c>
      <c r="S777" t="s">
        <v>27</v>
      </c>
      <c r="T777" t="s">
        <v>27</v>
      </c>
      <c r="U777" t="s">
        <v>27</v>
      </c>
      <c r="V777">
        <v>12109000</v>
      </c>
      <c r="W777" t="s">
        <v>27</v>
      </c>
      <c r="X777" t="s">
        <v>27</v>
      </c>
      <c r="Y777" t="s">
        <v>27</v>
      </c>
      <c r="Z777" t="s">
        <v>27</v>
      </c>
      <c r="AA777" t="s">
        <v>27</v>
      </c>
      <c r="AB777" t="s">
        <v>27</v>
      </c>
      <c r="AC777" t="s">
        <v>27</v>
      </c>
      <c r="AD777">
        <v>2.9999999329447701E-2</v>
      </c>
      <c r="AE777">
        <v>33.888786315917997</v>
      </c>
      <c r="AF777">
        <v>8.3337834292365098</v>
      </c>
      <c r="AG777">
        <v>33209000</v>
      </c>
      <c r="AH777">
        <v>80.695045471191406</v>
      </c>
      <c r="AI777">
        <v>19.3591213226318</v>
      </c>
    </row>
    <row r="778" spans="1:35">
      <c r="A778">
        <f t="shared" si="96"/>
        <v>1</v>
      </c>
      <c r="B778">
        <f t="shared" si="97"/>
        <v>0</v>
      </c>
      <c r="C778">
        <f t="shared" si="98"/>
        <v>0</v>
      </c>
      <c r="D778">
        <f t="shared" si="99"/>
        <v>1</v>
      </c>
      <c r="E778">
        <f t="shared" si="100"/>
        <v>0</v>
      </c>
      <c r="F778">
        <f t="shared" si="101"/>
        <v>0</v>
      </c>
      <c r="G778">
        <f t="shared" si="102"/>
        <v>0</v>
      </c>
      <c r="H778">
        <v>0</v>
      </c>
      <c r="I778">
        <f t="shared" si="103"/>
        <v>1</v>
      </c>
      <c r="J778">
        <v>0</v>
      </c>
      <c r="K778" t="s">
        <v>3653</v>
      </c>
      <c r="L778" t="s">
        <v>3654</v>
      </c>
      <c r="M778" t="s">
        <v>27</v>
      </c>
      <c r="N778" t="s">
        <v>27</v>
      </c>
      <c r="O778">
        <v>14.01</v>
      </c>
      <c r="P778" t="s">
        <v>27</v>
      </c>
      <c r="Q778" t="s">
        <v>27</v>
      </c>
      <c r="R778">
        <v>4.75</v>
      </c>
      <c r="S778">
        <v>7.34375</v>
      </c>
      <c r="T778">
        <v>4.7483887672424299</v>
      </c>
      <c r="U778">
        <v>-6.0245389938354501</v>
      </c>
      <c r="V778">
        <v>-11149000</v>
      </c>
      <c r="W778">
        <v>-48.886760711669901</v>
      </c>
      <c r="X778">
        <v>-1.3500000536441801</v>
      </c>
      <c r="Y778">
        <v>-47.529411315917997</v>
      </c>
      <c r="Z778">
        <v>-231.55555725097699</v>
      </c>
      <c r="AA778">
        <v>25238400</v>
      </c>
      <c r="AB778" t="s">
        <v>38</v>
      </c>
      <c r="AC778" t="s">
        <v>157</v>
      </c>
      <c r="AD778">
        <v>-0.88999998569488503</v>
      </c>
      <c r="AE778">
        <v>-52.629722595214801</v>
      </c>
      <c r="AF778" t="s">
        <v>27</v>
      </c>
      <c r="AG778">
        <v>40098612</v>
      </c>
      <c r="AH778">
        <v>3.31842708587646</v>
      </c>
      <c r="AI778">
        <v>-80.716957092285199</v>
      </c>
    </row>
    <row r="779" spans="1:35">
      <c r="A779">
        <f t="shared" si="96"/>
        <v>1</v>
      </c>
      <c r="B779">
        <f t="shared" si="97"/>
        <v>0</v>
      </c>
      <c r="C779">
        <f t="shared" si="98"/>
        <v>1</v>
      </c>
      <c r="D779">
        <f t="shared" si="99"/>
        <v>0</v>
      </c>
      <c r="E779">
        <f t="shared" si="100"/>
        <v>0</v>
      </c>
      <c r="F779">
        <f t="shared" si="101"/>
        <v>0</v>
      </c>
      <c r="G779">
        <f t="shared" si="102"/>
        <v>0</v>
      </c>
      <c r="H779">
        <v>0</v>
      </c>
      <c r="I779">
        <f t="shared" si="103"/>
        <v>0</v>
      </c>
      <c r="J779">
        <v>0</v>
      </c>
      <c r="K779" t="s">
        <v>3655</v>
      </c>
      <c r="L779" t="s">
        <v>3656</v>
      </c>
      <c r="M779" t="s">
        <v>27</v>
      </c>
      <c r="N779" t="s">
        <v>27</v>
      </c>
      <c r="O779">
        <v>18.149999999999999</v>
      </c>
      <c r="P779" t="s">
        <v>27</v>
      </c>
      <c r="Q779" t="s">
        <v>27</v>
      </c>
      <c r="R779">
        <v>17.399999618530298</v>
      </c>
      <c r="S779" t="s">
        <v>27</v>
      </c>
      <c r="T779" t="s">
        <v>27</v>
      </c>
      <c r="U779" t="s">
        <v>27</v>
      </c>
      <c r="V779">
        <v>9553999</v>
      </c>
      <c r="W779" t="s">
        <v>27</v>
      </c>
      <c r="X779" t="s">
        <v>27</v>
      </c>
      <c r="Y779" t="s">
        <v>27</v>
      </c>
      <c r="Z779" t="s">
        <v>27</v>
      </c>
      <c r="AA779" t="s">
        <v>27</v>
      </c>
      <c r="AB779" t="s">
        <v>27</v>
      </c>
      <c r="AC779" t="s">
        <v>27</v>
      </c>
      <c r="AD779">
        <v>5.0000000745058101E-2</v>
      </c>
      <c r="AE779">
        <v>80.107063293457003</v>
      </c>
      <c r="AF779">
        <v>8.7094097661638799</v>
      </c>
      <c r="AG779">
        <v>24156000</v>
      </c>
      <c r="AH779">
        <v>32.090442657470703</v>
      </c>
      <c r="AI779">
        <v>-3.2194960117340101</v>
      </c>
    </row>
    <row r="780" spans="1:35">
      <c r="A780">
        <f t="shared" si="96"/>
        <v>0</v>
      </c>
      <c r="B780">
        <f t="shared" si="97"/>
        <v>1</v>
      </c>
      <c r="C780">
        <f t="shared" si="98"/>
        <v>0</v>
      </c>
      <c r="D780">
        <f t="shared" si="99"/>
        <v>0</v>
      </c>
      <c r="E780">
        <f t="shared" si="100"/>
        <v>0</v>
      </c>
      <c r="F780">
        <f t="shared" si="101"/>
        <v>0</v>
      </c>
      <c r="G780">
        <f t="shared" si="102"/>
        <v>1</v>
      </c>
      <c r="H780">
        <v>0</v>
      </c>
      <c r="I780">
        <f t="shared" si="103"/>
        <v>1</v>
      </c>
      <c r="J780">
        <v>0</v>
      </c>
      <c r="K780" t="s">
        <v>3657</v>
      </c>
      <c r="L780" t="s">
        <v>3658</v>
      </c>
      <c r="M780" t="s">
        <v>27</v>
      </c>
      <c r="N780" t="s">
        <v>27</v>
      </c>
      <c r="O780">
        <v>15.44</v>
      </c>
      <c r="P780" t="s">
        <v>27</v>
      </c>
      <c r="Q780" t="s">
        <v>27</v>
      </c>
      <c r="R780">
        <v>9.8599996566772496</v>
      </c>
      <c r="S780">
        <v>16</v>
      </c>
      <c r="T780">
        <v>0.70987999439239502</v>
      </c>
      <c r="U780">
        <v>34.4059448242188</v>
      </c>
      <c r="V780">
        <v>-12077000</v>
      </c>
      <c r="W780">
        <v>-85.162025451660199</v>
      </c>
      <c r="X780">
        <v>-0.34999999403953602</v>
      </c>
      <c r="Y780">
        <v>-2.09442090988159</v>
      </c>
      <c r="Z780">
        <v>-16.3216552734375</v>
      </c>
      <c r="AA780">
        <v>20185000</v>
      </c>
      <c r="AB780" t="s">
        <v>73</v>
      </c>
      <c r="AC780" t="s">
        <v>141</v>
      </c>
      <c r="AD780">
        <v>-0.479999989271164</v>
      </c>
      <c r="AE780">
        <v>34.7264404296875</v>
      </c>
      <c r="AF780" t="s">
        <v>27</v>
      </c>
      <c r="AG780">
        <v>20225000</v>
      </c>
      <c r="AH780">
        <v>0.90013700723648105</v>
      </c>
      <c r="AI780">
        <v>-48.687007904052699</v>
      </c>
    </row>
    <row r="781" spans="1:35">
      <c r="A781">
        <f t="shared" si="96"/>
        <v>0</v>
      </c>
      <c r="B781">
        <f t="shared" si="97"/>
        <v>1</v>
      </c>
      <c r="C781">
        <f t="shared" si="98"/>
        <v>0</v>
      </c>
      <c r="D781">
        <f t="shared" si="99"/>
        <v>0</v>
      </c>
      <c r="E781">
        <f t="shared" si="100"/>
        <v>0</v>
      </c>
      <c r="F781">
        <f t="shared" si="101"/>
        <v>0</v>
      </c>
      <c r="G781">
        <f t="shared" si="102"/>
        <v>0</v>
      </c>
      <c r="H781">
        <v>0</v>
      </c>
      <c r="I781">
        <f t="shared" si="103"/>
        <v>0</v>
      </c>
      <c r="J781">
        <v>0</v>
      </c>
      <c r="K781" t="s">
        <v>3667</v>
      </c>
      <c r="L781" t="s">
        <v>3668</v>
      </c>
      <c r="M781" t="s">
        <v>27</v>
      </c>
      <c r="N781" t="s">
        <v>27</v>
      </c>
      <c r="O781">
        <v>6.53</v>
      </c>
      <c r="P781" t="s">
        <v>27</v>
      </c>
      <c r="Q781" t="s">
        <v>27</v>
      </c>
      <c r="R781">
        <v>8.7200002670288104</v>
      </c>
      <c r="S781">
        <v>12.75</v>
      </c>
      <c r="T781">
        <v>6.3836999237537398E-2</v>
      </c>
      <c r="U781" t="s">
        <v>27</v>
      </c>
      <c r="V781">
        <v>-1735000</v>
      </c>
      <c r="W781">
        <v>-76.515373229980497</v>
      </c>
      <c r="X781">
        <v>-0.140000000596046</v>
      </c>
      <c r="Y781">
        <v>-2.7648730278015101</v>
      </c>
      <c r="Z781">
        <v>-7.8014178276062003</v>
      </c>
      <c r="AA781">
        <v>15692000</v>
      </c>
      <c r="AB781" t="s">
        <v>38</v>
      </c>
      <c r="AC781" t="s">
        <v>146</v>
      </c>
      <c r="AD781">
        <v>-0.15000000596046401</v>
      </c>
      <c r="AE781" t="s">
        <v>27</v>
      </c>
      <c r="AF781" t="s">
        <v>27</v>
      </c>
      <c r="AG781">
        <v>17028000</v>
      </c>
      <c r="AH781">
        <v>15.4379730224609</v>
      </c>
      <c r="AI781">
        <v>-44.951290130615199</v>
      </c>
    </row>
    <row r="782" spans="1:35">
      <c r="A782">
        <f t="shared" si="96"/>
        <v>0</v>
      </c>
      <c r="B782">
        <f t="shared" si="97"/>
        <v>0</v>
      </c>
      <c r="C782">
        <f t="shared" si="98"/>
        <v>0</v>
      </c>
      <c r="D782">
        <f t="shared" si="99"/>
        <v>1</v>
      </c>
      <c r="E782">
        <f t="shared" si="100"/>
        <v>0</v>
      </c>
      <c r="F782">
        <f t="shared" si="101"/>
        <v>0</v>
      </c>
      <c r="G782">
        <f t="shared" si="102"/>
        <v>1</v>
      </c>
      <c r="H782">
        <v>0</v>
      </c>
      <c r="I782">
        <f t="shared" si="103"/>
        <v>0</v>
      </c>
      <c r="J782">
        <v>0</v>
      </c>
      <c r="K782" t="s">
        <v>3681</v>
      </c>
      <c r="L782" t="s">
        <v>3682</v>
      </c>
      <c r="M782" t="s">
        <v>27</v>
      </c>
      <c r="N782" t="s">
        <v>27</v>
      </c>
      <c r="O782">
        <v>2.21</v>
      </c>
      <c r="P782" t="s">
        <v>27</v>
      </c>
      <c r="Q782" t="s">
        <v>27</v>
      </c>
      <c r="R782">
        <v>17.5</v>
      </c>
      <c r="S782">
        <v>16.125</v>
      </c>
      <c r="T782">
        <v>0</v>
      </c>
      <c r="U782">
        <v>56.209476470947301</v>
      </c>
      <c r="V782">
        <v>-693000</v>
      </c>
      <c r="W782" t="s">
        <v>27</v>
      </c>
      <c r="X782">
        <v>-0.140000000596046</v>
      </c>
      <c r="Y782" t="s">
        <v>27</v>
      </c>
      <c r="Z782" t="s">
        <v>27</v>
      </c>
      <c r="AA782">
        <v>11608000</v>
      </c>
      <c r="AB782" t="s">
        <v>73</v>
      </c>
      <c r="AC782" t="s">
        <v>74</v>
      </c>
      <c r="AD782">
        <v>-5.9999998658895499E-2</v>
      </c>
      <c r="AE782">
        <v>64.048500061035199</v>
      </c>
      <c r="AF782" t="s">
        <v>27</v>
      </c>
      <c r="AG782">
        <v>13630000</v>
      </c>
      <c r="AH782">
        <v>3.9650020599365199</v>
      </c>
      <c r="AI782">
        <v>-73.952445983886705</v>
      </c>
    </row>
    <row r="783" spans="1:35">
      <c r="A783">
        <f t="shared" si="96"/>
        <v>1</v>
      </c>
      <c r="B783">
        <f t="shared" si="97"/>
        <v>0</v>
      </c>
      <c r="C783">
        <f t="shared" si="98"/>
        <v>1</v>
      </c>
      <c r="D783">
        <f t="shared" si="99"/>
        <v>1</v>
      </c>
      <c r="E783">
        <f t="shared" si="100"/>
        <v>0</v>
      </c>
      <c r="F783">
        <f t="shared" si="101"/>
        <v>0</v>
      </c>
      <c r="G783">
        <f t="shared" si="102"/>
        <v>0</v>
      </c>
      <c r="H783">
        <v>0</v>
      </c>
      <c r="I783">
        <f t="shared" si="103"/>
        <v>0</v>
      </c>
      <c r="J783">
        <v>0</v>
      </c>
      <c r="K783" t="s">
        <v>3689</v>
      </c>
      <c r="L783" t="s">
        <v>3690</v>
      </c>
      <c r="M783" t="s">
        <v>27</v>
      </c>
      <c r="N783" t="s">
        <v>27</v>
      </c>
      <c r="O783">
        <v>7.43</v>
      </c>
      <c r="P783">
        <v>5.7415819168090803</v>
      </c>
      <c r="Q783" t="s">
        <v>27</v>
      </c>
      <c r="R783">
        <v>8.5500001907348597</v>
      </c>
      <c r="S783">
        <v>8.5625</v>
      </c>
      <c r="T783">
        <v>24.414512634277301</v>
      </c>
      <c r="U783">
        <v>49.823902130127003</v>
      </c>
      <c r="V783">
        <v>35801000</v>
      </c>
      <c r="W783">
        <v>4.12992191314697</v>
      </c>
      <c r="X783">
        <v>0.119999997317791</v>
      </c>
      <c r="Y783">
        <v>12.1379308700562</v>
      </c>
      <c r="Z783">
        <v>6.7114090919494602</v>
      </c>
      <c r="AA783">
        <v>91957000</v>
      </c>
      <c r="AB783" t="s">
        <v>27</v>
      </c>
      <c r="AC783" t="s">
        <v>27</v>
      </c>
      <c r="AD783">
        <v>0.129999995231628</v>
      </c>
      <c r="AE783">
        <v>48.730888366699197</v>
      </c>
      <c r="AF783">
        <v>4.2279472303523002</v>
      </c>
      <c r="AG783">
        <v>91734000</v>
      </c>
      <c r="AH783">
        <v>18.961952209472699</v>
      </c>
      <c r="AI783">
        <v>-5.8358588218689</v>
      </c>
    </row>
    <row r="784" spans="1:35">
      <c r="A784">
        <f t="shared" si="96"/>
        <v>0</v>
      </c>
      <c r="B784">
        <f t="shared" si="97"/>
        <v>0</v>
      </c>
      <c r="C784">
        <f t="shared" si="98"/>
        <v>0</v>
      </c>
      <c r="D784">
        <f t="shared" si="99"/>
        <v>1</v>
      </c>
      <c r="E784">
        <f t="shared" si="100"/>
        <v>0</v>
      </c>
      <c r="F784">
        <f t="shared" si="101"/>
        <v>0</v>
      </c>
      <c r="G784">
        <f t="shared" si="102"/>
        <v>1</v>
      </c>
      <c r="H784">
        <v>0</v>
      </c>
      <c r="I784">
        <f t="shared" si="103"/>
        <v>0</v>
      </c>
      <c r="J784">
        <v>0</v>
      </c>
      <c r="K784" t="s">
        <v>3693</v>
      </c>
      <c r="L784" t="s">
        <v>3694</v>
      </c>
      <c r="M784" t="s">
        <v>27</v>
      </c>
      <c r="N784" t="s">
        <v>27</v>
      </c>
      <c r="O784">
        <v>0.25</v>
      </c>
      <c r="P784" t="s">
        <v>27</v>
      </c>
      <c r="Q784" t="s">
        <v>27</v>
      </c>
      <c r="R784">
        <v>7.6300001144409197</v>
      </c>
      <c r="S784">
        <v>8.875</v>
      </c>
      <c r="T784">
        <v>60.847793579101598</v>
      </c>
      <c r="U784">
        <v>38.2402153015137</v>
      </c>
      <c r="V784">
        <v>-31615000</v>
      </c>
      <c r="W784">
        <v>-11.9420166015625</v>
      </c>
      <c r="X784">
        <v>-0.28000000119209301</v>
      </c>
      <c r="Y784" t="s">
        <v>27</v>
      </c>
      <c r="Z784">
        <v>-12.80788230896</v>
      </c>
      <c r="AA784">
        <v>79009232</v>
      </c>
      <c r="AB784" t="s">
        <v>27</v>
      </c>
      <c r="AC784" t="s">
        <v>27</v>
      </c>
      <c r="AD784">
        <v>-0.259999990463257</v>
      </c>
      <c r="AE784">
        <v>47.654083251953097</v>
      </c>
      <c r="AF784" t="s">
        <v>27</v>
      </c>
      <c r="AG784">
        <v>84312000</v>
      </c>
      <c r="AH784">
        <v>69.399009704589801</v>
      </c>
      <c r="AI784">
        <v>-18.1493110656738</v>
      </c>
    </row>
    <row r="785" spans="1:35">
      <c r="A785">
        <f t="shared" si="96"/>
        <v>1</v>
      </c>
      <c r="B785">
        <f t="shared" si="97"/>
        <v>0</v>
      </c>
      <c r="C785">
        <f t="shared" si="98"/>
        <v>1</v>
      </c>
      <c r="D785">
        <f t="shared" si="99"/>
        <v>0</v>
      </c>
      <c r="E785">
        <f t="shared" si="100"/>
        <v>0</v>
      </c>
      <c r="F785">
        <f t="shared" si="101"/>
        <v>0</v>
      </c>
      <c r="G785">
        <f t="shared" si="102"/>
        <v>0</v>
      </c>
      <c r="H785">
        <v>0</v>
      </c>
      <c r="I785">
        <f t="shared" si="103"/>
        <v>0</v>
      </c>
      <c r="J785">
        <v>0</v>
      </c>
      <c r="K785" t="s">
        <v>3701</v>
      </c>
      <c r="L785" t="s">
        <v>3702</v>
      </c>
      <c r="M785" t="s">
        <v>27</v>
      </c>
      <c r="N785" t="s">
        <v>27</v>
      </c>
      <c r="O785">
        <v>7.06</v>
      </c>
      <c r="P785">
        <v>25.5465984344482</v>
      </c>
      <c r="Q785" t="s">
        <v>27</v>
      </c>
      <c r="R785">
        <v>7.5</v>
      </c>
      <c r="S785">
        <v>22.200000762939499</v>
      </c>
      <c r="T785">
        <v>23.5107517242432</v>
      </c>
      <c r="U785">
        <v>20.397489547729499</v>
      </c>
      <c r="V785">
        <v>151000000</v>
      </c>
      <c r="W785">
        <v>16.346340179443398</v>
      </c>
      <c r="X785">
        <v>1.4800000190734901</v>
      </c>
      <c r="Y785">
        <v>32</v>
      </c>
      <c r="Z785">
        <v>35.924930572509801</v>
      </c>
      <c r="AA785">
        <v>43389000</v>
      </c>
      <c r="AB785" t="s">
        <v>61</v>
      </c>
      <c r="AC785" t="s">
        <v>62</v>
      </c>
      <c r="AD785">
        <v>0.61000001430511497</v>
      </c>
      <c r="AE785">
        <v>12.826602935791</v>
      </c>
      <c r="AF785" t="s">
        <v>27</v>
      </c>
      <c r="AG785">
        <v>43460000</v>
      </c>
      <c r="AH785">
        <v>8.5739001631736797E-2</v>
      </c>
      <c r="AI785">
        <v>-8.6218376159668004</v>
      </c>
    </row>
    <row r="786" spans="1:35">
      <c r="A786">
        <f t="shared" si="96"/>
        <v>0</v>
      </c>
      <c r="B786">
        <f t="shared" si="97"/>
        <v>0</v>
      </c>
      <c r="C786">
        <f t="shared" si="98"/>
        <v>1</v>
      </c>
      <c r="D786">
        <f t="shared" si="99"/>
        <v>0</v>
      </c>
      <c r="E786">
        <f t="shared" si="100"/>
        <v>1</v>
      </c>
      <c r="F786">
        <f t="shared" si="101"/>
        <v>0</v>
      </c>
      <c r="G786">
        <f t="shared" si="102"/>
        <v>0</v>
      </c>
      <c r="H786">
        <v>0</v>
      </c>
      <c r="I786">
        <f t="shared" si="103"/>
        <v>1</v>
      </c>
      <c r="J786">
        <v>0</v>
      </c>
      <c r="K786" t="s">
        <v>3719</v>
      </c>
      <c r="L786" t="s">
        <v>3720</v>
      </c>
      <c r="M786" t="s">
        <v>27</v>
      </c>
      <c r="N786" t="s">
        <v>27</v>
      </c>
      <c r="O786">
        <v>15.45</v>
      </c>
      <c r="P786" t="s">
        <v>27</v>
      </c>
      <c r="Q786" t="s">
        <v>27</v>
      </c>
      <c r="R786">
        <v>14.1199998855591</v>
      </c>
      <c r="S786" t="s">
        <v>27</v>
      </c>
      <c r="T786" t="s">
        <v>27</v>
      </c>
      <c r="U786" t="s">
        <v>27</v>
      </c>
      <c r="V786" t="s">
        <v>27</v>
      </c>
      <c r="W786" t="s">
        <v>27</v>
      </c>
      <c r="X786" t="s">
        <v>27</v>
      </c>
      <c r="Y786" t="s">
        <v>27</v>
      </c>
      <c r="Z786" t="s">
        <v>27</v>
      </c>
      <c r="AA786" t="s">
        <v>27</v>
      </c>
      <c r="AB786" t="s">
        <v>73</v>
      </c>
      <c r="AC786" t="s">
        <v>210</v>
      </c>
      <c r="AD786" t="s">
        <v>27</v>
      </c>
      <c r="AE786" t="s">
        <v>27</v>
      </c>
      <c r="AF786" t="s">
        <v>27</v>
      </c>
      <c r="AG786" t="s">
        <v>27</v>
      </c>
      <c r="AH786" t="s">
        <v>27</v>
      </c>
      <c r="AI786">
        <v>-1.8494449853897099</v>
      </c>
    </row>
    <row r="787" spans="1:35">
      <c r="A787">
        <f t="shared" si="96"/>
        <v>0</v>
      </c>
      <c r="B787">
        <f t="shared" si="97"/>
        <v>0</v>
      </c>
      <c r="C787">
        <f t="shared" si="98"/>
        <v>0</v>
      </c>
      <c r="D787">
        <f t="shared" si="99"/>
        <v>1</v>
      </c>
      <c r="E787">
        <f t="shared" si="100"/>
        <v>0</v>
      </c>
      <c r="F787">
        <f t="shared" si="101"/>
        <v>0</v>
      </c>
      <c r="G787">
        <f t="shared" si="102"/>
        <v>1</v>
      </c>
      <c r="H787">
        <v>0</v>
      </c>
      <c r="I787">
        <f t="shared" si="103"/>
        <v>0</v>
      </c>
      <c r="J787">
        <v>0</v>
      </c>
      <c r="K787" t="s">
        <v>3725</v>
      </c>
      <c r="L787" t="s">
        <v>3726</v>
      </c>
      <c r="M787" t="s">
        <v>27</v>
      </c>
      <c r="N787" t="s">
        <v>27</v>
      </c>
      <c r="O787">
        <v>21.52</v>
      </c>
      <c r="P787" t="s">
        <v>27</v>
      </c>
      <c r="Q787" t="s">
        <v>27</v>
      </c>
      <c r="R787">
        <v>23.870000839233398</v>
      </c>
      <c r="S787">
        <v>20.1875</v>
      </c>
      <c r="T787">
        <v>1.86927402019501</v>
      </c>
      <c r="U787">
        <v>-0.31512099504470797</v>
      </c>
      <c r="V787">
        <v>-9002000</v>
      </c>
      <c r="W787" t="s">
        <v>27</v>
      </c>
      <c r="X787">
        <v>-1.5199999809265099</v>
      </c>
      <c r="Y787" t="s">
        <v>27</v>
      </c>
      <c r="Z787" t="s">
        <v>27</v>
      </c>
      <c r="AA787">
        <v>15118000</v>
      </c>
      <c r="AB787" t="s">
        <v>27</v>
      </c>
      <c r="AC787" t="s">
        <v>27</v>
      </c>
      <c r="AD787">
        <v>0</v>
      </c>
      <c r="AE787">
        <v>66.955665588378906</v>
      </c>
      <c r="AF787" t="s">
        <v>27</v>
      </c>
      <c r="AG787">
        <v>15975000</v>
      </c>
      <c r="AH787">
        <v>2.6865439414978001</v>
      </c>
      <c r="AI787">
        <v>-44.606674194335902</v>
      </c>
    </row>
    <row r="788" spans="1:35">
      <c r="A788">
        <f t="shared" si="96"/>
        <v>1</v>
      </c>
      <c r="B788">
        <f t="shared" si="97"/>
        <v>0</v>
      </c>
      <c r="C788">
        <f t="shared" si="98"/>
        <v>1</v>
      </c>
      <c r="D788">
        <f t="shared" si="99"/>
        <v>0</v>
      </c>
      <c r="E788">
        <f t="shared" si="100"/>
        <v>0</v>
      </c>
      <c r="F788">
        <f t="shared" si="101"/>
        <v>0</v>
      </c>
      <c r="G788">
        <f t="shared" si="102"/>
        <v>0</v>
      </c>
      <c r="H788">
        <v>0</v>
      </c>
      <c r="I788">
        <f t="shared" si="103"/>
        <v>0</v>
      </c>
      <c r="J788">
        <v>0</v>
      </c>
      <c r="K788" t="s">
        <v>3727</v>
      </c>
      <c r="L788" t="s">
        <v>3728</v>
      </c>
      <c r="M788" t="s">
        <v>27</v>
      </c>
      <c r="N788" t="s">
        <v>27</v>
      </c>
      <c r="O788">
        <v>11.35</v>
      </c>
      <c r="P788" t="s">
        <v>27</v>
      </c>
      <c r="Q788" t="s">
        <v>27</v>
      </c>
      <c r="R788">
        <v>12.1300001144409</v>
      </c>
      <c r="S788">
        <v>7.0999999046325701</v>
      </c>
      <c r="T788">
        <v>91.790550231933594</v>
      </c>
      <c r="U788" t="s">
        <v>27</v>
      </c>
      <c r="V788" t="s">
        <v>27</v>
      </c>
      <c r="W788">
        <v>4.1887731552123997</v>
      </c>
      <c r="X788">
        <v>0.129999995231628</v>
      </c>
      <c r="Y788">
        <v>3.5999999046325701</v>
      </c>
      <c r="Z788">
        <v>7.28110599517822</v>
      </c>
      <c r="AA788">
        <v>68418096</v>
      </c>
      <c r="AB788" t="s">
        <v>83</v>
      </c>
      <c r="AC788" t="s">
        <v>84</v>
      </c>
      <c r="AD788">
        <v>0.129999995231628</v>
      </c>
      <c r="AE788" t="s">
        <v>27</v>
      </c>
      <c r="AF788">
        <v>8.9269035191396497</v>
      </c>
      <c r="AG788">
        <v>68840024</v>
      </c>
      <c r="AH788">
        <v>88.287483215332003</v>
      </c>
      <c r="AI788">
        <v>-6.3782677650451696</v>
      </c>
    </row>
    <row r="789" spans="1:35">
      <c r="A789">
        <f t="shared" si="96"/>
        <v>0</v>
      </c>
      <c r="B789">
        <f t="shared" si="97"/>
        <v>0</v>
      </c>
      <c r="C789">
        <f t="shared" si="98"/>
        <v>1</v>
      </c>
      <c r="D789">
        <f t="shared" si="99"/>
        <v>0</v>
      </c>
      <c r="E789">
        <f t="shared" si="100"/>
        <v>1</v>
      </c>
      <c r="F789">
        <f t="shared" si="101"/>
        <v>1</v>
      </c>
      <c r="G789">
        <f t="shared" si="102"/>
        <v>0</v>
      </c>
      <c r="H789">
        <v>0</v>
      </c>
      <c r="I789">
        <f t="shared" si="103"/>
        <v>0</v>
      </c>
      <c r="J789">
        <v>0</v>
      </c>
      <c r="K789" t="s">
        <v>3733</v>
      </c>
      <c r="L789" t="s">
        <v>3734</v>
      </c>
      <c r="M789" t="s">
        <v>27</v>
      </c>
      <c r="N789" t="s">
        <v>27</v>
      </c>
      <c r="O789">
        <v>4.58</v>
      </c>
      <c r="P789" t="s">
        <v>27</v>
      </c>
      <c r="Q789" t="s">
        <v>27</v>
      </c>
      <c r="R789">
        <v>7.1399998664856001</v>
      </c>
      <c r="S789">
        <v>8.5625</v>
      </c>
      <c r="T789" t="s">
        <v>27</v>
      </c>
      <c r="U789" t="s">
        <v>27</v>
      </c>
      <c r="V789" t="s">
        <v>27</v>
      </c>
      <c r="W789" t="s">
        <v>27</v>
      </c>
      <c r="X789" t="s">
        <v>27</v>
      </c>
      <c r="Y789" t="s">
        <v>27</v>
      </c>
      <c r="Z789" t="s">
        <v>27</v>
      </c>
      <c r="AA789" t="s">
        <v>27</v>
      </c>
      <c r="AB789" t="s">
        <v>27</v>
      </c>
      <c r="AC789" t="s">
        <v>27</v>
      </c>
      <c r="AD789" t="s">
        <v>27</v>
      </c>
      <c r="AE789" t="s">
        <v>27</v>
      </c>
      <c r="AF789" t="s">
        <v>27</v>
      </c>
      <c r="AG789" t="s">
        <v>27</v>
      </c>
      <c r="AH789" t="s">
        <v>27</v>
      </c>
      <c r="AI789" t="s">
        <v>27</v>
      </c>
    </row>
    <row r="790" spans="1:35">
      <c r="A790">
        <f t="shared" si="96"/>
        <v>0</v>
      </c>
      <c r="B790">
        <f t="shared" si="97"/>
        <v>0</v>
      </c>
      <c r="C790">
        <f t="shared" si="98"/>
        <v>0</v>
      </c>
      <c r="D790">
        <f t="shared" si="99"/>
        <v>1</v>
      </c>
      <c r="E790">
        <f t="shared" si="100"/>
        <v>0</v>
      </c>
      <c r="F790">
        <f t="shared" si="101"/>
        <v>0</v>
      </c>
      <c r="G790">
        <f t="shared" si="102"/>
        <v>0</v>
      </c>
      <c r="H790">
        <v>0</v>
      </c>
      <c r="I790">
        <f t="shared" si="103"/>
        <v>0</v>
      </c>
      <c r="J790">
        <v>0</v>
      </c>
      <c r="K790" t="s">
        <v>3735</v>
      </c>
      <c r="L790" t="s">
        <v>3736</v>
      </c>
      <c r="M790" t="s">
        <v>27</v>
      </c>
      <c r="N790" t="s">
        <v>27</v>
      </c>
      <c r="O790">
        <v>17.2</v>
      </c>
      <c r="P790" t="s">
        <v>27</v>
      </c>
      <c r="Q790" t="s">
        <v>27</v>
      </c>
      <c r="R790">
        <v>16.840000152587901</v>
      </c>
      <c r="S790">
        <v>25.25</v>
      </c>
      <c r="T790">
        <v>0.65776902437210105</v>
      </c>
      <c r="U790" t="s">
        <v>27</v>
      </c>
      <c r="V790">
        <v>-14615000</v>
      </c>
      <c r="W790">
        <v>3.92442798614502</v>
      </c>
      <c r="X790">
        <v>-2.2000000476837198</v>
      </c>
      <c r="Y790">
        <v>-1.61216700077057</v>
      </c>
      <c r="Z790">
        <v>-4.3266887664794904</v>
      </c>
      <c r="AA790">
        <v>14942000</v>
      </c>
      <c r="AB790" t="s">
        <v>27</v>
      </c>
      <c r="AC790" t="s">
        <v>27</v>
      </c>
      <c r="AD790">
        <v>2.2400000095367401</v>
      </c>
      <c r="AE790" t="s">
        <v>27</v>
      </c>
      <c r="AF790">
        <v>4.3566989406663401</v>
      </c>
      <c r="AG790">
        <v>15158000</v>
      </c>
      <c r="AH790">
        <v>1.0560669898986801</v>
      </c>
      <c r="AI790">
        <v>-15.7800350189209</v>
      </c>
    </row>
    <row r="791" spans="1:35">
      <c r="A791">
        <f t="shared" si="96"/>
        <v>1</v>
      </c>
      <c r="B791">
        <f t="shared" si="97"/>
        <v>0</v>
      </c>
      <c r="C791">
        <f t="shared" si="98"/>
        <v>0</v>
      </c>
      <c r="D791">
        <f t="shared" si="99"/>
        <v>0</v>
      </c>
      <c r="E791">
        <f t="shared" si="100"/>
        <v>0</v>
      </c>
      <c r="F791">
        <f t="shared" si="101"/>
        <v>1</v>
      </c>
      <c r="G791">
        <f t="shared" si="102"/>
        <v>0</v>
      </c>
      <c r="H791">
        <v>0</v>
      </c>
      <c r="I791">
        <f t="shared" si="103"/>
        <v>0</v>
      </c>
      <c r="J791">
        <v>0</v>
      </c>
      <c r="K791" t="s">
        <v>3737</v>
      </c>
      <c r="L791" t="s">
        <v>3738</v>
      </c>
      <c r="M791" t="s">
        <v>27</v>
      </c>
      <c r="N791" t="s">
        <v>27</v>
      </c>
      <c r="O791">
        <v>2.85</v>
      </c>
      <c r="P791">
        <v>13.2165880203247</v>
      </c>
      <c r="Q791" t="s">
        <v>27</v>
      </c>
      <c r="R791">
        <v>7.1199998855590803</v>
      </c>
      <c r="S791">
        <v>7.7600002288818404</v>
      </c>
      <c r="T791">
        <v>14.8454942703247</v>
      </c>
      <c r="U791" t="s">
        <v>27</v>
      </c>
      <c r="V791">
        <v>-14912000</v>
      </c>
      <c r="W791">
        <v>2.0724449157714799</v>
      </c>
      <c r="X791">
        <v>0.15000000596046401</v>
      </c>
      <c r="Y791">
        <v>6.5116281509399396</v>
      </c>
      <c r="Z791">
        <v>6.3816790580749503</v>
      </c>
      <c r="AA791">
        <v>18826000</v>
      </c>
      <c r="AB791" t="s">
        <v>27</v>
      </c>
      <c r="AC791" t="s">
        <v>27</v>
      </c>
      <c r="AD791">
        <v>-1</v>
      </c>
      <c r="AE791" t="s">
        <v>27</v>
      </c>
      <c r="AF791" t="s">
        <v>27</v>
      </c>
      <c r="AG791">
        <v>34760000</v>
      </c>
      <c r="AH791">
        <v>14.210289955139199</v>
      </c>
      <c r="AI791">
        <v>0.88280898332595803</v>
      </c>
    </row>
    <row r="792" spans="1:35">
      <c r="A792">
        <f t="shared" si="96"/>
        <v>0</v>
      </c>
      <c r="B792">
        <f t="shared" si="97"/>
        <v>0</v>
      </c>
      <c r="C792">
        <f t="shared" si="98"/>
        <v>1</v>
      </c>
      <c r="D792">
        <f t="shared" si="99"/>
        <v>0</v>
      </c>
      <c r="E792">
        <f t="shared" si="100"/>
        <v>0</v>
      </c>
      <c r="F792">
        <f t="shared" si="101"/>
        <v>1</v>
      </c>
      <c r="G792">
        <f t="shared" si="102"/>
        <v>1</v>
      </c>
      <c r="H792">
        <v>0</v>
      </c>
      <c r="I792">
        <f t="shared" si="103"/>
        <v>0</v>
      </c>
      <c r="J792">
        <v>0</v>
      </c>
      <c r="K792" t="s">
        <v>3739</v>
      </c>
      <c r="L792" t="s">
        <v>3740</v>
      </c>
      <c r="M792" t="s">
        <v>27</v>
      </c>
      <c r="N792" t="s">
        <v>27</v>
      </c>
      <c r="O792">
        <v>11.36</v>
      </c>
      <c r="P792" t="s">
        <v>27</v>
      </c>
      <c r="Q792" t="s">
        <v>27</v>
      </c>
      <c r="R792">
        <v>13.1499996185303</v>
      </c>
      <c r="S792">
        <v>17.5</v>
      </c>
      <c r="T792">
        <v>0.47923600673675498</v>
      </c>
      <c r="U792">
        <v>31.120061874389599</v>
      </c>
      <c r="V792">
        <v>1949000.375</v>
      </c>
      <c r="W792">
        <v>14.124667167663601</v>
      </c>
      <c r="X792">
        <v>0.109999999403954</v>
      </c>
      <c r="Y792" t="s">
        <v>27</v>
      </c>
      <c r="Z792" t="s">
        <v>27</v>
      </c>
      <c r="AA792">
        <v>21847000</v>
      </c>
      <c r="AB792" t="s">
        <v>38</v>
      </c>
      <c r="AC792" t="s">
        <v>113</v>
      </c>
      <c r="AD792">
        <v>1.9999999552965199E-2</v>
      </c>
      <c r="AE792">
        <v>31.3908367156982</v>
      </c>
      <c r="AF792" t="s">
        <v>27</v>
      </c>
      <c r="AG792">
        <v>22625000</v>
      </c>
      <c r="AH792">
        <v>2.8628799915313698</v>
      </c>
      <c r="AI792">
        <v>8.8756122589111293</v>
      </c>
    </row>
    <row r="793" spans="1:35">
      <c r="A793">
        <f t="shared" si="96"/>
        <v>1</v>
      </c>
      <c r="B793">
        <f t="shared" si="97"/>
        <v>0</v>
      </c>
      <c r="C793">
        <f t="shared" si="98"/>
        <v>0</v>
      </c>
      <c r="D793">
        <f t="shared" si="99"/>
        <v>0</v>
      </c>
      <c r="E793">
        <f t="shared" si="100"/>
        <v>0</v>
      </c>
      <c r="F793">
        <f t="shared" si="101"/>
        <v>1</v>
      </c>
      <c r="G793">
        <f t="shared" si="102"/>
        <v>0</v>
      </c>
      <c r="H793">
        <v>0</v>
      </c>
      <c r="I793">
        <f t="shared" si="103"/>
        <v>0</v>
      </c>
      <c r="J793">
        <v>0</v>
      </c>
      <c r="K793" t="s">
        <v>3741</v>
      </c>
      <c r="L793" t="s">
        <v>3742</v>
      </c>
      <c r="M793" t="s">
        <v>27</v>
      </c>
      <c r="N793" t="s">
        <v>27</v>
      </c>
      <c r="O793">
        <v>6.26</v>
      </c>
      <c r="P793" t="s">
        <v>27</v>
      </c>
      <c r="Q793" t="s">
        <v>27</v>
      </c>
      <c r="R793">
        <v>18.909999847412099</v>
      </c>
      <c r="S793">
        <v>15.875</v>
      </c>
      <c r="T793">
        <v>21.5302619934082</v>
      </c>
      <c r="U793">
        <v>23.0364799499512</v>
      </c>
      <c r="V793">
        <v>-3701999.75</v>
      </c>
      <c r="W793" t="s">
        <v>27</v>
      </c>
      <c r="X793">
        <v>0.33999999364217098</v>
      </c>
      <c r="Y793" t="s">
        <v>27</v>
      </c>
      <c r="Z793" t="s">
        <v>27</v>
      </c>
      <c r="AA793">
        <v>13312500</v>
      </c>
      <c r="AB793" t="s">
        <v>27</v>
      </c>
      <c r="AC793" t="s">
        <v>27</v>
      </c>
      <c r="AD793">
        <v>0.15999999642372101</v>
      </c>
      <c r="AE793">
        <v>15.497688293456999</v>
      </c>
      <c r="AF793" t="s">
        <v>27</v>
      </c>
      <c r="AG793">
        <v>13671000</v>
      </c>
      <c r="AH793">
        <v>14.3146619796753</v>
      </c>
      <c r="AI793">
        <v>17.339208602905298</v>
      </c>
    </row>
    <row r="794" spans="1:35">
      <c r="A794">
        <f t="shared" si="96"/>
        <v>1</v>
      </c>
      <c r="B794">
        <f t="shared" si="97"/>
        <v>0</v>
      </c>
      <c r="C794">
        <f t="shared" si="98"/>
        <v>0</v>
      </c>
      <c r="D794">
        <f t="shared" si="99"/>
        <v>0</v>
      </c>
      <c r="E794">
        <f t="shared" si="100"/>
        <v>0</v>
      </c>
      <c r="F794">
        <f t="shared" si="101"/>
        <v>0</v>
      </c>
      <c r="G794">
        <f t="shared" si="102"/>
        <v>0</v>
      </c>
      <c r="H794">
        <v>0</v>
      </c>
      <c r="I794">
        <f t="shared" si="103"/>
        <v>0</v>
      </c>
      <c r="J794">
        <v>0</v>
      </c>
      <c r="K794" t="s">
        <v>3743</v>
      </c>
      <c r="L794" t="s">
        <v>3744</v>
      </c>
      <c r="M794" t="s">
        <v>27</v>
      </c>
      <c r="N794" t="s">
        <v>27</v>
      </c>
      <c r="O794">
        <v>3.08</v>
      </c>
      <c r="P794" t="s">
        <v>27</v>
      </c>
      <c r="Q794" t="s">
        <v>27</v>
      </c>
      <c r="R794">
        <v>10.25</v>
      </c>
      <c r="S794">
        <v>18.9375</v>
      </c>
      <c r="T794">
        <v>3.27286696434021</v>
      </c>
      <c r="U794" t="s">
        <v>27</v>
      </c>
      <c r="V794">
        <v>-2689315.25</v>
      </c>
      <c r="W794">
        <v>-9.3233928680419904</v>
      </c>
      <c r="X794">
        <v>-9.9999997764825804E-3</v>
      </c>
      <c r="Y794" t="s">
        <v>27</v>
      </c>
      <c r="Z794" t="s">
        <v>27</v>
      </c>
      <c r="AA794">
        <v>16201000</v>
      </c>
      <c r="AB794" t="s">
        <v>73</v>
      </c>
      <c r="AC794" t="s">
        <v>141</v>
      </c>
      <c r="AD794">
        <v>-0.17000000178813901</v>
      </c>
      <c r="AE794" t="s">
        <v>27</v>
      </c>
      <c r="AF794" t="s">
        <v>27</v>
      </c>
      <c r="AG794">
        <v>20011000</v>
      </c>
      <c r="AH794">
        <v>1.87350797653198</v>
      </c>
      <c r="AI794">
        <v>-9.4461536407470703</v>
      </c>
    </row>
    <row r="795" spans="1:35">
      <c r="A795">
        <f t="shared" si="96"/>
        <v>1</v>
      </c>
      <c r="B795">
        <f t="shared" si="97"/>
        <v>1</v>
      </c>
      <c r="C795">
        <f t="shared" si="98"/>
        <v>0</v>
      </c>
      <c r="D795">
        <f t="shared" si="99"/>
        <v>0</v>
      </c>
      <c r="E795">
        <f t="shared" si="100"/>
        <v>0</v>
      </c>
      <c r="F795">
        <f t="shared" si="101"/>
        <v>0</v>
      </c>
      <c r="G795">
        <f t="shared" si="102"/>
        <v>0</v>
      </c>
      <c r="H795">
        <v>0</v>
      </c>
      <c r="I795">
        <f t="shared" si="103"/>
        <v>0</v>
      </c>
      <c r="J795">
        <v>0</v>
      </c>
      <c r="K795" t="s">
        <v>3747</v>
      </c>
      <c r="L795" t="s">
        <v>3748</v>
      </c>
      <c r="M795" t="s">
        <v>27</v>
      </c>
      <c r="N795" t="s">
        <v>27</v>
      </c>
      <c r="O795">
        <v>11.04</v>
      </c>
      <c r="P795" t="s">
        <v>27</v>
      </c>
      <c r="Q795" t="s">
        <v>27</v>
      </c>
      <c r="R795">
        <v>19.200000762939499</v>
      </c>
      <c r="S795">
        <v>8.5625</v>
      </c>
      <c r="T795">
        <v>5.0556111335754403</v>
      </c>
      <c r="U795">
        <v>-140.25973510742199</v>
      </c>
      <c r="V795">
        <v>-5199000</v>
      </c>
      <c r="W795">
        <v>-95.646339416503906</v>
      </c>
      <c r="X795" t="s">
        <v>27</v>
      </c>
      <c r="Y795" t="s">
        <v>27</v>
      </c>
      <c r="Z795">
        <v>-9.0298509597778303</v>
      </c>
      <c r="AA795">
        <v>23021062</v>
      </c>
      <c r="AB795" t="s">
        <v>27</v>
      </c>
      <c r="AC795" t="s">
        <v>27</v>
      </c>
      <c r="AD795">
        <v>-0.37000000476837203</v>
      </c>
      <c r="AE795">
        <v>-454.38259887695301</v>
      </c>
      <c r="AF795" t="s">
        <v>27</v>
      </c>
      <c r="AG795">
        <v>23152000</v>
      </c>
      <c r="AH795">
        <v>4.8679680824279803</v>
      </c>
      <c r="AI795">
        <v>-22.368066787719702</v>
      </c>
    </row>
    <row r="796" spans="1:35">
      <c r="A796">
        <f t="shared" si="96"/>
        <v>0</v>
      </c>
      <c r="B796">
        <f t="shared" si="97"/>
        <v>0</v>
      </c>
      <c r="C796">
        <f t="shared" si="98"/>
        <v>0</v>
      </c>
      <c r="D796">
        <f t="shared" si="99"/>
        <v>1</v>
      </c>
      <c r="E796">
        <f t="shared" si="100"/>
        <v>0</v>
      </c>
      <c r="F796">
        <f t="shared" si="101"/>
        <v>0</v>
      </c>
      <c r="G796">
        <f t="shared" si="102"/>
        <v>1</v>
      </c>
      <c r="H796">
        <v>0</v>
      </c>
      <c r="I796">
        <f t="shared" si="103"/>
        <v>0</v>
      </c>
      <c r="J796">
        <v>0</v>
      </c>
      <c r="K796" t="s">
        <v>3749</v>
      </c>
      <c r="L796" t="s">
        <v>3750</v>
      </c>
      <c r="M796" t="s">
        <v>27</v>
      </c>
      <c r="N796" t="s">
        <v>27</v>
      </c>
      <c r="O796">
        <v>1.57</v>
      </c>
      <c r="P796" t="s">
        <v>27</v>
      </c>
      <c r="Q796" t="s">
        <v>27</v>
      </c>
      <c r="R796">
        <v>3.7200000286102299</v>
      </c>
      <c r="S796">
        <v>8.3125</v>
      </c>
      <c r="T796">
        <v>0.26468101143836997</v>
      </c>
      <c r="U796">
        <v>68.685623168945298</v>
      </c>
      <c r="V796">
        <v>-11877000</v>
      </c>
      <c r="W796">
        <v>-15.8050727844238</v>
      </c>
      <c r="X796">
        <v>-1.1499999761581401</v>
      </c>
      <c r="Y796">
        <v>-5.5787999182939502E-2</v>
      </c>
      <c r="Z796">
        <v>-2.8248589038848899</v>
      </c>
      <c r="AA796">
        <v>235736992</v>
      </c>
      <c r="AB796" t="s">
        <v>27</v>
      </c>
      <c r="AC796" t="s">
        <v>27</v>
      </c>
      <c r="AD796">
        <v>-0.61000001430511497</v>
      </c>
      <c r="AE796">
        <v>73.530410766601605</v>
      </c>
      <c r="AF796" t="s">
        <v>27</v>
      </c>
      <c r="AG796">
        <v>243930000</v>
      </c>
      <c r="AH796">
        <v>1.3433090448379501</v>
      </c>
      <c r="AI796">
        <v>-39.341251373291001</v>
      </c>
    </row>
    <row r="797" spans="1:35">
      <c r="A797">
        <f t="shared" si="96"/>
        <v>1</v>
      </c>
      <c r="B797">
        <f t="shared" si="97"/>
        <v>1</v>
      </c>
      <c r="C797">
        <f t="shared" si="98"/>
        <v>1</v>
      </c>
      <c r="D797">
        <f t="shared" si="99"/>
        <v>1</v>
      </c>
      <c r="E797">
        <f t="shared" si="100"/>
        <v>0</v>
      </c>
      <c r="F797">
        <f t="shared" si="101"/>
        <v>0</v>
      </c>
      <c r="G797">
        <f t="shared" si="102"/>
        <v>1</v>
      </c>
      <c r="H797">
        <v>0</v>
      </c>
      <c r="I797">
        <f t="shared" si="103"/>
        <v>0</v>
      </c>
      <c r="J797">
        <v>0</v>
      </c>
      <c r="K797" t="s">
        <v>3753</v>
      </c>
      <c r="L797" t="s">
        <v>3754</v>
      </c>
      <c r="M797" t="s">
        <v>27</v>
      </c>
      <c r="N797" t="s">
        <v>27</v>
      </c>
      <c r="O797">
        <v>5.78</v>
      </c>
      <c r="P797" t="s">
        <v>27</v>
      </c>
      <c r="Q797" t="s">
        <v>27</v>
      </c>
      <c r="R797">
        <v>19.4899997711182</v>
      </c>
      <c r="S797">
        <v>12.75</v>
      </c>
      <c r="T797">
        <v>0.77092701196670499</v>
      </c>
      <c r="U797">
        <v>76.162994384765597</v>
      </c>
      <c r="V797">
        <v>470000.03125</v>
      </c>
      <c r="W797">
        <v>-13.950795173645</v>
      </c>
      <c r="X797">
        <v>-0.10000000149011599</v>
      </c>
      <c r="Y797" t="s">
        <v>27</v>
      </c>
      <c r="Z797">
        <v>1.8298259973526001</v>
      </c>
      <c r="AA797">
        <v>19910000</v>
      </c>
      <c r="AB797" t="s">
        <v>27</v>
      </c>
      <c r="AC797" t="s">
        <v>27</v>
      </c>
      <c r="AD797">
        <v>9.9999997764825804E-3</v>
      </c>
      <c r="AE797">
        <v>79.790863037109403</v>
      </c>
      <c r="AF797">
        <v>7.4483121376644901</v>
      </c>
      <c r="AG797">
        <v>20061000</v>
      </c>
      <c r="AH797">
        <v>0.31492599844932601</v>
      </c>
      <c r="AI797">
        <v>-2.7401831150054901</v>
      </c>
    </row>
    <row r="798" spans="1:35">
      <c r="A798">
        <f t="shared" si="96"/>
        <v>0</v>
      </c>
      <c r="B798">
        <f t="shared" si="97"/>
        <v>1</v>
      </c>
      <c r="C798">
        <f t="shared" si="98"/>
        <v>1</v>
      </c>
      <c r="D798">
        <f t="shared" si="99"/>
        <v>0</v>
      </c>
      <c r="E798">
        <f t="shared" si="100"/>
        <v>0</v>
      </c>
      <c r="F798">
        <f t="shared" si="101"/>
        <v>1</v>
      </c>
      <c r="G798">
        <f t="shared" si="102"/>
        <v>0</v>
      </c>
      <c r="H798">
        <v>0</v>
      </c>
      <c r="I798">
        <f t="shared" si="103"/>
        <v>0</v>
      </c>
      <c r="J798">
        <v>0</v>
      </c>
      <c r="K798" t="s">
        <v>3755</v>
      </c>
      <c r="L798" t="s">
        <v>3756</v>
      </c>
      <c r="M798" t="s">
        <v>27</v>
      </c>
      <c r="N798" t="s">
        <v>27</v>
      </c>
      <c r="O798">
        <v>5.54</v>
      </c>
      <c r="P798" t="s">
        <v>27</v>
      </c>
      <c r="Q798" t="s">
        <v>27</v>
      </c>
      <c r="R798">
        <v>5.4000000953674299</v>
      </c>
      <c r="S798">
        <v>3.1875</v>
      </c>
      <c r="T798">
        <v>15.8947095870972</v>
      </c>
      <c r="U798">
        <v>43.191844940185497</v>
      </c>
      <c r="V798">
        <v>2970000</v>
      </c>
      <c r="W798">
        <v>-1.9355880022048999</v>
      </c>
      <c r="X798">
        <v>5.0000000745058101E-2</v>
      </c>
      <c r="Y798" t="s">
        <v>27</v>
      </c>
      <c r="Z798">
        <v>2.1978020668029798</v>
      </c>
      <c r="AA798">
        <v>21748000</v>
      </c>
      <c r="AB798" t="s">
        <v>27</v>
      </c>
      <c r="AC798" t="s">
        <v>27</v>
      </c>
      <c r="AD798">
        <v>9.9999997764825804E-3</v>
      </c>
      <c r="AE798">
        <v>42.034706115722699</v>
      </c>
      <c r="AF798">
        <v>21.444925333333298</v>
      </c>
      <c r="AG798">
        <v>22010000</v>
      </c>
      <c r="AH798">
        <v>17.399002075195298</v>
      </c>
      <c r="AI798">
        <v>6.32753610610962</v>
      </c>
    </row>
    <row r="799" spans="1:35">
      <c r="A799">
        <f t="shared" si="96"/>
        <v>1</v>
      </c>
      <c r="B799">
        <f t="shared" si="97"/>
        <v>0</v>
      </c>
      <c r="C799">
        <f t="shared" si="98"/>
        <v>1</v>
      </c>
      <c r="D799">
        <f t="shared" si="99"/>
        <v>0</v>
      </c>
      <c r="E799">
        <f t="shared" si="100"/>
        <v>0</v>
      </c>
      <c r="F799">
        <f t="shared" si="101"/>
        <v>1</v>
      </c>
      <c r="G799">
        <f t="shared" si="102"/>
        <v>1</v>
      </c>
      <c r="H799">
        <v>0</v>
      </c>
      <c r="I799">
        <f t="shared" si="103"/>
        <v>0</v>
      </c>
      <c r="J799">
        <v>0</v>
      </c>
      <c r="K799" t="s">
        <v>3757</v>
      </c>
      <c r="L799" t="s">
        <v>3758</v>
      </c>
      <c r="M799" t="s">
        <v>27</v>
      </c>
      <c r="N799" t="s">
        <v>27</v>
      </c>
      <c r="O799">
        <v>8.9</v>
      </c>
      <c r="P799">
        <v>4.01888084411621</v>
      </c>
      <c r="Q799" t="s">
        <v>27</v>
      </c>
      <c r="R799">
        <v>8.4090909090909101</v>
      </c>
      <c r="S799">
        <v>8.2644628099173492</v>
      </c>
      <c r="T799">
        <v>29.9325065612793</v>
      </c>
      <c r="U799">
        <v>29.5370578765869</v>
      </c>
      <c r="V799">
        <v>33269000</v>
      </c>
      <c r="W799">
        <v>5.9408078193664604</v>
      </c>
      <c r="X799">
        <v>0.30578512790774498</v>
      </c>
      <c r="Y799">
        <v>2.30043292045593</v>
      </c>
      <c r="Z799">
        <v>0.64934998750686601</v>
      </c>
      <c r="AA799">
        <v>13711066.6</v>
      </c>
      <c r="AB799" t="s">
        <v>61</v>
      </c>
      <c r="AC799" t="s">
        <v>77</v>
      </c>
      <c r="AD799">
        <v>0.29090908440676599</v>
      </c>
      <c r="AE799">
        <v>33.155906677246101</v>
      </c>
      <c r="AF799">
        <v>7.3208408846188497</v>
      </c>
      <c r="AG799">
        <v>13514127</v>
      </c>
      <c r="AH799">
        <v>23.038160324096701</v>
      </c>
      <c r="AI799">
        <v>2.0573139190673801</v>
      </c>
    </row>
    <row r="800" spans="1:35">
      <c r="A800">
        <f t="shared" si="96"/>
        <v>0</v>
      </c>
      <c r="B800">
        <f t="shared" si="97"/>
        <v>0</v>
      </c>
      <c r="C800">
        <f t="shared" si="98"/>
        <v>1</v>
      </c>
      <c r="D800">
        <f t="shared" si="99"/>
        <v>0</v>
      </c>
      <c r="E800">
        <f t="shared" si="100"/>
        <v>1</v>
      </c>
      <c r="F800">
        <f t="shared" si="101"/>
        <v>1</v>
      </c>
      <c r="G800">
        <f t="shared" si="102"/>
        <v>0</v>
      </c>
      <c r="H800">
        <v>0</v>
      </c>
      <c r="I800">
        <f t="shared" si="103"/>
        <v>0</v>
      </c>
      <c r="J800">
        <v>0</v>
      </c>
      <c r="K800" t="s">
        <v>3763</v>
      </c>
      <c r="L800" t="s">
        <v>3764</v>
      </c>
      <c r="M800" t="s">
        <v>27</v>
      </c>
      <c r="N800" t="s">
        <v>27</v>
      </c>
      <c r="O800">
        <v>0.61</v>
      </c>
      <c r="P800" t="s">
        <v>27</v>
      </c>
      <c r="Q800" t="s">
        <v>27</v>
      </c>
      <c r="R800">
        <v>6.5300002098083496</v>
      </c>
      <c r="S800">
        <v>8.1875</v>
      </c>
      <c r="T800" t="s">
        <v>27</v>
      </c>
      <c r="U800" t="s">
        <v>27</v>
      </c>
      <c r="V800" t="s">
        <v>27</v>
      </c>
      <c r="W800" t="s">
        <v>27</v>
      </c>
      <c r="X800" t="s">
        <v>27</v>
      </c>
      <c r="Y800" t="s">
        <v>27</v>
      </c>
      <c r="Z800" t="s">
        <v>27</v>
      </c>
      <c r="AA800" t="s">
        <v>27</v>
      </c>
      <c r="AB800" t="s">
        <v>27</v>
      </c>
      <c r="AC800" t="s">
        <v>27</v>
      </c>
      <c r="AD800" t="s">
        <v>27</v>
      </c>
      <c r="AE800" t="s">
        <v>27</v>
      </c>
      <c r="AF800" t="s">
        <v>27</v>
      </c>
      <c r="AG800" t="s">
        <v>27</v>
      </c>
      <c r="AH800" t="s">
        <v>27</v>
      </c>
      <c r="AI800" t="s">
        <v>27</v>
      </c>
    </row>
    <row r="801" spans="1:35">
      <c r="A801">
        <f t="shared" si="96"/>
        <v>0</v>
      </c>
      <c r="B801">
        <f t="shared" si="97"/>
        <v>0</v>
      </c>
      <c r="C801">
        <f t="shared" si="98"/>
        <v>0</v>
      </c>
      <c r="D801">
        <f t="shared" si="99"/>
        <v>0</v>
      </c>
      <c r="E801">
        <f t="shared" si="100"/>
        <v>0</v>
      </c>
      <c r="F801">
        <f t="shared" si="101"/>
        <v>1</v>
      </c>
      <c r="G801">
        <f t="shared" si="102"/>
        <v>0</v>
      </c>
      <c r="H801">
        <v>0</v>
      </c>
      <c r="I801">
        <f t="shared" si="103"/>
        <v>0</v>
      </c>
      <c r="J801">
        <v>0</v>
      </c>
      <c r="K801" t="s">
        <v>3765</v>
      </c>
      <c r="L801" t="s">
        <v>3766</v>
      </c>
      <c r="M801" t="s">
        <v>27</v>
      </c>
      <c r="N801" t="s">
        <v>27</v>
      </c>
      <c r="O801">
        <v>3.36</v>
      </c>
      <c r="P801">
        <v>37.201675415039098</v>
      </c>
      <c r="Q801" t="s">
        <v>27</v>
      </c>
      <c r="R801">
        <v>6.9299998283386204</v>
      </c>
      <c r="S801">
        <v>3.8125</v>
      </c>
      <c r="T801">
        <v>0</v>
      </c>
      <c r="U801">
        <v>40.899959564208999</v>
      </c>
      <c r="V801">
        <v>-722000</v>
      </c>
      <c r="W801" t="s">
        <v>27</v>
      </c>
      <c r="X801">
        <v>9.9999997764825804E-3</v>
      </c>
      <c r="Y801">
        <v>11.529412269592299</v>
      </c>
      <c r="Z801">
        <v>-1.98675501346588</v>
      </c>
      <c r="AA801">
        <v>32400000</v>
      </c>
      <c r="AB801" t="s">
        <v>73</v>
      </c>
      <c r="AC801" t="s">
        <v>413</v>
      </c>
      <c r="AD801">
        <v>-2.9999999329447701E-2</v>
      </c>
      <c r="AE801">
        <v>40.824779510497997</v>
      </c>
      <c r="AF801" t="s">
        <v>27</v>
      </c>
      <c r="AG801">
        <v>32631000</v>
      </c>
      <c r="AH801">
        <v>0</v>
      </c>
      <c r="AI801">
        <v>11.151709556579601</v>
      </c>
    </row>
    <row r="802" spans="1:35">
      <c r="A802">
        <f t="shared" ref="A802:A864" si="104">IF(AH802&lt;T802,1,0)</f>
        <v>1</v>
      </c>
      <c r="B802">
        <f t="shared" ref="B802:B864" si="105">IF(AI802&gt;W802,1,0)</f>
        <v>0</v>
      </c>
      <c r="C802">
        <f t="shared" ref="C802:C864" si="106">IF(V802&gt;0,1,0)</f>
        <v>0</v>
      </c>
      <c r="D802">
        <f t="shared" ref="D802:D864" si="107">IF(AD802&gt;X802,1,0)</f>
        <v>0</v>
      </c>
      <c r="E802">
        <f t="shared" ref="E802:E864" si="108">IF(AA802=AG802,1,0)</f>
        <v>0</v>
      </c>
      <c r="F802">
        <f t="shared" ref="F802:F864" si="109">IF(AI802&gt;0,1,0)</f>
        <v>0</v>
      </c>
      <c r="G802">
        <f t="shared" ref="G802:G864" si="110">IF(AE802&gt;U802,1,0)</f>
        <v>1</v>
      </c>
      <c r="H802">
        <v>0</v>
      </c>
      <c r="I802">
        <f t="shared" ref="I802:I864" si="111">IF(((O802-R802)/R802)&gt;0.075,1,0)</f>
        <v>0</v>
      </c>
      <c r="J802">
        <v>0</v>
      </c>
      <c r="K802" t="s">
        <v>3771</v>
      </c>
      <c r="L802" t="s">
        <v>3772</v>
      </c>
      <c r="M802" t="s">
        <v>27</v>
      </c>
      <c r="N802" t="s">
        <v>27</v>
      </c>
      <c r="O802">
        <v>15.91</v>
      </c>
      <c r="P802" t="s">
        <v>27</v>
      </c>
      <c r="Q802" t="s">
        <v>27</v>
      </c>
      <c r="R802">
        <v>38</v>
      </c>
      <c r="S802">
        <v>21.120000839233398</v>
      </c>
      <c r="T802">
        <v>72.178314208984403</v>
      </c>
      <c r="U802">
        <v>49.238033294677699</v>
      </c>
      <c r="V802">
        <v>-1442999.875</v>
      </c>
      <c r="W802">
        <v>2.1962769031524698</v>
      </c>
      <c r="X802">
        <v>-9.9999997764825804E-3</v>
      </c>
      <c r="Y802">
        <v>3.2914290428161599</v>
      </c>
      <c r="Z802">
        <v>2.0060789585113499</v>
      </c>
      <c r="AA802">
        <v>23640000</v>
      </c>
      <c r="AB802" t="s">
        <v>27</v>
      </c>
      <c r="AC802" t="s">
        <v>27</v>
      </c>
      <c r="AD802">
        <v>-1.2799999713897701</v>
      </c>
      <c r="AE802">
        <v>54.821174621582003</v>
      </c>
      <c r="AF802">
        <v>4.8107780900116204</v>
      </c>
      <c r="AG802">
        <v>23939000</v>
      </c>
      <c r="AH802">
        <v>54.804420471191399</v>
      </c>
      <c r="AI802">
        <v>-8.6421127319335902</v>
      </c>
    </row>
    <row r="803" spans="1:35">
      <c r="A803">
        <f t="shared" si="104"/>
        <v>0</v>
      </c>
      <c r="B803">
        <f t="shared" si="105"/>
        <v>0</v>
      </c>
      <c r="C803">
        <f t="shared" si="106"/>
        <v>0</v>
      </c>
      <c r="D803">
        <f t="shared" si="107"/>
        <v>0</v>
      </c>
      <c r="E803">
        <f t="shared" si="108"/>
        <v>0</v>
      </c>
      <c r="F803">
        <f t="shared" si="109"/>
        <v>0</v>
      </c>
      <c r="G803">
        <f t="shared" si="110"/>
        <v>0</v>
      </c>
      <c r="H803">
        <v>0</v>
      </c>
      <c r="I803">
        <f t="shared" si="111"/>
        <v>0</v>
      </c>
      <c r="J803">
        <v>0</v>
      </c>
      <c r="K803" t="s">
        <v>3777</v>
      </c>
      <c r="L803" t="s">
        <v>3778</v>
      </c>
      <c r="M803" t="s">
        <v>27</v>
      </c>
      <c r="N803" t="s">
        <v>27</v>
      </c>
      <c r="O803">
        <v>8.06</v>
      </c>
      <c r="P803">
        <v>7.2099928855895996</v>
      </c>
      <c r="Q803" t="s">
        <v>27</v>
      </c>
      <c r="R803">
        <v>7.9000000953674299</v>
      </c>
      <c r="S803">
        <v>11.3999996185303</v>
      </c>
      <c r="T803">
        <v>31.992883682251001</v>
      </c>
      <c r="U803">
        <v>8.5339670181274396</v>
      </c>
      <c r="V803">
        <v>-20594000</v>
      </c>
      <c r="W803">
        <v>5.1935548782348597</v>
      </c>
      <c r="X803">
        <v>0.20000000298023199</v>
      </c>
      <c r="Y803">
        <v>15.0204076766968</v>
      </c>
      <c r="Z803">
        <v>-46.362319946289098</v>
      </c>
      <c r="AA803">
        <v>22995000</v>
      </c>
      <c r="AB803" t="s">
        <v>61</v>
      </c>
      <c r="AC803" t="s">
        <v>101</v>
      </c>
      <c r="AD803">
        <v>-2.6900000572204599</v>
      </c>
      <c r="AE803">
        <v>-13.5291080474854</v>
      </c>
      <c r="AF803" t="s">
        <v>27</v>
      </c>
      <c r="AG803">
        <v>23008000</v>
      </c>
      <c r="AH803">
        <v>42.843254089355497</v>
      </c>
      <c r="AI803">
        <v>-0.85650402307510398</v>
      </c>
    </row>
    <row r="804" spans="1:35">
      <c r="A804">
        <f t="shared" si="104"/>
        <v>1</v>
      </c>
      <c r="B804">
        <f t="shared" si="105"/>
        <v>0</v>
      </c>
      <c r="C804">
        <f t="shared" si="106"/>
        <v>1</v>
      </c>
      <c r="D804">
        <f t="shared" si="107"/>
        <v>1</v>
      </c>
      <c r="E804">
        <f t="shared" si="108"/>
        <v>0</v>
      </c>
      <c r="F804">
        <f t="shared" si="109"/>
        <v>1</v>
      </c>
      <c r="G804">
        <f t="shared" si="110"/>
        <v>0</v>
      </c>
      <c r="H804">
        <v>0</v>
      </c>
      <c r="I804">
        <f t="shared" si="111"/>
        <v>0</v>
      </c>
      <c r="J804">
        <v>0</v>
      </c>
      <c r="K804" t="s">
        <v>3787</v>
      </c>
      <c r="L804" t="s">
        <v>3788</v>
      </c>
      <c r="M804" t="s">
        <v>27</v>
      </c>
      <c r="N804" t="s">
        <v>27</v>
      </c>
      <c r="O804">
        <v>24.89</v>
      </c>
      <c r="P804" t="s">
        <v>27</v>
      </c>
      <c r="Q804" t="s">
        <v>27</v>
      </c>
      <c r="R804">
        <v>25.4799995422363</v>
      </c>
      <c r="S804">
        <v>22.350000381469702</v>
      </c>
      <c r="T804">
        <v>54.780120849609403</v>
      </c>
      <c r="U804" t="s">
        <v>27</v>
      </c>
      <c r="V804">
        <v>9429000</v>
      </c>
      <c r="W804">
        <v>7.5910720825195304</v>
      </c>
      <c r="X804">
        <v>0.36000001430511502</v>
      </c>
      <c r="Y804">
        <v>6.1308407783508301</v>
      </c>
      <c r="Z804">
        <v>5.2276558876037598</v>
      </c>
      <c r="AA804">
        <v>35734000</v>
      </c>
      <c r="AB804" t="s">
        <v>83</v>
      </c>
      <c r="AC804" t="s">
        <v>84</v>
      </c>
      <c r="AD804">
        <v>0.43999999761581399</v>
      </c>
      <c r="AE804" t="s">
        <v>27</v>
      </c>
      <c r="AF804">
        <v>13.122052141169201</v>
      </c>
      <c r="AG804">
        <v>38693000</v>
      </c>
      <c r="AH804">
        <v>50.466392517089801</v>
      </c>
      <c r="AI804">
        <v>7.2693748474121103</v>
      </c>
    </row>
    <row r="805" spans="1:35">
      <c r="A805">
        <f t="shared" si="104"/>
        <v>0</v>
      </c>
      <c r="B805">
        <f t="shared" si="105"/>
        <v>0</v>
      </c>
      <c r="C805">
        <f t="shared" si="106"/>
        <v>1</v>
      </c>
      <c r="D805">
        <f t="shared" si="107"/>
        <v>0</v>
      </c>
      <c r="E805">
        <f t="shared" si="108"/>
        <v>1</v>
      </c>
      <c r="F805">
        <f t="shared" si="109"/>
        <v>1</v>
      </c>
      <c r="G805">
        <f t="shared" si="110"/>
        <v>0</v>
      </c>
      <c r="H805">
        <v>0</v>
      </c>
      <c r="I805">
        <f t="shared" si="111"/>
        <v>1</v>
      </c>
      <c r="J805">
        <v>0</v>
      </c>
      <c r="K805" t="s">
        <v>3791</v>
      </c>
      <c r="L805" t="s">
        <v>3792</v>
      </c>
      <c r="M805" t="s">
        <v>27</v>
      </c>
      <c r="N805" t="s">
        <v>27</v>
      </c>
      <c r="O805">
        <v>34.75</v>
      </c>
      <c r="P805" t="s">
        <v>27</v>
      </c>
      <c r="Q805" t="s">
        <v>27</v>
      </c>
      <c r="R805">
        <v>27</v>
      </c>
      <c r="S805">
        <v>28.3125</v>
      </c>
      <c r="T805" t="s">
        <v>27</v>
      </c>
      <c r="U805" t="s">
        <v>27</v>
      </c>
      <c r="V805" t="s">
        <v>27</v>
      </c>
      <c r="W805" t="s">
        <v>27</v>
      </c>
      <c r="X805" t="s">
        <v>27</v>
      </c>
      <c r="Y805" t="s">
        <v>27</v>
      </c>
      <c r="Z805" t="s">
        <v>27</v>
      </c>
      <c r="AA805" t="s">
        <v>27</v>
      </c>
      <c r="AB805" t="s">
        <v>61</v>
      </c>
      <c r="AC805" t="s">
        <v>77</v>
      </c>
      <c r="AD805" t="s">
        <v>27</v>
      </c>
      <c r="AE805" t="s">
        <v>27</v>
      </c>
      <c r="AF805" t="s">
        <v>27</v>
      </c>
      <c r="AG805" t="s">
        <v>27</v>
      </c>
      <c r="AH805" t="s">
        <v>27</v>
      </c>
      <c r="AI805" t="s">
        <v>27</v>
      </c>
    </row>
    <row r="806" spans="1:35">
      <c r="A806">
        <f t="shared" si="104"/>
        <v>0</v>
      </c>
      <c r="B806">
        <f t="shared" si="105"/>
        <v>1</v>
      </c>
      <c r="C806">
        <f t="shared" si="106"/>
        <v>0</v>
      </c>
      <c r="D806">
        <f t="shared" si="107"/>
        <v>0</v>
      </c>
      <c r="E806">
        <f t="shared" si="108"/>
        <v>0</v>
      </c>
      <c r="F806">
        <f t="shared" si="109"/>
        <v>0</v>
      </c>
      <c r="G806">
        <f t="shared" si="110"/>
        <v>0</v>
      </c>
      <c r="H806">
        <v>0</v>
      </c>
      <c r="I806">
        <f t="shared" si="111"/>
        <v>1</v>
      </c>
      <c r="J806">
        <v>0</v>
      </c>
      <c r="K806" t="s">
        <v>3793</v>
      </c>
      <c r="L806" t="s">
        <v>3794</v>
      </c>
      <c r="M806" t="s">
        <v>27</v>
      </c>
      <c r="N806" t="s">
        <v>27</v>
      </c>
      <c r="O806">
        <v>8.27</v>
      </c>
      <c r="P806" t="s">
        <v>27</v>
      </c>
      <c r="Q806" t="s">
        <v>27</v>
      </c>
      <c r="R806">
        <v>6.1500000953674299</v>
      </c>
      <c r="S806">
        <v>17.375</v>
      </c>
      <c r="T806">
        <v>0</v>
      </c>
      <c r="U806">
        <v>64.102119445800795</v>
      </c>
      <c r="V806">
        <v>-29000.013671875</v>
      </c>
      <c r="W806">
        <v>-63.635459899902301</v>
      </c>
      <c r="X806">
        <v>5.9999998658895499E-2</v>
      </c>
      <c r="Y806">
        <v>-0.30000001192092901</v>
      </c>
      <c r="Z806">
        <v>-3.0026109218597399</v>
      </c>
      <c r="AA806">
        <v>24509000</v>
      </c>
      <c r="AB806" t="s">
        <v>27</v>
      </c>
      <c r="AC806" t="s">
        <v>27</v>
      </c>
      <c r="AD806">
        <v>-0.21999999880790699</v>
      </c>
      <c r="AE806">
        <v>61.408382415771499</v>
      </c>
      <c r="AF806" t="s">
        <v>27</v>
      </c>
      <c r="AG806">
        <v>27075000</v>
      </c>
      <c r="AH806">
        <v>0</v>
      </c>
      <c r="AI806">
        <v>-13.205137252807599</v>
      </c>
    </row>
    <row r="807" spans="1:35">
      <c r="A807">
        <f t="shared" si="104"/>
        <v>1</v>
      </c>
      <c r="B807">
        <f t="shared" si="105"/>
        <v>0</v>
      </c>
      <c r="C807">
        <f t="shared" si="106"/>
        <v>1</v>
      </c>
      <c r="D807">
        <f t="shared" si="107"/>
        <v>0</v>
      </c>
      <c r="E807">
        <f t="shared" si="108"/>
        <v>0</v>
      </c>
      <c r="F807">
        <f t="shared" si="109"/>
        <v>1</v>
      </c>
      <c r="G807">
        <f t="shared" si="110"/>
        <v>0</v>
      </c>
      <c r="H807">
        <v>0</v>
      </c>
      <c r="I807">
        <f t="shared" si="111"/>
        <v>1</v>
      </c>
      <c r="J807">
        <v>0</v>
      </c>
      <c r="K807" t="s">
        <v>3801</v>
      </c>
      <c r="L807" t="s">
        <v>3802</v>
      </c>
      <c r="M807" t="s">
        <v>27</v>
      </c>
      <c r="N807" t="s">
        <v>27</v>
      </c>
      <c r="O807">
        <v>17.95</v>
      </c>
      <c r="P807" t="s">
        <v>27</v>
      </c>
      <c r="Q807" t="s">
        <v>27</v>
      </c>
      <c r="R807">
        <v>15.539999961853001</v>
      </c>
      <c r="S807">
        <v>11.125</v>
      </c>
      <c r="T807" t="s">
        <v>27</v>
      </c>
      <c r="U807" t="s">
        <v>27</v>
      </c>
      <c r="V807">
        <v>23905000</v>
      </c>
      <c r="W807" t="s">
        <v>27</v>
      </c>
      <c r="X807" t="s">
        <v>27</v>
      </c>
      <c r="Y807" t="s">
        <v>27</v>
      </c>
      <c r="Z807" t="s">
        <v>27</v>
      </c>
      <c r="AA807" t="s">
        <v>27</v>
      </c>
      <c r="AB807" t="s">
        <v>27</v>
      </c>
      <c r="AC807" t="s">
        <v>27</v>
      </c>
      <c r="AD807">
        <v>0.28000000119209301</v>
      </c>
      <c r="AE807" t="s">
        <v>27</v>
      </c>
      <c r="AF807" t="s">
        <v>27</v>
      </c>
      <c r="AG807">
        <v>37093000</v>
      </c>
      <c r="AH807">
        <v>42.381877899169901</v>
      </c>
      <c r="AI807">
        <v>0.23440800607204401</v>
      </c>
    </row>
    <row r="808" spans="1:35">
      <c r="A808">
        <f t="shared" si="104"/>
        <v>0</v>
      </c>
      <c r="B808">
        <f t="shared" si="105"/>
        <v>1</v>
      </c>
      <c r="C808">
        <f t="shared" si="106"/>
        <v>0</v>
      </c>
      <c r="D808">
        <f t="shared" si="107"/>
        <v>0</v>
      </c>
      <c r="E808">
        <f t="shared" si="108"/>
        <v>0</v>
      </c>
      <c r="F808">
        <f t="shared" si="109"/>
        <v>1</v>
      </c>
      <c r="G808">
        <f t="shared" si="110"/>
        <v>1</v>
      </c>
      <c r="H808">
        <v>0</v>
      </c>
      <c r="I808">
        <f t="shared" si="111"/>
        <v>0</v>
      </c>
      <c r="J808">
        <v>0</v>
      </c>
      <c r="K808" t="s">
        <v>3805</v>
      </c>
      <c r="L808" t="s">
        <v>3806</v>
      </c>
      <c r="M808" t="s">
        <v>27</v>
      </c>
      <c r="N808" t="s">
        <v>27</v>
      </c>
      <c r="O808">
        <v>1.02</v>
      </c>
      <c r="P808" t="s">
        <v>27</v>
      </c>
      <c r="Q808" t="s">
        <v>27</v>
      </c>
      <c r="R808">
        <v>2.0299999713897701</v>
      </c>
      <c r="S808">
        <v>4.8125</v>
      </c>
      <c r="T808">
        <v>0.34951800107955899</v>
      </c>
      <c r="U808">
        <v>21.385469436645501</v>
      </c>
      <c r="V808">
        <v>-17110000</v>
      </c>
      <c r="W808">
        <v>6.40378713607788</v>
      </c>
      <c r="X808">
        <v>0.239999994635582</v>
      </c>
      <c r="Y808" t="s">
        <v>27</v>
      </c>
      <c r="Z808" t="s">
        <v>27</v>
      </c>
      <c r="AA808">
        <v>96700000</v>
      </c>
      <c r="AB808" t="s">
        <v>27</v>
      </c>
      <c r="AC808" t="s">
        <v>27</v>
      </c>
      <c r="AD808">
        <v>-1.37999999523163</v>
      </c>
      <c r="AE808">
        <v>36.761482238769503</v>
      </c>
      <c r="AF808" t="s">
        <v>27</v>
      </c>
      <c r="AG808">
        <v>137800000</v>
      </c>
      <c r="AH808">
        <v>9.1096715927124006</v>
      </c>
      <c r="AI808" t="s">
        <v>27</v>
      </c>
    </row>
    <row r="809" spans="1:35">
      <c r="A809">
        <f t="shared" si="104"/>
        <v>0</v>
      </c>
      <c r="B809">
        <f t="shared" si="105"/>
        <v>0</v>
      </c>
      <c r="C809">
        <f t="shared" si="106"/>
        <v>0</v>
      </c>
      <c r="D809">
        <f t="shared" si="107"/>
        <v>1</v>
      </c>
      <c r="E809">
        <f t="shared" si="108"/>
        <v>0</v>
      </c>
      <c r="F809">
        <f t="shared" si="109"/>
        <v>0</v>
      </c>
      <c r="G809">
        <f t="shared" si="110"/>
        <v>1</v>
      </c>
      <c r="H809">
        <v>0</v>
      </c>
      <c r="I809">
        <f t="shared" si="111"/>
        <v>0</v>
      </c>
      <c r="J809">
        <v>0</v>
      </c>
      <c r="K809" t="s">
        <v>3807</v>
      </c>
      <c r="L809" t="s">
        <v>3808</v>
      </c>
      <c r="M809" t="s">
        <v>27</v>
      </c>
      <c r="N809" t="s">
        <v>27</v>
      </c>
      <c r="O809">
        <v>10.119999999999999</v>
      </c>
      <c r="P809" t="s">
        <v>27</v>
      </c>
      <c r="Q809" t="s">
        <v>27</v>
      </c>
      <c r="R809">
        <v>24.9899997711182</v>
      </c>
      <c r="S809">
        <v>18.25</v>
      </c>
      <c r="T809">
        <v>3.2921130657196001</v>
      </c>
      <c r="U809">
        <v>56.959144592285199</v>
      </c>
      <c r="V809">
        <v>-1391000</v>
      </c>
      <c r="W809">
        <v>-103.986976623535</v>
      </c>
      <c r="X809">
        <v>-1.0099999904632599</v>
      </c>
      <c r="Y809" t="s">
        <v>27</v>
      </c>
      <c r="Z809">
        <v>-3.7664780616760298</v>
      </c>
      <c r="AA809">
        <v>36826000</v>
      </c>
      <c r="AB809" t="s">
        <v>27</v>
      </c>
      <c r="AC809" t="s">
        <v>27</v>
      </c>
      <c r="AD809">
        <v>-0.15999999642372101</v>
      </c>
      <c r="AE809">
        <v>74.279388427734403</v>
      </c>
      <c r="AF809">
        <v>14.4678886273236</v>
      </c>
      <c r="AG809">
        <v>39329000</v>
      </c>
      <c r="AH809">
        <v>8.7652969360351598</v>
      </c>
      <c r="AI809">
        <v>-178.34397888183599</v>
      </c>
    </row>
    <row r="810" spans="1:35">
      <c r="A810">
        <f t="shared" si="104"/>
        <v>0</v>
      </c>
      <c r="B810">
        <f t="shared" si="105"/>
        <v>0</v>
      </c>
      <c r="C810">
        <f t="shared" si="106"/>
        <v>1</v>
      </c>
      <c r="D810">
        <f t="shared" si="107"/>
        <v>1</v>
      </c>
      <c r="E810">
        <f t="shared" si="108"/>
        <v>0</v>
      </c>
      <c r="F810">
        <f t="shared" si="109"/>
        <v>0</v>
      </c>
      <c r="G810">
        <f t="shared" si="110"/>
        <v>1</v>
      </c>
      <c r="H810">
        <v>0</v>
      </c>
      <c r="I810">
        <f t="shared" si="111"/>
        <v>0</v>
      </c>
      <c r="J810">
        <v>0</v>
      </c>
      <c r="K810" t="s">
        <v>3809</v>
      </c>
      <c r="L810" t="s">
        <v>3810</v>
      </c>
      <c r="M810" t="s">
        <v>27</v>
      </c>
      <c r="N810" t="s">
        <v>27</v>
      </c>
      <c r="O810">
        <v>11.19</v>
      </c>
      <c r="P810" t="s">
        <v>27</v>
      </c>
      <c r="Q810" t="s">
        <v>27</v>
      </c>
      <c r="R810">
        <v>23.600000381469702</v>
      </c>
      <c r="S810">
        <v>85.875</v>
      </c>
      <c r="T810">
        <v>0.54274302721023604</v>
      </c>
      <c r="U810">
        <v>72.480209350585895</v>
      </c>
      <c r="V810">
        <v>2571000.25</v>
      </c>
      <c r="W810">
        <v>-20.447504043579102</v>
      </c>
      <c r="X810">
        <v>-1.0900000333786</v>
      </c>
      <c r="Y810" t="s">
        <v>27</v>
      </c>
      <c r="Z810">
        <v>-7.3806080818176296</v>
      </c>
      <c r="AA810">
        <v>46937000</v>
      </c>
      <c r="AB810" t="s">
        <v>27</v>
      </c>
      <c r="AC810" t="s">
        <v>27</v>
      </c>
      <c r="AD810">
        <v>-0.67000001668930098</v>
      </c>
      <c r="AE810">
        <v>73.616119384765597</v>
      </c>
      <c r="AF810" t="s">
        <v>27</v>
      </c>
      <c r="AG810">
        <v>49492000</v>
      </c>
      <c r="AH810">
        <v>1.64590299129486</v>
      </c>
      <c r="AI810">
        <v>-39.027095794677699</v>
      </c>
    </row>
    <row r="811" spans="1:35">
      <c r="A811">
        <f t="shared" si="104"/>
        <v>0</v>
      </c>
      <c r="B811">
        <f t="shared" si="105"/>
        <v>1</v>
      </c>
      <c r="C811">
        <f t="shared" si="106"/>
        <v>1</v>
      </c>
      <c r="D811">
        <f t="shared" si="107"/>
        <v>1</v>
      </c>
      <c r="E811">
        <f t="shared" si="108"/>
        <v>0</v>
      </c>
      <c r="F811">
        <f t="shared" si="109"/>
        <v>0</v>
      </c>
      <c r="G811">
        <f t="shared" si="110"/>
        <v>1</v>
      </c>
      <c r="H811">
        <v>0</v>
      </c>
      <c r="I811">
        <f t="shared" si="111"/>
        <v>0</v>
      </c>
      <c r="J811">
        <v>0</v>
      </c>
      <c r="K811" t="s">
        <v>3811</v>
      </c>
      <c r="L811" t="s">
        <v>3812</v>
      </c>
      <c r="M811" t="s">
        <v>27</v>
      </c>
      <c r="N811" t="s">
        <v>27</v>
      </c>
      <c r="O811">
        <v>15.71</v>
      </c>
      <c r="P811" t="s">
        <v>27</v>
      </c>
      <c r="Q811" t="s">
        <v>27</v>
      </c>
      <c r="R811">
        <v>27.899999618530298</v>
      </c>
      <c r="S811">
        <v>16</v>
      </c>
      <c r="T811">
        <v>0</v>
      </c>
      <c r="U811">
        <v>85.663078308105497</v>
      </c>
      <c r="V811">
        <v>4557000</v>
      </c>
      <c r="W811">
        <v>-87.670227050781307</v>
      </c>
      <c r="X811">
        <v>-3.9999999105930301E-2</v>
      </c>
      <c r="Y811" t="s">
        <v>27</v>
      </c>
      <c r="Z811">
        <v>0.64220201969146695</v>
      </c>
      <c r="AA811">
        <v>19611000</v>
      </c>
      <c r="AB811" t="s">
        <v>27</v>
      </c>
      <c r="AC811" t="s">
        <v>27</v>
      </c>
      <c r="AD811">
        <v>9.00000035762787E-2</v>
      </c>
      <c r="AE811">
        <v>90.459732055664105</v>
      </c>
      <c r="AF811">
        <v>17.4122761038311</v>
      </c>
      <c r="AG811">
        <v>20354000</v>
      </c>
      <c r="AH811">
        <v>0</v>
      </c>
      <c r="AI811">
        <v>-10.890943527221699</v>
      </c>
    </row>
    <row r="812" spans="1:35">
      <c r="A812">
        <f t="shared" si="104"/>
        <v>1</v>
      </c>
      <c r="B812">
        <f t="shared" si="105"/>
        <v>0</v>
      </c>
      <c r="C812">
        <f t="shared" si="106"/>
        <v>0</v>
      </c>
      <c r="D812">
        <f t="shared" si="107"/>
        <v>0</v>
      </c>
      <c r="E812">
        <f t="shared" si="108"/>
        <v>0</v>
      </c>
      <c r="F812">
        <f t="shared" si="109"/>
        <v>1</v>
      </c>
      <c r="G812">
        <f t="shared" si="110"/>
        <v>0</v>
      </c>
      <c r="H812">
        <v>0</v>
      </c>
      <c r="I812">
        <f t="shared" si="111"/>
        <v>0</v>
      </c>
      <c r="J812">
        <v>0</v>
      </c>
      <c r="K812" t="s">
        <v>3817</v>
      </c>
      <c r="L812" t="s">
        <v>3818</v>
      </c>
      <c r="M812" t="s">
        <v>27</v>
      </c>
      <c r="N812" t="s">
        <v>27</v>
      </c>
      <c r="O812">
        <v>25.8</v>
      </c>
      <c r="P812" t="s">
        <v>27</v>
      </c>
      <c r="Q812" t="s">
        <v>27</v>
      </c>
      <c r="R812">
        <v>27.329999923706101</v>
      </c>
      <c r="S812">
        <v>18.5</v>
      </c>
      <c r="T812">
        <v>37.746143341064503</v>
      </c>
      <c r="U812" t="s">
        <v>27</v>
      </c>
      <c r="V812">
        <v>-13321000</v>
      </c>
      <c r="W812">
        <v>6.4521169662475604</v>
      </c>
      <c r="X812">
        <v>0.479999989271164</v>
      </c>
      <c r="Y812">
        <v>11.380282402038601</v>
      </c>
      <c r="Z812">
        <v>6.3492059707641602</v>
      </c>
      <c r="AA812">
        <v>28693012</v>
      </c>
      <c r="AB812" t="s">
        <v>83</v>
      </c>
      <c r="AC812" t="s">
        <v>84</v>
      </c>
      <c r="AD812">
        <v>0.41999998688697798</v>
      </c>
      <c r="AE812" t="s">
        <v>27</v>
      </c>
      <c r="AF812">
        <v>11.813270014958199</v>
      </c>
      <c r="AG812">
        <v>32595720</v>
      </c>
      <c r="AH812">
        <v>34.807624816894503</v>
      </c>
      <c r="AI812">
        <v>5.6057581901550302</v>
      </c>
    </row>
    <row r="813" spans="1:35">
      <c r="A813">
        <f t="shared" si="104"/>
        <v>0</v>
      </c>
      <c r="B813">
        <f t="shared" si="105"/>
        <v>1</v>
      </c>
      <c r="C813">
        <f t="shared" si="106"/>
        <v>0</v>
      </c>
      <c r="D813">
        <f t="shared" si="107"/>
        <v>0</v>
      </c>
      <c r="E813">
        <f t="shared" si="108"/>
        <v>0</v>
      </c>
      <c r="F813">
        <f t="shared" si="109"/>
        <v>1</v>
      </c>
      <c r="G813">
        <f t="shared" si="110"/>
        <v>0</v>
      </c>
      <c r="H813">
        <v>0</v>
      </c>
      <c r="I813">
        <f t="shared" si="111"/>
        <v>0</v>
      </c>
      <c r="J813">
        <v>0</v>
      </c>
      <c r="K813" t="s">
        <v>3819</v>
      </c>
      <c r="L813" t="s">
        <v>3820</v>
      </c>
      <c r="M813" t="s">
        <v>27</v>
      </c>
      <c r="N813" t="s">
        <v>27</v>
      </c>
      <c r="O813">
        <v>25.52</v>
      </c>
      <c r="P813" t="s">
        <v>27</v>
      </c>
      <c r="Q813" t="s">
        <v>27</v>
      </c>
      <c r="R813">
        <v>26.950000762939499</v>
      </c>
      <c r="S813">
        <v>25.059999465942401</v>
      </c>
      <c r="T813">
        <v>5.6016278266906703</v>
      </c>
      <c r="U813" t="s">
        <v>27</v>
      </c>
      <c r="V813">
        <v>-13737999</v>
      </c>
      <c r="W813">
        <v>0.94469600915908802</v>
      </c>
      <c r="X813">
        <v>0.15000000596046401</v>
      </c>
      <c r="Y813">
        <v>3.12690401077271</v>
      </c>
      <c r="Z813">
        <v>2.0779221057891801</v>
      </c>
      <c r="AA813">
        <v>22304000</v>
      </c>
      <c r="AB813" t="s">
        <v>30</v>
      </c>
      <c r="AC813" t="s">
        <v>223</v>
      </c>
      <c r="AD813">
        <v>-7.9999998211860698E-2</v>
      </c>
      <c r="AE813" t="s">
        <v>27</v>
      </c>
      <c r="AF813">
        <v>10.9973334489399</v>
      </c>
      <c r="AG813">
        <v>20376692</v>
      </c>
      <c r="AH813">
        <v>37.788005828857401</v>
      </c>
      <c r="AI813">
        <v>40.274723052978501</v>
      </c>
    </row>
    <row r="814" spans="1:35">
      <c r="A814">
        <f t="shared" si="104"/>
        <v>0</v>
      </c>
      <c r="B814">
        <f t="shared" si="105"/>
        <v>0</v>
      </c>
      <c r="C814">
        <f t="shared" si="106"/>
        <v>0</v>
      </c>
      <c r="D814">
        <f t="shared" si="107"/>
        <v>0</v>
      </c>
      <c r="E814">
        <f t="shared" si="108"/>
        <v>0</v>
      </c>
      <c r="F814">
        <f t="shared" si="109"/>
        <v>0</v>
      </c>
      <c r="G814">
        <f t="shared" si="110"/>
        <v>1</v>
      </c>
      <c r="H814">
        <v>0</v>
      </c>
      <c r="I814">
        <f t="shared" si="111"/>
        <v>0</v>
      </c>
      <c r="J814">
        <v>0</v>
      </c>
      <c r="K814" t="s">
        <v>3833</v>
      </c>
      <c r="L814" t="s">
        <v>3834</v>
      </c>
      <c r="M814" t="s">
        <v>27</v>
      </c>
      <c r="N814" t="s">
        <v>27</v>
      </c>
      <c r="O814">
        <v>7.93</v>
      </c>
      <c r="P814" t="s">
        <v>27</v>
      </c>
      <c r="Q814" t="s">
        <v>27</v>
      </c>
      <c r="R814">
        <v>23.180000305175799</v>
      </c>
      <c r="S814">
        <v>8.4375</v>
      </c>
      <c r="T814">
        <v>9.4994421005249006</v>
      </c>
      <c r="U814">
        <v>35.924354553222699</v>
      </c>
      <c r="V814">
        <v>-4526000</v>
      </c>
      <c r="W814">
        <v>-2.9651799201965301</v>
      </c>
      <c r="X814">
        <v>-0.119999997317791</v>
      </c>
      <c r="Y814">
        <v>-4.8000001907348597</v>
      </c>
      <c r="Z814">
        <v>-3.3515200614929199</v>
      </c>
      <c r="AA814">
        <v>11273000</v>
      </c>
      <c r="AB814" t="s">
        <v>27</v>
      </c>
      <c r="AC814" t="s">
        <v>27</v>
      </c>
      <c r="AD814">
        <v>-0.15000000596046401</v>
      </c>
      <c r="AE814">
        <v>38.289058685302699</v>
      </c>
      <c r="AF814">
        <v>7.9902728476821201</v>
      </c>
      <c r="AG814">
        <v>14583000</v>
      </c>
      <c r="AH814">
        <v>11.673968315124499</v>
      </c>
      <c r="AI814">
        <v>-21.978277206420898</v>
      </c>
    </row>
    <row r="815" spans="1:35">
      <c r="A815">
        <f t="shared" si="104"/>
        <v>0</v>
      </c>
      <c r="B815">
        <f t="shared" si="105"/>
        <v>1</v>
      </c>
      <c r="C815">
        <f t="shared" si="106"/>
        <v>1</v>
      </c>
      <c r="D815">
        <f t="shared" si="107"/>
        <v>0</v>
      </c>
      <c r="E815">
        <f t="shared" si="108"/>
        <v>0</v>
      </c>
      <c r="F815">
        <f t="shared" si="109"/>
        <v>1</v>
      </c>
      <c r="G815">
        <f t="shared" si="110"/>
        <v>1</v>
      </c>
      <c r="H815">
        <v>0</v>
      </c>
      <c r="I815">
        <f t="shared" si="111"/>
        <v>0</v>
      </c>
      <c r="J815">
        <v>0</v>
      </c>
      <c r="K815" t="s">
        <v>3835</v>
      </c>
      <c r="L815" t="s">
        <v>3836</v>
      </c>
      <c r="M815" t="s">
        <v>27</v>
      </c>
      <c r="N815" t="s">
        <v>27</v>
      </c>
      <c r="O815">
        <v>11.16</v>
      </c>
      <c r="P815" t="s">
        <v>27</v>
      </c>
      <c r="Q815" t="s">
        <v>27</v>
      </c>
      <c r="R815">
        <v>16.549999237060501</v>
      </c>
      <c r="S815">
        <v>24.200000762939499</v>
      </c>
      <c r="T815">
        <v>43.2235298156738</v>
      </c>
      <c r="U815">
        <v>58.400501251220703</v>
      </c>
      <c r="V815">
        <v>65978004</v>
      </c>
      <c r="W815">
        <v>0.179358005523682</v>
      </c>
      <c r="X815">
        <v>0.87000000476837203</v>
      </c>
      <c r="Y815">
        <v>2.633455991745</v>
      </c>
      <c r="Z815">
        <v>-5.0151062011718803</v>
      </c>
      <c r="AA815">
        <v>69581160</v>
      </c>
      <c r="AB815" t="s">
        <v>254</v>
      </c>
      <c r="AC815" t="s">
        <v>848</v>
      </c>
      <c r="AD815">
        <v>0.50999999046325695</v>
      </c>
      <c r="AE815">
        <v>74.877601623535199</v>
      </c>
      <c r="AF815">
        <v>7.86743074135864</v>
      </c>
      <c r="AG815">
        <v>70769000</v>
      </c>
      <c r="AH815">
        <v>44.1979370117188</v>
      </c>
      <c r="AI815">
        <v>1.7285250425338701</v>
      </c>
    </row>
    <row r="816" spans="1:35">
      <c r="A816">
        <f t="shared" si="104"/>
        <v>1</v>
      </c>
      <c r="B816">
        <f t="shared" si="105"/>
        <v>1</v>
      </c>
      <c r="C816">
        <f t="shared" si="106"/>
        <v>1</v>
      </c>
      <c r="D816">
        <f t="shared" si="107"/>
        <v>1</v>
      </c>
      <c r="E816">
        <f t="shared" si="108"/>
        <v>0</v>
      </c>
      <c r="F816">
        <f t="shared" si="109"/>
        <v>0</v>
      </c>
      <c r="G816">
        <f t="shared" si="110"/>
        <v>1</v>
      </c>
      <c r="H816">
        <v>0</v>
      </c>
      <c r="I816">
        <f t="shared" si="111"/>
        <v>1</v>
      </c>
      <c r="J816">
        <v>0</v>
      </c>
      <c r="K816" t="s">
        <v>3839</v>
      </c>
      <c r="L816" t="s">
        <v>3840</v>
      </c>
      <c r="M816" t="s">
        <v>27</v>
      </c>
      <c r="N816" t="s">
        <v>27</v>
      </c>
      <c r="O816">
        <v>7.95</v>
      </c>
      <c r="P816" t="s">
        <v>27</v>
      </c>
      <c r="Q816" t="s">
        <v>27</v>
      </c>
      <c r="R816">
        <v>6.25</v>
      </c>
      <c r="S816">
        <v>5.2800002098083496</v>
      </c>
      <c r="T816">
        <v>31.722663879394499</v>
      </c>
      <c r="U816">
        <v>6.1117072105407697</v>
      </c>
      <c r="V816">
        <v>31438000</v>
      </c>
      <c r="W816">
        <v>-22.993921279907202</v>
      </c>
      <c r="X816">
        <v>-0.239999994635582</v>
      </c>
      <c r="Y816">
        <v>-19.574468612670898</v>
      </c>
      <c r="Z816">
        <v>1.84331798553467</v>
      </c>
      <c r="AA816">
        <v>159548992</v>
      </c>
      <c r="AB816" t="s">
        <v>38</v>
      </c>
      <c r="AC816" t="s">
        <v>39</v>
      </c>
      <c r="AD816">
        <v>0.109999999403954</v>
      </c>
      <c r="AE816">
        <v>12.701639175415</v>
      </c>
      <c r="AF816">
        <v>11.7495467143496</v>
      </c>
      <c r="AG816">
        <v>186812000</v>
      </c>
      <c r="AH816">
        <v>18.3993434906006</v>
      </c>
      <c r="AI816">
        <v>-17.644590377807599</v>
      </c>
    </row>
    <row r="817" spans="1:35">
      <c r="A817">
        <f t="shared" si="104"/>
        <v>0</v>
      </c>
      <c r="B817">
        <f t="shared" si="105"/>
        <v>0</v>
      </c>
      <c r="C817">
        <f t="shared" si="106"/>
        <v>1</v>
      </c>
      <c r="D817">
        <f t="shared" si="107"/>
        <v>0</v>
      </c>
      <c r="E817">
        <f t="shared" si="108"/>
        <v>1</v>
      </c>
      <c r="F817">
        <f t="shared" si="109"/>
        <v>1</v>
      </c>
      <c r="G817">
        <f t="shared" si="110"/>
        <v>0</v>
      </c>
      <c r="H817">
        <v>0</v>
      </c>
      <c r="I817">
        <f t="shared" si="111"/>
        <v>1</v>
      </c>
      <c r="J817">
        <v>0</v>
      </c>
      <c r="K817" t="s">
        <v>3843</v>
      </c>
      <c r="L817" t="s">
        <v>3844</v>
      </c>
      <c r="M817" t="s">
        <v>27</v>
      </c>
      <c r="N817" t="s">
        <v>27</v>
      </c>
      <c r="O817">
        <v>15.46</v>
      </c>
      <c r="P817" t="s">
        <v>27</v>
      </c>
      <c r="Q817" t="s">
        <v>27</v>
      </c>
      <c r="R817">
        <v>13.4799995422363</v>
      </c>
      <c r="S817" t="s">
        <v>27</v>
      </c>
      <c r="T817" t="s">
        <v>27</v>
      </c>
      <c r="U817" t="s">
        <v>27</v>
      </c>
      <c r="V817" t="s">
        <v>27</v>
      </c>
      <c r="W817" t="s">
        <v>27</v>
      </c>
      <c r="X817" t="s">
        <v>27</v>
      </c>
      <c r="Y817" t="s">
        <v>27</v>
      </c>
      <c r="Z817" t="s">
        <v>27</v>
      </c>
      <c r="AA817" t="s">
        <v>27</v>
      </c>
      <c r="AB817" t="s">
        <v>34</v>
      </c>
      <c r="AC817" t="s">
        <v>458</v>
      </c>
      <c r="AD817" t="s">
        <v>27</v>
      </c>
      <c r="AE817" t="s">
        <v>27</v>
      </c>
      <c r="AF817" t="s">
        <v>27</v>
      </c>
      <c r="AG817" t="s">
        <v>27</v>
      </c>
      <c r="AH817" t="s">
        <v>27</v>
      </c>
      <c r="AI817">
        <v>0.91198599338531505</v>
      </c>
    </row>
    <row r="818" spans="1:35">
      <c r="A818">
        <f t="shared" si="104"/>
        <v>1</v>
      </c>
      <c r="B818">
        <f t="shared" si="105"/>
        <v>1</v>
      </c>
      <c r="C818">
        <f t="shared" si="106"/>
        <v>0</v>
      </c>
      <c r="D818">
        <f t="shared" si="107"/>
        <v>0</v>
      </c>
      <c r="E818">
        <f t="shared" si="108"/>
        <v>0</v>
      </c>
      <c r="F818">
        <f t="shared" si="109"/>
        <v>1</v>
      </c>
      <c r="G818">
        <f t="shared" si="110"/>
        <v>0</v>
      </c>
      <c r="H818">
        <v>0</v>
      </c>
      <c r="I818">
        <f t="shared" si="111"/>
        <v>0</v>
      </c>
      <c r="J818">
        <v>0</v>
      </c>
      <c r="K818" t="s">
        <v>3845</v>
      </c>
      <c r="L818" t="s">
        <v>3846</v>
      </c>
      <c r="M818" t="s">
        <v>27</v>
      </c>
      <c r="N818" t="s">
        <v>27</v>
      </c>
      <c r="O818">
        <v>6.58</v>
      </c>
      <c r="P818" t="s">
        <v>27</v>
      </c>
      <c r="Q818" t="s">
        <v>27</v>
      </c>
      <c r="R818">
        <v>9.0699996948242205</v>
      </c>
      <c r="S818">
        <v>46.0625</v>
      </c>
      <c r="T818">
        <v>101.63210296630901</v>
      </c>
      <c r="U818">
        <v>72.183624267578097</v>
      </c>
      <c r="V818">
        <v>-31972004</v>
      </c>
      <c r="W818">
        <v>-11.560167312622101</v>
      </c>
      <c r="X818">
        <v>5.9999998658895499E-2</v>
      </c>
      <c r="Y818">
        <v>1.1340349912643399</v>
      </c>
      <c r="Z818">
        <v>-2.6346950531005899</v>
      </c>
      <c r="AA818">
        <v>77969000</v>
      </c>
      <c r="AB818" t="s">
        <v>27</v>
      </c>
      <c r="AC818" t="s">
        <v>27</v>
      </c>
      <c r="AD818">
        <v>-0.85000002384185802</v>
      </c>
      <c r="AE818">
        <v>57.645961761474602</v>
      </c>
      <c r="AF818">
        <v>10.4522752586777</v>
      </c>
      <c r="AG818">
        <v>78763000</v>
      </c>
      <c r="AH818">
        <v>93.507827758789105</v>
      </c>
      <c r="AI818">
        <v>3.90593290328979</v>
      </c>
    </row>
    <row r="819" spans="1:35">
      <c r="A819">
        <f t="shared" si="104"/>
        <v>0</v>
      </c>
      <c r="B819">
        <f t="shared" si="105"/>
        <v>0</v>
      </c>
      <c r="C819">
        <f t="shared" si="106"/>
        <v>1</v>
      </c>
      <c r="D819">
        <f t="shared" si="107"/>
        <v>0</v>
      </c>
      <c r="E819">
        <f t="shared" si="108"/>
        <v>1</v>
      </c>
      <c r="F819">
        <f t="shared" si="109"/>
        <v>1</v>
      </c>
      <c r="G819">
        <f t="shared" si="110"/>
        <v>0</v>
      </c>
      <c r="H819">
        <v>0</v>
      </c>
      <c r="I819">
        <f t="shared" si="111"/>
        <v>0</v>
      </c>
      <c r="J819">
        <v>0</v>
      </c>
      <c r="K819" t="s">
        <v>3849</v>
      </c>
      <c r="L819" t="s">
        <v>3850</v>
      </c>
      <c r="M819" t="s">
        <v>27</v>
      </c>
      <c r="N819" t="s">
        <v>27</v>
      </c>
      <c r="O819">
        <v>13.73</v>
      </c>
      <c r="P819" t="s">
        <v>27</v>
      </c>
      <c r="Q819" t="s">
        <v>27</v>
      </c>
      <c r="R819">
        <v>17.159999847412099</v>
      </c>
      <c r="S819">
        <v>8.4399995803833008</v>
      </c>
      <c r="T819" t="s">
        <v>27</v>
      </c>
      <c r="U819" t="s">
        <v>27</v>
      </c>
      <c r="V819" t="s">
        <v>27</v>
      </c>
      <c r="W819" t="s">
        <v>27</v>
      </c>
      <c r="X819" t="s">
        <v>27</v>
      </c>
      <c r="Y819" t="s">
        <v>27</v>
      </c>
      <c r="Z819" t="s">
        <v>27</v>
      </c>
      <c r="AA819" t="s">
        <v>27</v>
      </c>
      <c r="AB819" t="s">
        <v>52</v>
      </c>
      <c r="AC819" t="s">
        <v>134</v>
      </c>
      <c r="AD819" t="s">
        <v>27</v>
      </c>
      <c r="AE819" t="s">
        <v>27</v>
      </c>
      <c r="AF819" t="s">
        <v>27</v>
      </c>
      <c r="AG819" t="s">
        <v>27</v>
      </c>
      <c r="AH819" t="s">
        <v>27</v>
      </c>
      <c r="AI819" t="s">
        <v>27</v>
      </c>
    </row>
    <row r="820" spans="1:35">
      <c r="A820">
        <f t="shared" si="104"/>
        <v>1</v>
      </c>
      <c r="B820">
        <f t="shared" si="105"/>
        <v>0</v>
      </c>
      <c r="C820">
        <f t="shared" si="106"/>
        <v>1</v>
      </c>
      <c r="D820">
        <f t="shared" si="107"/>
        <v>0</v>
      </c>
      <c r="E820">
        <f t="shared" si="108"/>
        <v>0</v>
      </c>
      <c r="F820">
        <f t="shared" si="109"/>
        <v>0</v>
      </c>
      <c r="G820">
        <f t="shared" si="110"/>
        <v>0</v>
      </c>
      <c r="H820">
        <v>0</v>
      </c>
      <c r="I820">
        <f t="shared" si="111"/>
        <v>0</v>
      </c>
      <c r="J820">
        <v>0</v>
      </c>
      <c r="K820" t="s">
        <v>3857</v>
      </c>
      <c r="L820" t="s">
        <v>3858</v>
      </c>
      <c r="M820" t="s">
        <v>27</v>
      </c>
      <c r="N820" t="s">
        <v>27</v>
      </c>
      <c r="O820">
        <v>8.2899999999999991</v>
      </c>
      <c r="P820">
        <v>11.6943254470825</v>
      </c>
      <c r="Q820" t="s">
        <v>27</v>
      </c>
      <c r="R820">
        <v>9.5699996948242205</v>
      </c>
      <c r="S820">
        <v>7.0625</v>
      </c>
      <c r="T820">
        <v>34.129653930664098</v>
      </c>
      <c r="U820">
        <v>30.045219421386701</v>
      </c>
      <c r="V820">
        <v>2620000</v>
      </c>
      <c r="W820">
        <v>4.3975777626037598</v>
      </c>
      <c r="X820">
        <v>5.0000000745058101E-2</v>
      </c>
      <c r="Y820">
        <v>5.8723402023315403</v>
      </c>
      <c r="Z820">
        <v>-2.51889204978943</v>
      </c>
      <c r="AA820">
        <v>23120000</v>
      </c>
      <c r="AB820" t="s">
        <v>27</v>
      </c>
      <c r="AC820" t="s">
        <v>27</v>
      </c>
      <c r="AD820">
        <v>-0.119999997317791</v>
      </c>
      <c r="AE820">
        <v>28.6013298034668</v>
      </c>
      <c r="AF820">
        <v>8.9926919531298299</v>
      </c>
      <c r="AG820">
        <v>24701000</v>
      </c>
      <c r="AH820">
        <v>33.745960235595703</v>
      </c>
      <c r="AI820">
        <v>-4.1286787986755398</v>
      </c>
    </row>
    <row r="821" spans="1:35">
      <c r="A821">
        <f t="shared" si="104"/>
        <v>0</v>
      </c>
      <c r="B821">
        <f t="shared" si="105"/>
        <v>0</v>
      </c>
      <c r="C821">
        <f t="shared" si="106"/>
        <v>1</v>
      </c>
      <c r="D821">
        <f t="shared" si="107"/>
        <v>0</v>
      </c>
      <c r="E821">
        <f t="shared" si="108"/>
        <v>1</v>
      </c>
      <c r="F821">
        <f t="shared" si="109"/>
        <v>1</v>
      </c>
      <c r="G821">
        <f t="shared" si="110"/>
        <v>0</v>
      </c>
      <c r="H821">
        <v>0</v>
      </c>
      <c r="I821">
        <f t="shared" si="111"/>
        <v>1</v>
      </c>
      <c r="J821">
        <v>0</v>
      </c>
      <c r="K821" t="s">
        <v>3861</v>
      </c>
      <c r="L821" t="s">
        <v>3862</v>
      </c>
      <c r="M821" t="s">
        <v>27</v>
      </c>
      <c r="N821" t="s">
        <v>27</v>
      </c>
      <c r="O821">
        <v>13.98</v>
      </c>
      <c r="P821" t="s">
        <v>27</v>
      </c>
      <c r="Q821" t="s">
        <v>27</v>
      </c>
      <c r="R821">
        <v>8.5738465816710594</v>
      </c>
      <c r="S821">
        <v>5.1256693521153904</v>
      </c>
      <c r="T821" t="s">
        <v>27</v>
      </c>
      <c r="U821" t="s">
        <v>27</v>
      </c>
      <c r="V821" t="s">
        <v>27</v>
      </c>
      <c r="W821" t="s">
        <v>27</v>
      </c>
      <c r="X821" t="s">
        <v>27</v>
      </c>
      <c r="Y821" t="s">
        <v>27</v>
      </c>
      <c r="Z821" t="s">
        <v>27</v>
      </c>
      <c r="AA821" t="s">
        <v>27</v>
      </c>
      <c r="AB821" t="s">
        <v>27</v>
      </c>
      <c r="AC821" t="s">
        <v>27</v>
      </c>
      <c r="AD821" t="s">
        <v>27</v>
      </c>
      <c r="AE821" t="s">
        <v>27</v>
      </c>
      <c r="AF821" t="s">
        <v>27</v>
      </c>
      <c r="AG821" t="s">
        <v>27</v>
      </c>
      <c r="AH821" t="s">
        <v>27</v>
      </c>
      <c r="AI821" t="s">
        <v>27</v>
      </c>
    </row>
    <row r="822" spans="1:35">
      <c r="A822">
        <f t="shared" si="104"/>
        <v>0</v>
      </c>
      <c r="B822">
        <f t="shared" si="105"/>
        <v>1</v>
      </c>
      <c r="C822">
        <f t="shared" si="106"/>
        <v>0</v>
      </c>
      <c r="D822">
        <f t="shared" si="107"/>
        <v>1</v>
      </c>
      <c r="E822">
        <f t="shared" si="108"/>
        <v>0</v>
      </c>
      <c r="F822">
        <f t="shared" si="109"/>
        <v>0</v>
      </c>
      <c r="G822">
        <f t="shared" si="110"/>
        <v>0</v>
      </c>
      <c r="H822">
        <v>0</v>
      </c>
      <c r="I822">
        <f t="shared" si="111"/>
        <v>0</v>
      </c>
      <c r="J822">
        <v>0</v>
      </c>
      <c r="K822" t="s">
        <v>3863</v>
      </c>
      <c r="L822" t="s">
        <v>3864</v>
      </c>
      <c r="M822" t="s">
        <v>27</v>
      </c>
      <c r="N822" t="s">
        <v>27</v>
      </c>
      <c r="O822">
        <v>0.23</v>
      </c>
      <c r="P822">
        <v>-8.0869140625</v>
      </c>
      <c r="Q822" t="s">
        <v>27</v>
      </c>
      <c r="R822">
        <v>0.70999997854232799</v>
      </c>
      <c r="S822">
        <v>2.3099999427795401</v>
      </c>
      <c r="T822">
        <v>54.105308532714801</v>
      </c>
      <c r="U822">
        <v>25.988460540771499</v>
      </c>
      <c r="V822">
        <v>-44708000</v>
      </c>
      <c r="W822">
        <v>-14.8686742782593</v>
      </c>
      <c r="X822">
        <v>-0.87000000476837203</v>
      </c>
      <c r="Y822">
        <v>-47.448276519775398</v>
      </c>
      <c r="Z822">
        <v>-116.92307281494099</v>
      </c>
      <c r="AA822">
        <v>167414992</v>
      </c>
      <c r="AB822" t="s">
        <v>27</v>
      </c>
      <c r="AC822" t="s">
        <v>27</v>
      </c>
      <c r="AD822">
        <v>-0.66000002622604403</v>
      </c>
      <c r="AE822">
        <v>20.3076076507568</v>
      </c>
      <c r="AF822">
        <v>9.8386074884399992</v>
      </c>
      <c r="AG822">
        <v>167868000</v>
      </c>
      <c r="AH822">
        <v>58.305366516113303</v>
      </c>
      <c r="AI822">
        <v>-4.96803903579712</v>
      </c>
    </row>
    <row r="823" spans="1:35">
      <c r="A823">
        <f t="shared" si="104"/>
        <v>1</v>
      </c>
      <c r="B823">
        <f t="shared" si="105"/>
        <v>0</v>
      </c>
      <c r="C823">
        <f t="shared" si="106"/>
        <v>1</v>
      </c>
      <c r="D823">
        <f t="shared" si="107"/>
        <v>0</v>
      </c>
      <c r="E823">
        <f t="shared" si="108"/>
        <v>0</v>
      </c>
      <c r="F823">
        <f t="shared" si="109"/>
        <v>0</v>
      </c>
      <c r="G823">
        <f t="shared" si="110"/>
        <v>0</v>
      </c>
      <c r="H823">
        <v>0</v>
      </c>
      <c r="I823">
        <f t="shared" si="111"/>
        <v>0</v>
      </c>
      <c r="J823">
        <v>0</v>
      </c>
      <c r="K823" t="s">
        <v>3865</v>
      </c>
      <c r="L823" t="s">
        <v>3866</v>
      </c>
      <c r="M823" t="s">
        <v>27</v>
      </c>
      <c r="N823" t="s">
        <v>27</v>
      </c>
      <c r="O823">
        <v>3.41</v>
      </c>
      <c r="P823" t="s">
        <v>27</v>
      </c>
      <c r="Q823" t="s">
        <v>27</v>
      </c>
      <c r="R823">
        <v>18.0200004577637</v>
      </c>
      <c r="S823">
        <v>38</v>
      </c>
      <c r="T823">
        <v>14.7609510421753</v>
      </c>
      <c r="U823">
        <v>77.513542175292997</v>
      </c>
      <c r="V823">
        <v>166999.8125</v>
      </c>
      <c r="W823">
        <v>2.3059558868408199</v>
      </c>
      <c r="X823">
        <v>-0.21999999880790699</v>
      </c>
      <c r="Y823">
        <v>0.94977200031280495</v>
      </c>
      <c r="Z823">
        <v>1.1157599687576301</v>
      </c>
      <c r="AA823">
        <v>75843000</v>
      </c>
      <c r="AB823" t="s">
        <v>27</v>
      </c>
      <c r="AC823" t="s">
        <v>27</v>
      </c>
      <c r="AD823">
        <v>-0.25</v>
      </c>
      <c r="AE823">
        <v>75.067687988281307</v>
      </c>
      <c r="AF823" t="s">
        <v>27</v>
      </c>
      <c r="AG823">
        <v>77970000</v>
      </c>
      <c r="AH823">
        <v>13.846244812011699</v>
      </c>
      <c r="AI823">
        <v>-9.7152786254882795</v>
      </c>
    </row>
    <row r="824" spans="1:35">
      <c r="A824">
        <f t="shared" si="104"/>
        <v>0</v>
      </c>
      <c r="B824">
        <f t="shared" si="105"/>
        <v>1</v>
      </c>
      <c r="C824">
        <f t="shared" si="106"/>
        <v>0</v>
      </c>
      <c r="D824">
        <f t="shared" si="107"/>
        <v>0</v>
      </c>
      <c r="E824">
        <f t="shared" si="108"/>
        <v>0</v>
      </c>
      <c r="F824">
        <f t="shared" si="109"/>
        <v>0</v>
      </c>
      <c r="G824">
        <f t="shared" si="110"/>
        <v>1</v>
      </c>
      <c r="H824">
        <v>0</v>
      </c>
      <c r="I824">
        <f t="shared" si="111"/>
        <v>0</v>
      </c>
      <c r="J824">
        <v>0</v>
      </c>
      <c r="K824" t="s">
        <v>3873</v>
      </c>
      <c r="L824" t="s">
        <v>3874</v>
      </c>
      <c r="M824" t="s">
        <v>27</v>
      </c>
      <c r="N824" t="s">
        <v>27</v>
      </c>
      <c r="O824">
        <v>3.4319999999999999</v>
      </c>
      <c r="P824" t="s">
        <v>27</v>
      </c>
      <c r="Q824" t="s">
        <v>27</v>
      </c>
      <c r="R824">
        <v>12.800000190734901</v>
      </c>
      <c r="S824">
        <v>15.8125</v>
      </c>
      <c r="T824">
        <v>0</v>
      </c>
      <c r="U824">
        <v>81.375358581542997</v>
      </c>
      <c r="V824">
        <v>-106000.0078125</v>
      </c>
      <c r="W824">
        <v>-88.272735595703097</v>
      </c>
      <c r="X824">
        <v>0</v>
      </c>
      <c r="Y824" t="s">
        <v>27</v>
      </c>
      <c r="Z824">
        <v>-0.122698999941349</v>
      </c>
      <c r="AA824">
        <v>21807000</v>
      </c>
      <c r="AB824" t="s">
        <v>27</v>
      </c>
      <c r="AC824" t="s">
        <v>27</v>
      </c>
      <c r="AD824">
        <v>0</v>
      </c>
      <c r="AE824">
        <v>82.969490051269503</v>
      </c>
      <c r="AF824">
        <v>6.1310233511783103</v>
      </c>
      <c r="AG824">
        <v>22393000</v>
      </c>
      <c r="AH824">
        <v>0</v>
      </c>
      <c r="AI824">
        <v>-4.5504522323608398</v>
      </c>
    </row>
    <row r="825" spans="1:35">
      <c r="A825">
        <f t="shared" si="104"/>
        <v>0</v>
      </c>
      <c r="B825">
        <f t="shared" si="105"/>
        <v>1</v>
      </c>
      <c r="C825">
        <f t="shared" si="106"/>
        <v>0</v>
      </c>
      <c r="D825">
        <f t="shared" si="107"/>
        <v>1</v>
      </c>
      <c r="E825">
        <f t="shared" si="108"/>
        <v>0</v>
      </c>
      <c r="F825">
        <f t="shared" si="109"/>
        <v>0</v>
      </c>
      <c r="G825">
        <f t="shared" si="110"/>
        <v>1</v>
      </c>
      <c r="H825">
        <v>0</v>
      </c>
      <c r="I825">
        <f t="shared" si="111"/>
        <v>0</v>
      </c>
      <c r="J825">
        <v>0</v>
      </c>
      <c r="K825" t="s">
        <v>3879</v>
      </c>
      <c r="L825" t="s">
        <v>3880</v>
      </c>
      <c r="M825" t="s">
        <v>27</v>
      </c>
      <c r="N825" t="s">
        <v>27</v>
      </c>
      <c r="O825">
        <v>3.25</v>
      </c>
      <c r="P825" t="s">
        <v>27</v>
      </c>
      <c r="Q825" t="s">
        <v>27</v>
      </c>
      <c r="R825">
        <v>9.9099998474121094</v>
      </c>
      <c r="S825">
        <v>3.5625</v>
      </c>
      <c r="T825">
        <v>0</v>
      </c>
      <c r="U825">
        <v>59.1781196594238</v>
      </c>
      <c r="V825">
        <v>-2830000</v>
      </c>
      <c r="W825">
        <v>-107.335578918457</v>
      </c>
      <c r="X825">
        <v>-0.15000000596046401</v>
      </c>
      <c r="Y825">
        <v>-332</v>
      </c>
      <c r="Z825">
        <v>-3.0303030014038099</v>
      </c>
      <c r="AA825">
        <v>17496000</v>
      </c>
      <c r="AB825" t="s">
        <v>27</v>
      </c>
      <c r="AC825" t="s">
        <v>27</v>
      </c>
      <c r="AD825">
        <v>-5.0000000745058101E-2</v>
      </c>
      <c r="AE825">
        <v>70.458404541015597</v>
      </c>
      <c r="AF825">
        <v>13.5308858610677</v>
      </c>
      <c r="AG825">
        <v>22433000</v>
      </c>
      <c r="AH825">
        <v>18.170751571655298</v>
      </c>
      <c r="AI825">
        <v>-70.859764099121094</v>
      </c>
    </row>
    <row r="826" spans="1:35">
      <c r="A826">
        <f t="shared" si="104"/>
        <v>0</v>
      </c>
      <c r="B826">
        <f t="shared" si="105"/>
        <v>0</v>
      </c>
      <c r="C826">
        <f t="shared" si="106"/>
        <v>1</v>
      </c>
      <c r="D826">
        <f t="shared" si="107"/>
        <v>1</v>
      </c>
      <c r="E826">
        <f t="shared" si="108"/>
        <v>0</v>
      </c>
      <c r="F826">
        <f t="shared" si="109"/>
        <v>1</v>
      </c>
      <c r="G826">
        <f t="shared" si="110"/>
        <v>0</v>
      </c>
      <c r="H826">
        <v>0</v>
      </c>
      <c r="I826">
        <f t="shared" si="111"/>
        <v>1</v>
      </c>
      <c r="J826">
        <v>0</v>
      </c>
      <c r="K826" t="s">
        <v>3887</v>
      </c>
      <c r="L826" t="s">
        <v>3888</v>
      </c>
      <c r="M826" t="s">
        <v>27</v>
      </c>
      <c r="N826" t="s">
        <v>27</v>
      </c>
      <c r="O826">
        <v>20.100000000000001</v>
      </c>
      <c r="P826" t="s">
        <v>27</v>
      </c>
      <c r="Q826" t="s">
        <v>27</v>
      </c>
      <c r="R826">
        <v>18.149999618530298</v>
      </c>
      <c r="S826">
        <v>9.2899999618530291</v>
      </c>
      <c r="T826" t="s">
        <v>27</v>
      </c>
      <c r="U826">
        <v>4.7309660911560103</v>
      </c>
      <c r="V826">
        <v>13091000</v>
      </c>
      <c r="W826" t="s">
        <v>27</v>
      </c>
      <c r="X826">
        <v>0.10000000149011599</v>
      </c>
      <c r="Y826">
        <v>7.0666670799255398</v>
      </c>
      <c r="Z826">
        <v>11.6004295349121</v>
      </c>
      <c r="AA826">
        <v>12537000</v>
      </c>
      <c r="AB826" t="s">
        <v>328</v>
      </c>
      <c r="AC826" t="s">
        <v>329</v>
      </c>
      <c r="AD826">
        <v>0.31999999284744302</v>
      </c>
      <c r="AE826">
        <v>4.4323158264160201</v>
      </c>
      <c r="AF826" t="s">
        <v>27</v>
      </c>
      <c r="AG826">
        <v>12540000</v>
      </c>
      <c r="AH826" t="s">
        <v>27</v>
      </c>
      <c r="AI826">
        <v>4.7373709678649902</v>
      </c>
    </row>
    <row r="827" spans="1:35">
      <c r="A827">
        <f t="shared" si="104"/>
        <v>1</v>
      </c>
      <c r="B827">
        <f t="shared" si="105"/>
        <v>0</v>
      </c>
      <c r="C827">
        <f t="shared" si="106"/>
        <v>1</v>
      </c>
      <c r="D827">
        <f t="shared" si="107"/>
        <v>0</v>
      </c>
      <c r="E827">
        <f t="shared" si="108"/>
        <v>0</v>
      </c>
      <c r="F827">
        <f t="shared" si="109"/>
        <v>0</v>
      </c>
      <c r="G827">
        <f t="shared" si="110"/>
        <v>0</v>
      </c>
      <c r="H827">
        <v>0</v>
      </c>
      <c r="I827">
        <f t="shared" si="111"/>
        <v>1</v>
      </c>
      <c r="J827">
        <v>0</v>
      </c>
      <c r="K827" t="s">
        <v>3893</v>
      </c>
      <c r="L827" t="s">
        <v>3894</v>
      </c>
      <c r="M827" t="s">
        <v>27</v>
      </c>
      <c r="N827" t="s">
        <v>27</v>
      </c>
      <c r="O827">
        <v>2.42</v>
      </c>
      <c r="P827">
        <v>28.3246154785156</v>
      </c>
      <c r="Q827" t="s">
        <v>27</v>
      </c>
      <c r="R827">
        <v>2.21000003814697</v>
      </c>
      <c r="S827">
        <v>1.9700000286102299</v>
      </c>
      <c r="T827">
        <v>12.7988691329956</v>
      </c>
      <c r="U827">
        <v>35.495311737060497</v>
      </c>
      <c r="V827">
        <v>77600000</v>
      </c>
      <c r="W827">
        <v>5.3833508491516104</v>
      </c>
      <c r="X827">
        <v>0.50999999046325695</v>
      </c>
      <c r="Y827">
        <v>29.381818771362301</v>
      </c>
      <c r="Z827">
        <v>21.935483932495099</v>
      </c>
      <c r="AA827">
        <v>65403000</v>
      </c>
      <c r="AB827" t="s">
        <v>52</v>
      </c>
      <c r="AC827" t="s">
        <v>53</v>
      </c>
      <c r="AD827">
        <v>0.30000001192092901</v>
      </c>
      <c r="AE827">
        <v>31.823255538940401</v>
      </c>
      <c r="AF827" t="s">
        <v>27</v>
      </c>
      <c r="AG827">
        <v>65457000</v>
      </c>
      <c r="AH827">
        <v>2.3624370098114</v>
      </c>
      <c r="AI827">
        <v>-3.5454549789428702</v>
      </c>
    </row>
    <row r="828" spans="1:35">
      <c r="A828">
        <f t="shared" si="104"/>
        <v>1</v>
      </c>
      <c r="B828">
        <f t="shared" si="105"/>
        <v>0</v>
      </c>
      <c r="C828">
        <f t="shared" si="106"/>
        <v>0</v>
      </c>
      <c r="D828">
        <f t="shared" si="107"/>
        <v>0</v>
      </c>
      <c r="E828">
        <f t="shared" si="108"/>
        <v>0</v>
      </c>
      <c r="F828">
        <f t="shared" si="109"/>
        <v>1</v>
      </c>
      <c r="G828">
        <f t="shared" si="110"/>
        <v>0</v>
      </c>
      <c r="H828">
        <v>0</v>
      </c>
      <c r="I828">
        <f t="shared" si="111"/>
        <v>0</v>
      </c>
      <c r="J828">
        <v>0</v>
      </c>
      <c r="K828" t="s">
        <v>3895</v>
      </c>
      <c r="L828" t="s">
        <v>3896</v>
      </c>
      <c r="M828" t="s">
        <v>27</v>
      </c>
      <c r="N828" t="s">
        <v>27</v>
      </c>
      <c r="O828">
        <v>14.03</v>
      </c>
      <c r="P828" t="s">
        <v>27</v>
      </c>
      <c r="Q828" t="s">
        <v>27</v>
      </c>
      <c r="R828">
        <v>16.959999084472699</v>
      </c>
      <c r="S828" t="s">
        <v>27</v>
      </c>
      <c r="T828" t="s">
        <v>27</v>
      </c>
      <c r="U828" t="s">
        <v>27</v>
      </c>
      <c r="V828">
        <v>-8727000</v>
      </c>
      <c r="W828" t="s">
        <v>27</v>
      </c>
      <c r="X828" t="s">
        <v>27</v>
      </c>
      <c r="Y828" t="s">
        <v>27</v>
      </c>
      <c r="Z828" t="s">
        <v>27</v>
      </c>
      <c r="AA828" t="s">
        <v>27</v>
      </c>
      <c r="AB828" t="s">
        <v>73</v>
      </c>
      <c r="AC828" t="s">
        <v>74</v>
      </c>
      <c r="AD828">
        <v>-0.119999997317791</v>
      </c>
      <c r="AE828">
        <v>71.035789489746094</v>
      </c>
      <c r="AF828">
        <v>11.331426951264</v>
      </c>
      <c r="AG828">
        <v>28299</v>
      </c>
      <c r="AH828">
        <v>11.684262275695801</v>
      </c>
      <c r="AI828" t="s">
        <v>27</v>
      </c>
    </row>
    <row r="829" spans="1:35">
      <c r="A829">
        <f t="shared" si="104"/>
        <v>0</v>
      </c>
      <c r="B829">
        <f t="shared" si="105"/>
        <v>1</v>
      </c>
      <c r="C829">
        <f t="shared" si="106"/>
        <v>0</v>
      </c>
      <c r="D829">
        <f t="shared" si="107"/>
        <v>1</v>
      </c>
      <c r="E829">
        <f t="shared" si="108"/>
        <v>0</v>
      </c>
      <c r="F829">
        <f t="shared" si="109"/>
        <v>0</v>
      </c>
      <c r="G829">
        <f t="shared" si="110"/>
        <v>0</v>
      </c>
      <c r="H829">
        <v>0</v>
      </c>
      <c r="I829">
        <f t="shared" si="111"/>
        <v>0</v>
      </c>
      <c r="J829">
        <v>0</v>
      </c>
      <c r="K829" t="s">
        <v>3905</v>
      </c>
      <c r="L829" t="s">
        <v>3906</v>
      </c>
      <c r="M829" t="s">
        <v>27</v>
      </c>
      <c r="N829" t="s">
        <v>27</v>
      </c>
      <c r="O829">
        <v>4.59</v>
      </c>
      <c r="P829" t="s">
        <v>27</v>
      </c>
      <c r="Q829" t="s">
        <v>27</v>
      </c>
      <c r="R829">
        <v>11.3599996566772</v>
      </c>
      <c r="S829">
        <v>18.875</v>
      </c>
      <c r="T829">
        <v>20.589551925659201</v>
      </c>
      <c r="U829" t="s">
        <v>27</v>
      </c>
      <c r="V829">
        <v>-94924000</v>
      </c>
      <c r="W829">
        <v>-10.761964797973601</v>
      </c>
      <c r="X829">
        <v>-3.2599999904632599</v>
      </c>
      <c r="Y829" t="s">
        <v>27</v>
      </c>
      <c r="Z829" t="s">
        <v>27</v>
      </c>
      <c r="AA829">
        <v>50592000</v>
      </c>
      <c r="AB829" t="s">
        <v>27</v>
      </c>
      <c r="AC829" t="s">
        <v>27</v>
      </c>
      <c r="AD829">
        <v>-1.1399999856948899</v>
      </c>
      <c r="AE829">
        <v>-2019900</v>
      </c>
      <c r="AF829" t="s">
        <v>27</v>
      </c>
      <c r="AG829">
        <v>62781000</v>
      </c>
      <c r="AH829">
        <v>27.248491287231399</v>
      </c>
      <c r="AI829">
        <v>-5.7368721961975098</v>
      </c>
    </row>
    <row r="830" spans="1:35">
      <c r="A830">
        <f t="shared" si="104"/>
        <v>0</v>
      </c>
      <c r="B830">
        <f t="shared" si="105"/>
        <v>0</v>
      </c>
      <c r="C830">
        <f t="shared" si="106"/>
        <v>1</v>
      </c>
      <c r="D830">
        <f t="shared" si="107"/>
        <v>0</v>
      </c>
      <c r="E830">
        <f t="shared" si="108"/>
        <v>0</v>
      </c>
      <c r="F830">
        <f t="shared" si="109"/>
        <v>1</v>
      </c>
      <c r="G830">
        <f t="shared" si="110"/>
        <v>1</v>
      </c>
      <c r="H830">
        <v>0</v>
      </c>
      <c r="I830">
        <f t="shared" si="111"/>
        <v>0</v>
      </c>
      <c r="J830">
        <v>0</v>
      </c>
      <c r="K830" t="s">
        <v>3911</v>
      </c>
      <c r="L830" t="s">
        <v>3912</v>
      </c>
      <c r="M830" t="s">
        <v>27</v>
      </c>
      <c r="N830" t="s">
        <v>27</v>
      </c>
      <c r="O830">
        <v>13.78</v>
      </c>
      <c r="P830" t="s">
        <v>27</v>
      </c>
      <c r="Q830" t="s">
        <v>27</v>
      </c>
      <c r="R830">
        <v>18.200000762939499</v>
      </c>
      <c r="S830">
        <v>33.9375</v>
      </c>
      <c r="T830">
        <v>79.459365844726605</v>
      </c>
      <c r="U830">
        <v>79.448677062988295</v>
      </c>
      <c r="V830">
        <v>7116001</v>
      </c>
      <c r="W830" t="s">
        <v>27</v>
      </c>
      <c r="X830">
        <v>0.38999998569488498</v>
      </c>
      <c r="Y830" t="s">
        <v>27</v>
      </c>
      <c r="Z830" t="s">
        <v>27</v>
      </c>
      <c r="AA830">
        <v>13493000</v>
      </c>
      <c r="AB830" t="s">
        <v>27</v>
      </c>
      <c r="AC830" t="s">
        <v>27</v>
      </c>
      <c r="AD830">
        <v>0.30000001192092901</v>
      </c>
      <c r="AE830">
        <v>80.161216735839801</v>
      </c>
      <c r="AF830" t="s">
        <v>27</v>
      </c>
      <c r="AG830">
        <v>16546000</v>
      </c>
      <c r="AH830">
        <v>82.109344482421903</v>
      </c>
      <c r="AI830" t="s">
        <v>27</v>
      </c>
    </row>
    <row r="831" spans="1:35">
      <c r="A831">
        <f t="shared" si="104"/>
        <v>0</v>
      </c>
      <c r="B831">
        <f t="shared" si="105"/>
        <v>0</v>
      </c>
      <c r="C831">
        <f t="shared" si="106"/>
        <v>1</v>
      </c>
      <c r="D831">
        <f t="shared" si="107"/>
        <v>0</v>
      </c>
      <c r="E831">
        <f t="shared" si="108"/>
        <v>0</v>
      </c>
      <c r="F831">
        <f t="shared" si="109"/>
        <v>0</v>
      </c>
      <c r="G831">
        <f t="shared" si="110"/>
        <v>0</v>
      </c>
      <c r="H831">
        <v>0</v>
      </c>
      <c r="I831">
        <f t="shared" si="111"/>
        <v>0</v>
      </c>
      <c r="J831">
        <v>0</v>
      </c>
      <c r="K831" t="s">
        <v>3917</v>
      </c>
      <c r="L831" t="s">
        <v>3918</v>
      </c>
      <c r="M831" t="s">
        <v>27</v>
      </c>
      <c r="N831" t="s">
        <v>27</v>
      </c>
      <c r="O831">
        <v>21.1</v>
      </c>
      <c r="P831" t="s">
        <v>27</v>
      </c>
      <c r="Q831" t="s">
        <v>27</v>
      </c>
      <c r="R831">
        <v>30.399999618530298</v>
      </c>
      <c r="S831">
        <v>30.299999237060501</v>
      </c>
      <c r="T831">
        <v>5.2926378250122097</v>
      </c>
      <c r="U831" t="s">
        <v>27</v>
      </c>
      <c r="V831">
        <v>13230999</v>
      </c>
      <c r="W831">
        <v>3.1893770694732702</v>
      </c>
      <c r="X831">
        <v>-0.70999997854232799</v>
      </c>
      <c r="Y831">
        <v>-10.6057138442993</v>
      </c>
      <c r="Z831">
        <v>-6.6585359573364302</v>
      </c>
      <c r="AA831">
        <v>17203000</v>
      </c>
      <c r="AB831" t="s">
        <v>27</v>
      </c>
      <c r="AC831" t="s">
        <v>27</v>
      </c>
      <c r="AD831">
        <v>-1.1000000238418599</v>
      </c>
      <c r="AE831" t="s">
        <v>27</v>
      </c>
      <c r="AF831" t="s">
        <v>27</v>
      </c>
      <c r="AG831">
        <v>17532000</v>
      </c>
      <c r="AH831">
        <v>9.0909919738769496</v>
      </c>
      <c r="AI831">
        <v>-3.0729069709777801</v>
      </c>
    </row>
    <row r="832" spans="1:35">
      <c r="A832">
        <f t="shared" si="104"/>
        <v>0</v>
      </c>
      <c r="B832">
        <f t="shared" si="105"/>
        <v>0</v>
      </c>
      <c r="C832">
        <f t="shared" si="106"/>
        <v>0</v>
      </c>
      <c r="D832">
        <f t="shared" si="107"/>
        <v>0</v>
      </c>
      <c r="E832">
        <f t="shared" si="108"/>
        <v>0</v>
      </c>
      <c r="F832">
        <f t="shared" si="109"/>
        <v>0</v>
      </c>
      <c r="G832">
        <f t="shared" si="110"/>
        <v>0</v>
      </c>
      <c r="H832">
        <v>0</v>
      </c>
      <c r="I832">
        <f t="shared" si="111"/>
        <v>0</v>
      </c>
      <c r="J832">
        <v>0</v>
      </c>
      <c r="K832" t="s">
        <v>3925</v>
      </c>
      <c r="L832" t="s">
        <v>3926</v>
      </c>
      <c r="M832" t="s">
        <v>27</v>
      </c>
      <c r="N832" t="s">
        <v>27</v>
      </c>
      <c r="O832">
        <v>10.85</v>
      </c>
      <c r="P832">
        <v>4.4051108360290501</v>
      </c>
      <c r="Q832" t="s">
        <v>27</v>
      </c>
      <c r="R832">
        <v>20.099999745686802</v>
      </c>
      <c r="S832">
        <v>11.8333333333333</v>
      </c>
      <c r="T832">
        <v>0</v>
      </c>
      <c r="U832">
        <v>53.618724822997997</v>
      </c>
      <c r="V832">
        <v>-635000</v>
      </c>
      <c r="W832">
        <v>5.7494878768920898</v>
      </c>
      <c r="X832">
        <v>0.113333334525426</v>
      </c>
      <c r="Y832">
        <v>1.92820501327515</v>
      </c>
      <c r="Z832">
        <v>0.825764000415802</v>
      </c>
      <c r="AA832">
        <v>22047000</v>
      </c>
      <c r="AB832" t="s">
        <v>27</v>
      </c>
      <c r="AC832" t="s">
        <v>27</v>
      </c>
      <c r="AD832">
        <v>-0.30666667222976701</v>
      </c>
      <c r="AE832">
        <v>37.644618988037102</v>
      </c>
      <c r="AF832">
        <v>12.1646532166643</v>
      </c>
      <c r="AG832">
        <v>26356500</v>
      </c>
      <c r="AH832">
        <v>0</v>
      </c>
      <c r="AI832">
        <v>-7.6053538322448704</v>
      </c>
    </row>
    <row r="833" spans="1:35">
      <c r="A833">
        <f t="shared" si="104"/>
        <v>0</v>
      </c>
      <c r="B833">
        <f t="shared" si="105"/>
        <v>0</v>
      </c>
      <c r="C833">
        <f t="shared" si="106"/>
        <v>0</v>
      </c>
      <c r="D833">
        <f t="shared" si="107"/>
        <v>1</v>
      </c>
      <c r="E833">
        <f t="shared" si="108"/>
        <v>0</v>
      </c>
      <c r="F833">
        <f t="shared" si="109"/>
        <v>1</v>
      </c>
      <c r="G833">
        <f t="shared" si="110"/>
        <v>1</v>
      </c>
      <c r="H833">
        <v>0</v>
      </c>
      <c r="I833">
        <f t="shared" si="111"/>
        <v>0</v>
      </c>
      <c r="J833">
        <v>0</v>
      </c>
      <c r="K833" t="s">
        <v>3927</v>
      </c>
      <c r="L833" t="s">
        <v>3928</v>
      </c>
      <c r="M833" t="s">
        <v>27</v>
      </c>
      <c r="N833" t="s">
        <v>27</v>
      </c>
      <c r="O833">
        <v>6.24</v>
      </c>
      <c r="P833" t="s">
        <v>27</v>
      </c>
      <c r="Q833" t="s">
        <v>27</v>
      </c>
      <c r="R833">
        <v>14.5</v>
      </c>
      <c r="S833">
        <v>44.5</v>
      </c>
      <c r="T833">
        <v>8.8270999491214794E-2</v>
      </c>
      <c r="U833">
        <v>23.833267211914102</v>
      </c>
      <c r="V833">
        <v>-1934000</v>
      </c>
      <c r="W833">
        <v>16.322557449340799</v>
      </c>
      <c r="X833">
        <v>-1.16999995708466</v>
      </c>
      <c r="Y833" t="s">
        <v>27</v>
      </c>
      <c r="Z833" t="s">
        <v>27</v>
      </c>
      <c r="AA833">
        <v>14234000</v>
      </c>
      <c r="AB833" t="s">
        <v>27</v>
      </c>
      <c r="AC833" t="s">
        <v>27</v>
      </c>
      <c r="AD833">
        <v>0.270000010728836</v>
      </c>
      <c r="AE833">
        <v>47.795085906982401</v>
      </c>
      <c r="AF833" t="s">
        <v>27</v>
      </c>
      <c r="AG833">
        <v>17357000</v>
      </c>
      <c r="AH833">
        <v>6.72261714935303</v>
      </c>
      <c r="AI833">
        <v>3.9766678810119598</v>
      </c>
    </row>
    <row r="834" spans="1:35">
      <c r="A834">
        <f t="shared" si="104"/>
        <v>1</v>
      </c>
      <c r="B834">
        <f t="shared" si="105"/>
        <v>0</v>
      </c>
      <c r="C834">
        <f t="shared" si="106"/>
        <v>0</v>
      </c>
      <c r="D834">
        <f t="shared" si="107"/>
        <v>0</v>
      </c>
      <c r="E834">
        <f t="shared" si="108"/>
        <v>0</v>
      </c>
      <c r="F834">
        <f t="shared" si="109"/>
        <v>0</v>
      </c>
      <c r="G834">
        <f t="shared" si="110"/>
        <v>0</v>
      </c>
      <c r="H834">
        <v>0</v>
      </c>
      <c r="I834">
        <f t="shared" si="111"/>
        <v>0</v>
      </c>
      <c r="J834">
        <v>0</v>
      </c>
      <c r="K834" t="s">
        <v>3929</v>
      </c>
      <c r="L834" t="s">
        <v>3930</v>
      </c>
      <c r="M834" t="s">
        <v>27</v>
      </c>
      <c r="N834" t="s">
        <v>27</v>
      </c>
      <c r="O834">
        <v>9.83</v>
      </c>
      <c r="P834" t="s">
        <v>27</v>
      </c>
      <c r="Q834" t="s">
        <v>27</v>
      </c>
      <c r="R834">
        <v>12</v>
      </c>
      <c r="S834" t="s">
        <v>27</v>
      </c>
      <c r="T834" t="s">
        <v>27</v>
      </c>
      <c r="U834" t="s">
        <v>27</v>
      </c>
      <c r="V834">
        <v>-1374503</v>
      </c>
      <c r="W834" t="s">
        <v>27</v>
      </c>
      <c r="X834" t="s">
        <v>27</v>
      </c>
      <c r="Y834" t="s">
        <v>27</v>
      </c>
      <c r="Z834" t="s">
        <v>27</v>
      </c>
      <c r="AA834" t="s">
        <v>27</v>
      </c>
      <c r="AB834" t="s">
        <v>27</v>
      </c>
      <c r="AC834" t="s">
        <v>27</v>
      </c>
      <c r="AD834">
        <v>-1.2599999904632599</v>
      </c>
      <c r="AE834" t="s">
        <v>27</v>
      </c>
      <c r="AF834" t="s">
        <v>27</v>
      </c>
      <c r="AG834">
        <v>12059000</v>
      </c>
      <c r="AH834">
        <v>0</v>
      </c>
      <c r="AI834">
        <v>-18.953050613403299</v>
      </c>
    </row>
    <row r="835" spans="1:35">
      <c r="A835">
        <f t="shared" si="104"/>
        <v>1</v>
      </c>
      <c r="B835">
        <f t="shared" si="105"/>
        <v>0</v>
      </c>
      <c r="C835">
        <f t="shared" si="106"/>
        <v>1</v>
      </c>
      <c r="D835">
        <f t="shared" si="107"/>
        <v>1</v>
      </c>
      <c r="E835">
        <f t="shared" si="108"/>
        <v>0</v>
      </c>
      <c r="F835">
        <f t="shared" si="109"/>
        <v>0</v>
      </c>
      <c r="G835">
        <f t="shared" si="110"/>
        <v>1</v>
      </c>
      <c r="H835">
        <v>1</v>
      </c>
      <c r="I835">
        <f t="shared" si="111"/>
        <v>0</v>
      </c>
      <c r="J835">
        <f t="shared" ref="J835:J863" si="112">Z835+Q835</f>
        <v>764.95988082885719</v>
      </c>
      <c r="K835" t="s">
        <v>2314</v>
      </c>
      <c r="L835" t="s">
        <v>2315</v>
      </c>
      <c r="M835" t="s">
        <v>27</v>
      </c>
      <c r="N835" t="s">
        <v>27</v>
      </c>
      <c r="O835">
        <v>5.59</v>
      </c>
      <c r="P835" t="s">
        <v>27</v>
      </c>
      <c r="Q835">
        <v>747.28546142578102</v>
      </c>
      <c r="R835">
        <v>5.9000000953674299</v>
      </c>
      <c r="S835">
        <v>3.875</v>
      </c>
      <c r="T835">
        <v>569.55633544921898</v>
      </c>
      <c r="U835">
        <v>83.9879150390625</v>
      </c>
      <c r="V835">
        <v>640000</v>
      </c>
      <c r="W835">
        <v>-92.123153686523395</v>
      </c>
      <c r="X835">
        <v>-5.0000000745058101E-2</v>
      </c>
      <c r="Y835">
        <v>-90.464866638183594</v>
      </c>
      <c r="Z835">
        <v>17.6744194030762</v>
      </c>
      <c r="AA835">
        <v>15080000</v>
      </c>
      <c r="AB835" t="s">
        <v>27</v>
      </c>
      <c r="AC835" t="s">
        <v>27</v>
      </c>
      <c r="AD835">
        <v>0.109999999403954</v>
      </c>
      <c r="AE835" t="s">
        <v>27</v>
      </c>
      <c r="AF835">
        <v>8.6792919137466296</v>
      </c>
      <c r="AG835">
        <v>15330000</v>
      </c>
      <c r="AH835">
        <v>120.03249359130901</v>
      </c>
      <c r="AI835">
        <v>-193.51181030273401</v>
      </c>
    </row>
    <row r="836" spans="1:35">
      <c r="A836">
        <f t="shared" si="104"/>
        <v>1</v>
      </c>
      <c r="B836">
        <f t="shared" si="105"/>
        <v>1</v>
      </c>
      <c r="C836">
        <f t="shared" si="106"/>
        <v>1</v>
      </c>
      <c r="D836">
        <f t="shared" si="107"/>
        <v>1</v>
      </c>
      <c r="E836">
        <f t="shared" si="108"/>
        <v>0</v>
      </c>
      <c r="F836">
        <f t="shared" si="109"/>
        <v>1</v>
      </c>
      <c r="G836">
        <f t="shared" si="110"/>
        <v>0</v>
      </c>
      <c r="H836">
        <v>1</v>
      </c>
      <c r="I836">
        <f t="shared" si="111"/>
        <v>0</v>
      </c>
      <c r="J836">
        <f t="shared" si="112"/>
        <v>345.29347944259632</v>
      </c>
      <c r="K836" t="s">
        <v>2322</v>
      </c>
      <c r="L836" t="s">
        <v>2323</v>
      </c>
      <c r="M836" t="s">
        <v>27</v>
      </c>
      <c r="N836" t="s">
        <v>27</v>
      </c>
      <c r="O836">
        <v>14.05</v>
      </c>
      <c r="P836">
        <v>6.0547080039978001</v>
      </c>
      <c r="Q836">
        <v>6.0749430656433097</v>
      </c>
      <c r="R836">
        <v>14.329999923706101</v>
      </c>
      <c r="S836">
        <v>1.80555555555556</v>
      </c>
      <c r="T836">
        <v>24.2307033538818</v>
      </c>
      <c r="U836">
        <v>64.241539001464801</v>
      </c>
      <c r="V836">
        <v>47156000</v>
      </c>
      <c r="W836">
        <v>2.4360520839691202</v>
      </c>
      <c r="X836">
        <v>2.0000000794728599E-2</v>
      </c>
      <c r="Y836">
        <v>17.419355392456101</v>
      </c>
      <c r="Z836">
        <v>339.21853637695301</v>
      </c>
      <c r="AA836">
        <v>25056000</v>
      </c>
      <c r="AB836" t="s">
        <v>27</v>
      </c>
      <c r="AC836" t="s">
        <v>27</v>
      </c>
      <c r="AD836">
        <v>4.6666666865348802E-2</v>
      </c>
      <c r="AE836">
        <v>24.9609680175781</v>
      </c>
      <c r="AF836" t="s">
        <v>27</v>
      </c>
      <c r="AG836">
        <v>25056376.5</v>
      </c>
      <c r="AH836">
        <v>18.649253845214801</v>
      </c>
      <c r="AI836">
        <v>4.4424362182617196</v>
      </c>
    </row>
    <row r="837" spans="1:35">
      <c r="A837">
        <f t="shared" si="104"/>
        <v>1</v>
      </c>
      <c r="B837">
        <f t="shared" si="105"/>
        <v>0</v>
      </c>
      <c r="C837">
        <f t="shared" si="106"/>
        <v>1</v>
      </c>
      <c r="D837">
        <f t="shared" si="107"/>
        <v>0</v>
      </c>
      <c r="E837">
        <f t="shared" si="108"/>
        <v>0</v>
      </c>
      <c r="F837">
        <f t="shared" si="109"/>
        <v>1</v>
      </c>
      <c r="G837">
        <f t="shared" si="110"/>
        <v>0</v>
      </c>
      <c r="H837">
        <v>1</v>
      </c>
      <c r="I837">
        <f t="shared" si="111"/>
        <v>1</v>
      </c>
      <c r="J837">
        <f t="shared" si="112"/>
        <v>268.19044303894071</v>
      </c>
      <c r="K837" t="s">
        <v>1328</v>
      </c>
      <c r="L837" t="s">
        <v>1329</v>
      </c>
      <c r="M837" t="s">
        <v>27</v>
      </c>
      <c r="N837" t="s">
        <v>27</v>
      </c>
      <c r="O837">
        <v>15.35</v>
      </c>
      <c r="P837">
        <v>0.78604900836944602</v>
      </c>
      <c r="Q837">
        <v>255.88275146484401</v>
      </c>
      <c r="R837">
        <v>13.3999996185303</v>
      </c>
      <c r="S837">
        <v>9.125</v>
      </c>
      <c r="T837">
        <v>12.466118812561</v>
      </c>
      <c r="U837" t="s">
        <v>27</v>
      </c>
      <c r="V837">
        <v>5950000</v>
      </c>
      <c r="W837" t="s">
        <v>27</v>
      </c>
      <c r="X837">
        <v>0.43000000715255698</v>
      </c>
      <c r="Y837">
        <v>19.777778625488299</v>
      </c>
      <c r="Z837">
        <v>12.307691574096699</v>
      </c>
      <c r="AA837">
        <v>5055000</v>
      </c>
      <c r="AB837" t="s">
        <v>27</v>
      </c>
      <c r="AC837" t="s">
        <v>27</v>
      </c>
      <c r="AD837">
        <v>0.40000000596046398</v>
      </c>
      <c r="AE837" t="s">
        <v>27</v>
      </c>
      <c r="AF837" t="s">
        <v>27</v>
      </c>
      <c r="AG837">
        <v>9488000</v>
      </c>
      <c r="AH837">
        <v>0</v>
      </c>
      <c r="AI837">
        <v>2.9518179893493701</v>
      </c>
    </row>
    <row r="838" spans="1:35">
      <c r="A838">
        <f t="shared" si="104"/>
        <v>1</v>
      </c>
      <c r="B838">
        <f t="shared" si="105"/>
        <v>1</v>
      </c>
      <c r="C838">
        <f t="shared" si="106"/>
        <v>1</v>
      </c>
      <c r="D838">
        <f t="shared" si="107"/>
        <v>1</v>
      </c>
      <c r="E838">
        <f t="shared" si="108"/>
        <v>0</v>
      </c>
      <c r="F838">
        <f t="shared" si="109"/>
        <v>1</v>
      </c>
      <c r="G838">
        <f t="shared" si="110"/>
        <v>0</v>
      </c>
      <c r="H838">
        <v>1</v>
      </c>
      <c r="I838">
        <f t="shared" si="111"/>
        <v>1</v>
      </c>
      <c r="J838">
        <f t="shared" si="112"/>
        <v>93.077348709106502</v>
      </c>
      <c r="K838" t="s">
        <v>796</v>
      </c>
      <c r="L838" t="s">
        <v>797</v>
      </c>
      <c r="M838" t="s">
        <v>27</v>
      </c>
      <c r="N838" t="s">
        <v>27</v>
      </c>
      <c r="O838">
        <v>15.15</v>
      </c>
      <c r="P838">
        <v>82.469215393066406</v>
      </c>
      <c r="Q838">
        <v>77.617889404296903</v>
      </c>
      <c r="R838">
        <v>14.0900001525879</v>
      </c>
      <c r="S838">
        <v>9.375</v>
      </c>
      <c r="T838">
        <v>172.80050659179699</v>
      </c>
      <c r="U838" t="s">
        <v>27</v>
      </c>
      <c r="V838">
        <v>5515000</v>
      </c>
      <c r="W838">
        <v>43.517692565917997</v>
      </c>
      <c r="X838">
        <v>0.20999999344348899</v>
      </c>
      <c r="Y838">
        <v>11.800000190734901</v>
      </c>
      <c r="Z838">
        <v>15.459459304809601</v>
      </c>
      <c r="AA838">
        <v>8232000.5</v>
      </c>
      <c r="AB838" t="s">
        <v>30</v>
      </c>
      <c r="AC838" t="s">
        <v>542</v>
      </c>
      <c r="AD838">
        <v>0.230000004172325</v>
      </c>
      <c r="AE838" t="s">
        <v>27</v>
      </c>
      <c r="AF838">
        <v>5.7427533183933797</v>
      </c>
      <c r="AG838">
        <v>8163000</v>
      </c>
      <c r="AH838">
        <v>109.452690124512</v>
      </c>
      <c r="AI838">
        <v>58.303321838378899</v>
      </c>
    </row>
    <row r="839" spans="1:35">
      <c r="A839">
        <f t="shared" si="104"/>
        <v>1</v>
      </c>
      <c r="B839">
        <f t="shared" si="105"/>
        <v>1</v>
      </c>
      <c r="C839">
        <f t="shared" si="106"/>
        <v>0</v>
      </c>
      <c r="D839">
        <f t="shared" si="107"/>
        <v>1</v>
      </c>
      <c r="E839">
        <f t="shared" si="108"/>
        <v>0</v>
      </c>
      <c r="F839">
        <f t="shared" si="109"/>
        <v>1</v>
      </c>
      <c r="G839">
        <f t="shared" si="110"/>
        <v>0</v>
      </c>
      <c r="H839">
        <v>1</v>
      </c>
      <c r="I839">
        <f t="shared" si="111"/>
        <v>0</v>
      </c>
      <c r="J839">
        <f t="shared" si="112"/>
        <v>80.397168159484835</v>
      </c>
      <c r="K839" t="s">
        <v>2750</v>
      </c>
      <c r="L839" t="s">
        <v>2751</v>
      </c>
      <c r="M839" t="s">
        <v>27</v>
      </c>
      <c r="N839" t="s">
        <v>27</v>
      </c>
      <c r="O839">
        <v>2.02</v>
      </c>
      <c r="P839" t="s">
        <v>27</v>
      </c>
      <c r="Q839">
        <v>72.130500793457003</v>
      </c>
      <c r="R839">
        <v>6.53999996185303</v>
      </c>
      <c r="S839">
        <v>3.1875</v>
      </c>
      <c r="T839">
        <v>62.830245971679702</v>
      </c>
      <c r="U839">
        <v>29.890804290771499</v>
      </c>
      <c r="V839">
        <v>-4651000</v>
      </c>
      <c r="W839">
        <v>-99.352035522460895</v>
      </c>
      <c r="X839">
        <v>6.4999997615814195E-2</v>
      </c>
      <c r="Y839">
        <v>-28.800001144409201</v>
      </c>
      <c r="Z839">
        <v>8.2666673660278303</v>
      </c>
      <c r="AA839">
        <v>32168998</v>
      </c>
      <c r="AB839" t="s">
        <v>61</v>
      </c>
      <c r="AC839" t="s">
        <v>65</v>
      </c>
      <c r="AD839">
        <v>9.00000035762787E-2</v>
      </c>
      <c r="AE839">
        <v>28.025823593139599</v>
      </c>
      <c r="AF839">
        <v>5.8764593641687597</v>
      </c>
      <c r="AG839">
        <v>31397000</v>
      </c>
      <c r="AH839">
        <v>54.767215728759801</v>
      </c>
      <c r="AI839">
        <v>23.394021987915</v>
      </c>
    </row>
    <row r="840" spans="1:35">
      <c r="A840">
        <f t="shared" si="104"/>
        <v>0</v>
      </c>
      <c r="B840">
        <f t="shared" si="105"/>
        <v>0</v>
      </c>
      <c r="C840">
        <f t="shared" si="106"/>
        <v>1</v>
      </c>
      <c r="D840">
        <f t="shared" si="107"/>
        <v>1</v>
      </c>
      <c r="E840">
        <f t="shared" si="108"/>
        <v>0</v>
      </c>
      <c r="F840">
        <f t="shared" si="109"/>
        <v>1</v>
      </c>
      <c r="G840">
        <f t="shared" si="110"/>
        <v>0</v>
      </c>
      <c r="H840">
        <v>1</v>
      </c>
      <c r="I840">
        <f t="shared" si="111"/>
        <v>1</v>
      </c>
      <c r="J840">
        <f t="shared" si="112"/>
        <v>76.452780723571763</v>
      </c>
      <c r="K840" t="s">
        <v>1304</v>
      </c>
      <c r="L840" t="s">
        <v>1305</v>
      </c>
      <c r="M840" t="s">
        <v>27</v>
      </c>
      <c r="N840" t="s">
        <v>27</v>
      </c>
      <c r="O840">
        <v>19.59</v>
      </c>
      <c r="P840">
        <v>13.5634813308716</v>
      </c>
      <c r="Q840">
        <v>67.152542114257798</v>
      </c>
      <c r="R840">
        <v>18.170000076293899</v>
      </c>
      <c r="S840">
        <v>17.25</v>
      </c>
      <c r="T840">
        <v>1.37883305549622</v>
      </c>
      <c r="U840" t="s">
        <v>27</v>
      </c>
      <c r="V840">
        <v>30124000</v>
      </c>
      <c r="W840">
        <v>1.5235279798507699</v>
      </c>
      <c r="X840">
        <v>5.9999998658895499E-2</v>
      </c>
      <c r="Y840">
        <v>10.7692308425903</v>
      </c>
      <c r="Z840">
        <v>9.3002386093139595</v>
      </c>
      <c r="AA840">
        <v>31024000</v>
      </c>
      <c r="AB840" t="s">
        <v>34</v>
      </c>
      <c r="AC840" t="s">
        <v>447</v>
      </c>
      <c r="AD840">
        <v>0.37000000476837203</v>
      </c>
      <c r="AE840" t="s">
        <v>27</v>
      </c>
      <c r="AF840" t="s">
        <v>27</v>
      </c>
      <c r="AG840">
        <v>27391046</v>
      </c>
      <c r="AH840">
        <v>4.3855738639831499</v>
      </c>
      <c r="AI840">
        <v>1.06828594207764</v>
      </c>
    </row>
    <row r="841" spans="1:35">
      <c r="A841">
        <f t="shared" si="104"/>
        <v>1</v>
      </c>
      <c r="B841">
        <f t="shared" si="105"/>
        <v>1</v>
      </c>
      <c r="C841">
        <f t="shared" si="106"/>
        <v>1</v>
      </c>
      <c r="D841">
        <f t="shared" si="107"/>
        <v>0</v>
      </c>
      <c r="E841">
        <f t="shared" si="108"/>
        <v>0</v>
      </c>
      <c r="F841">
        <f t="shared" si="109"/>
        <v>1</v>
      </c>
      <c r="G841">
        <f t="shared" si="110"/>
        <v>0</v>
      </c>
      <c r="H841">
        <v>1</v>
      </c>
      <c r="I841">
        <f t="shared" si="111"/>
        <v>1</v>
      </c>
      <c r="J841">
        <f t="shared" si="112"/>
        <v>71.228171825408893</v>
      </c>
      <c r="K841" t="s">
        <v>25</v>
      </c>
      <c r="L841" t="s">
        <v>26</v>
      </c>
      <c r="M841" t="s">
        <v>27</v>
      </c>
      <c r="N841" t="s">
        <v>27</v>
      </c>
      <c r="O841">
        <v>21.41</v>
      </c>
      <c r="P841">
        <v>74.194473266601605</v>
      </c>
      <c r="Q841">
        <v>63.748497009277301</v>
      </c>
      <c r="R841">
        <v>11.9099998474121</v>
      </c>
      <c r="S841">
        <v>36.125</v>
      </c>
      <c r="T841">
        <v>9.3864049911499006</v>
      </c>
      <c r="U841">
        <v>40.167961120605497</v>
      </c>
      <c r="V841">
        <v>2139000</v>
      </c>
      <c r="W841">
        <v>28.455999374389599</v>
      </c>
      <c r="X841">
        <v>0.21999999880790699</v>
      </c>
      <c r="Y841">
        <v>1.8229169845581099</v>
      </c>
      <c r="Z841">
        <v>7.47967481613159</v>
      </c>
      <c r="AA841">
        <v>11568000</v>
      </c>
      <c r="AB841" t="s">
        <v>27</v>
      </c>
      <c r="AC841" t="s">
        <v>27</v>
      </c>
      <c r="AD841">
        <v>0.18000000715255701</v>
      </c>
      <c r="AE841">
        <v>39.452392578125</v>
      </c>
      <c r="AF841">
        <v>20.6723165500342</v>
      </c>
      <c r="AG841">
        <v>11572000</v>
      </c>
      <c r="AH841">
        <v>0</v>
      </c>
      <c r="AI841">
        <v>40.944450378417997</v>
      </c>
    </row>
    <row r="842" spans="1:35">
      <c r="A842">
        <f t="shared" si="104"/>
        <v>1</v>
      </c>
      <c r="B842">
        <f t="shared" si="105"/>
        <v>0</v>
      </c>
      <c r="C842">
        <f t="shared" si="106"/>
        <v>1</v>
      </c>
      <c r="D842">
        <f t="shared" si="107"/>
        <v>0</v>
      </c>
      <c r="E842">
        <f t="shared" si="108"/>
        <v>0</v>
      </c>
      <c r="F842">
        <f t="shared" si="109"/>
        <v>1</v>
      </c>
      <c r="G842">
        <f t="shared" si="110"/>
        <v>0</v>
      </c>
      <c r="H842">
        <v>1</v>
      </c>
      <c r="I842">
        <f t="shared" si="111"/>
        <v>0</v>
      </c>
      <c r="J842">
        <f t="shared" si="112"/>
        <v>68.138186454772978</v>
      </c>
      <c r="K842" t="s">
        <v>564</v>
      </c>
      <c r="L842" t="s">
        <v>565</v>
      </c>
      <c r="M842" t="s">
        <v>27</v>
      </c>
      <c r="N842" t="s">
        <v>27</v>
      </c>
      <c r="O842">
        <v>6.54</v>
      </c>
      <c r="P842">
        <v>101.197784423828</v>
      </c>
      <c r="Q842">
        <v>60.8654594421387</v>
      </c>
      <c r="R842">
        <v>6.75</v>
      </c>
      <c r="S842">
        <v>7.6999998092651403</v>
      </c>
      <c r="T842">
        <v>76.753234863281307</v>
      </c>
      <c r="U842">
        <v>62.673454284667997</v>
      </c>
      <c r="V842">
        <v>8848000</v>
      </c>
      <c r="W842">
        <v>18.292270660400401</v>
      </c>
      <c r="X842">
        <v>0.25</v>
      </c>
      <c r="Y842">
        <v>12.284746170043899</v>
      </c>
      <c r="Z842">
        <v>7.27272701263428</v>
      </c>
      <c r="AA842">
        <v>59153000</v>
      </c>
      <c r="AB842" t="s">
        <v>27</v>
      </c>
      <c r="AC842" t="s">
        <v>27</v>
      </c>
      <c r="AD842">
        <v>0.21999999880790699</v>
      </c>
      <c r="AE842">
        <v>62.365139007568402</v>
      </c>
      <c r="AF842">
        <v>10.199190131858799</v>
      </c>
      <c r="AG842">
        <v>59107000</v>
      </c>
      <c r="AH842">
        <v>61.089771270752003</v>
      </c>
      <c r="AI842">
        <v>15.177325248718301</v>
      </c>
    </row>
    <row r="843" spans="1:35">
      <c r="A843">
        <f t="shared" si="104"/>
        <v>0</v>
      </c>
      <c r="B843">
        <f t="shared" si="105"/>
        <v>1</v>
      </c>
      <c r="C843">
        <f t="shared" si="106"/>
        <v>1</v>
      </c>
      <c r="D843">
        <f t="shared" si="107"/>
        <v>0</v>
      </c>
      <c r="E843">
        <f t="shared" si="108"/>
        <v>0</v>
      </c>
      <c r="F843">
        <f t="shared" si="109"/>
        <v>1</v>
      </c>
      <c r="G843">
        <f t="shared" si="110"/>
        <v>0</v>
      </c>
      <c r="H843">
        <v>1</v>
      </c>
      <c r="I843">
        <f t="shared" si="111"/>
        <v>0</v>
      </c>
      <c r="J843">
        <f t="shared" si="112"/>
        <v>64.112236976623549</v>
      </c>
      <c r="K843" t="s">
        <v>2710</v>
      </c>
      <c r="L843" t="s">
        <v>2711</v>
      </c>
      <c r="M843" t="s">
        <v>27</v>
      </c>
      <c r="N843" t="s">
        <v>27</v>
      </c>
      <c r="O843">
        <v>33.33</v>
      </c>
      <c r="P843">
        <v>62.110988616943402</v>
      </c>
      <c r="Q843">
        <v>59.394332885742202</v>
      </c>
      <c r="R843">
        <v>41.669998168945298</v>
      </c>
      <c r="S843">
        <v>29</v>
      </c>
      <c r="T843">
        <v>0</v>
      </c>
      <c r="U843" t="s">
        <v>27</v>
      </c>
      <c r="V843">
        <v>20650000</v>
      </c>
      <c r="W843">
        <v>3.5042369365692099</v>
      </c>
      <c r="X843">
        <v>0.68999999761581399</v>
      </c>
      <c r="Y843">
        <v>6.8502988815307599</v>
      </c>
      <c r="Z843">
        <v>4.7179040908813503</v>
      </c>
      <c r="AA843">
        <v>11779000</v>
      </c>
      <c r="AB843" t="s">
        <v>27</v>
      </c>
      <c r="AC843" t="s">
        <v>27</v>
      </c>
      <c r="AD843">
        <v>0.34000000357627902</v>
      </c>
      <c r="AE843" t="s">
        <v>27</v>
      </c>
      <c r="AF843" t="s">
        <v>27</v>
      </c>
      <c r="AG843">
        <v>17852000</v>
      </c>
      <c r="AH843">
        <v>3.3926880359649698</v>
      </c>
      <c r="AI843">
        <v>4.6287560462951696</v>
      </c>
    </row>
    <row r="844" spans="1:35">
      <c r="A844">
        <f t="shared" si="104"/>
        <v>0</v>
      </c>
      <c r="B844">
        <f t="shared" si="105"/>
        <v>1</v>
      </c>
      <c r="C844">
        <f t="shared" si="106"/>
        <v>1</v>
      </c>
      <c r="D844">
        <f t="shared" si="107"/>
        <v>1</v>
      </c>
      <c r="E844">
        <f t="shared" si="108"/>
        <v>0</v>
      </c>
      <c r="F844">
        <f t="shared" si="109"/>
        <v>1</v>
      </c>
      <c r="G844">
        <f t="shared" si="110"/>
        <v>0</v>
      </c>
      <c r="H844">
        <v>1</v>
      </c>
      <c r="I844">
        <f t="shared" si="111"/>
        <v>0</v>
      </c>
      <c r="J844">
        <f t="shared" si="112"/>
        <v>62.720905303955099</v>
      </c>
      <c r="K844" t="s">
        <v>2384</v>
      </c>
      <c r="L844" t="s">
        <v>2385</v>
      </c>
      <c r="M844" t="s">
        <v>27</v>
      </c>
      <c r="N844" t="s">
        <v>27</v>
      </c>
      <c r="O844">
        <v>13.06</v>
      </c>
      <c r="P844">
        <v>57.570808410644503</v>
      </c>
      <c r="Q844">
        <v>54.502033233642599</v>
      </c>
      <c r="R844">
        <v>35.709999084472699</v>
      </c>
      <c r="S844">
        <v>21.3333333333333</v>
      </c>
      <c r="T844">
        <v>0</v>
      </c>
      <c r="U844">
        <v>67.543312072753906</v>
      </c>
      <c r="V844">
        <v>23305000</v>
      </c>
      <c r="W844">
        <v>44.377037048339801</v>
      </c>
      <c r="X844">
        <v>0.30666666560702899</v>
      </c>
      <c r="Y844">
        <v>5.8381547927856401</v>
      </c>
      <c r="Z844">
        <v>8.2188720703125</v>
      </c>
      <c r="AA844">
        <v>35300250</v>
      </c>
      <c r="AB844" t="s">
        <v>30</v>
      </c>
      <c r="AC844" t="s">
        <v>332</v>
      </c>
      <c r="AD844">
        <v>0.479999989271164</v>
      </c>
      <c r="AE844">
        <v>62.784378051757798</v>
      </c>
      <c r="AF844">
        <v>2.3518175959330399</v>
      </c>
      <c r="AG844">
        <v>34901000</v>
      </c>
      <c r="AH844">
        <v>0</v>
      </c>
      <c r="AI844">
        <v>45.138694763183601</v>
      </c>
    </row>
    <row r="845" spans="1:35">
      <c r="A845">
        <f t="shared" si="104"/>
        <v>1</v>
      </c>
      <c r="B845">
        <f t="shared" si="105"/>
        <v>1</v>
      </c>
      <c r="C845">
        <f t="shared" si="106"/>
        <v>1</v>
      </c>
      <c r="D845">
        <f t="shared" si="107"/>
        <v>1</v>
      </c>
      <c r="E845">
        <f t="shared" si="108"/>
        <v>0</v>
      </c>
      <c r="F845">
        <f t="shared" si="109"/>
        <v>1</v>
      </c>
      <c r="G845">
        <f t="shared" si="110"/>
        <v>1</v>
      </c>
      <c r="H845">
        <v>1</v>
      </c>
      <c r="I845">
        <f t="shared" si="111"/>
        <v>0</v>
      </c>
      <c r="J845">
        <f t="shared" si="112"/>
        <v>60.684259414672901</v>
      </c>
      <c r="K845" t="s">
        <v>1449</v>
      </c>
      <c r="L845" t="s">
        <v>1450</v>
      </c>
      <c r="M845" t="s">
        <v>27</v>
      </c>
      <c r="N845" t="s">
        <v>27</v>
      </c>
      <c r="O845">
        <v>14.8</v>
      </c>
      <c r="P845" t="s">
        <v>27</v>
      </c>
      <c r="Q845">
        <v>35.319828033447301</v>
      </c>
      <c r="R845">
        <v>20.350000381469702</v>
      </c>
      <c r="S845">
        <v>6.7199997901916504</v>
      </c>
      <c r="T845">
        <v>46.970554351806598</v>
      </c>
      <c r="U845">
        <v>4.1372380256652797</v>
      </c>
      <c r="V845">
        <v>68540000</v>
      </c>
      <c r="W845">
        <v>-4.8501892089843803</v>
      </c>
      <c r="X845">
        <v>0.37000000476837203</v>
      </c>
      <c r="Y845">
        <v>5.0169491767883301</v>
      </c>
      <c r="Z845">
        <v>25.3644313812256</v>
      </c>
      <c r="AA845">
        <v>27310000</v>
      </c>
      <c r="AB845" t="s">
        <v>27</v>
      </c>
      <c r="AC845" t="s">
        <v>27</v>
      </c>
      <c r="AD845">
        <v>1.33000004291534</v>
      </c>
      <c r="AE845">
        <v>12.4983053207397</v>
      </c>
      <c r="AF845">
        <v>15.664324353741501</v>
      </c>
      <c r="AG845">
        <v>25824000</v>
      </c>
      <c r="AH845">
        <v>32.402671813964801</v>
      </c>
      <c r="AI845">
        <v>6.7055602073669398</v>
      </c>
    </row>
    <row r="846" spans="1:35">
      <c r="A846">
        <f t="shared" si="104"/>
        <v>0</v>
      </c>
      <c r="B846">
        <f t="shared" si="105"/>
        <v>0</v>
      </c>
      <c r="C846">
        <f t="shared" si="106"/>
        <v>1</v>
      </c>
      <c r="D846">
        <f t="shared" si="107"/>
        <v>0</v>
      </c>
      <c r="E846">
        <f t="shared" si="108"/>
        <v>0</v>
      </c>
      <c r="F846">
        <f t="shared" si="109"/>
        <v>1</v>
      </c>
      <c r="G846">
        <f t="shared" si="110"/>
        <v>0</v>
      </c>
      <c r="H846">
        <v>1</v>
      </c>
      <c r="I846">
        <f t="shared" si="111"/>
        <v>0</v>
      </c>
      <c r="J846">
        <f t="shared" si="112"/>
        <v>56.147698402404735</v>
      </c>
      <c r="K846" t="s">
        <v>2734</v>
      </c>
      <c r="L846" t="s">
        <v>2735</v>
      </c>
      <c r="M846" t="s">
        <v>27</v>
      </c>
      <c r="N846" t="s">
        <v>27</v>
      </c>
      <c r="O846">
        <v>14.23</v>
      </c>
      <c r="P846">
        <v>56.674415588378899</v>
      </c>
      <c r="Q846">
        <v>50.751804351806598</v>
      </c>
      <c r="R846">
        <v>22.7399997711182</v>
      </c>
      <c r="S846">
        <v>54.5</v>
      </c>
      <c r="T846">
        <v>0</v>
      </c>
      <c r="U846">
        <v>55.860111236572301</v>
      </c>
      <c r="V846">
        <v>13995000</v>
      </c>
      <c r="W846">
        <v>41.238357543945298</v>
      </c>
      <c r="X846">
        <v>0.41999998688697798</v>
      </c>
      <c r="Y846">
        <v>3.7631580829620401</v>
      </c>
      <c r="Z846">
        <v>5.3958940505981401</v>
      </c>
      <c r="AA846">
        <v>49376000</v>
      </c>
      <c r="AB846" t="s">
        <v>38</v>
      </c>
      <c r="AC846" t="s">
        <v>113</v>
      </c>
      <c r="AD846">
        <v>0.140000000596046</v>
      </c>
      <c r="AE846">
        <v>47.344516754150398</v>
      </c>
      <c r="AF846">
        <v>9.5455204950758592</v>
      </c>
      <c r="AG846">
        <v>46915000</v>
      </c>
      <c r="AH846">
        <v>0</v>
      </c>
      <c r="AI846">
        <v>36.473907470703097</v>
      </c>
    </row>
    <row r="847" spans="1:35">
      <c r="A847">
        <f t="shared" si="104"/>
        <v>0</v>
      </c>
      <c r="B847">
        <f t="shared" si="105"/>
        <v>1</v>
      </c>
      <c r="C847">
        <f t="shared" si="106"/>
        <v>1</v>
      </c>
      <c r="D847">
        <f t="shared" si="107"/>
        <v>1</v>
      </c>
      <c r="E847">
        <f t="shared" si="108"/>
        <v>0</v>
      </c>
      <c r="F847">
        <f t="shared" si="109"/>
        <v>1</v>
      </c>
      <c r="G847">
        <f t="shared" si="110"/>
        <v>1</v>
      </c>
      <c r="H847">
        <v>1</v>
      </c>
      <c r="I847">
        <f t="shared" si="111"/>
        <v>0</v>
      </c>
      <c r="J847">
        <f t="shared" si="112"/>
        <v>53.862951278686552</v>
      </c>
      <c r="K847" t="s">
        <v>2018</v>
      </c>
      <c r="L847" t="s">
        <v>2019</v>
      </c>
      <c r="M847" t="s">
        <v>27</v>
      </c>
      <c r="N847" t="s">
        <v>27</v>
      </c>
      <c r="O847">
        <v>34.630000000000003</v>
      </c>
      <c r="P847">
        <v>47.017047882080099</v>
      </c>
      <c r="Q847">
        <v>49.032318115234403</v>
      </c>
      <c r="R847">
        <v>36.400001525878899</v>
      </c>
      <c r="S847">
        <v>20.850000381469702</v>
      </c>
      <c r="T847">
        <v>0</v>
      </c>
      <c r="U847">
        <v>64.968154907226605</v>
      </c>
      <c r="V847">
        <v>4892000</v>
      </c>
      <c r="W847">
        <v>27.8387966156006</v>
      </c>
      <c r="X847">
        <v>0.38999998569488498</v>
      </c>
      <c r="Y847">
        <v>8.0106096267700195</v>
      </c>
      <c r="Z847">
        <v>4.8306331634521502</v>
      </c>
      <c r="AA847">
        <v>8660748</v>
      </c>
      <c r="AB847" t="s">
        <v>73</v>
      </c>
      <c r="AC847" t="s">
        <v>210</v>
      </c>
      <c r="AD847">
        <v>0.43999999761581399</v>
      </c>
      <c r="AE847">
        <v>66.676521301269503</v>
      </c>
      <c r="AF847">
        <v>10.302987243213201</v>
      </c>
      <c r="AG847">
        <v>8738000</v>
      </c>
      <c r="AH847">
        <v>0</v>
      </c>
      <c r="AI847">
        <v>29.3491516113281</v>
      </c>
    </row>
    <row r="848" spans="1:35">
      <c r="A848">
        <f t="shared" si="104"/>
        <v>1</v>
      </c>
      <c r="B848">
        <f t="shared" si="105"/>
        <v>0</v>
      </c>
      <c r="C848">
        <f t="shared" si="106"/>
        <v>0</v>
      </c>
      <c r="D848">
        <f t="shared" si="107"/>
        <v>1</v>
      </c>
      <c r="E848">
        <f t="shared" si="108"/>
        <v>0</v>
      </c>
      <c r="F848">
        <f t="shared" si="109"/>
        <v>0</v>
      </c>
      <c r="G848">
        <f t="shared" si="110"/>
        <v>1</v>
      </c>
      <c r="H848">
        <v>1</v>
      </c>
      <c r="I848">
        <f t="shared" si="111"/>
        <v>0</v>
      </c>
      <c r="J848">
        <f t="shared" si="112"/>
        <v>53.533313751220696</v>
      </c>
      <c r="K848" t="s">
        <v>3250</v>
      </c>
      <c r="L848" t="s">
        <v>3251</v>
      </c>
      <c r="M848" t="s">
        <v>27</v>
      </c>
      <c r="N848" t="s">
        <v>27</v>
      </c>
      <c r="O848">
        <v>11.76</v>
      </c>
      <c r="P848" t="s">
        <v>27</v>
      </c>
      <c r="Q848">
        <v>18.849769592285199</v>
      </c>
      <c r="R848">
        <v>11.5</v>
      </c>
      <c r="S848">
        <v>9.0200004577636701</v>
      </c>
      <c r="T848">
        <v>57.109729766845703</v>
      </c>
      <c r="U848">
        <v>25.668285369873001</v>
      </c>
      <c r="V848">
        <v>-3870000</v>
      </c>
      <c r="W848">
        <v>1.5051560401916499</v>
      </c>
      <c r="X848">
        <v>-2.9999999329447701E-2</v>
      </c>
      <c r="Y848" t="s">
        <v>27</v>
      </c>
      <c r="Z848">
        <v>34.683544158935497</v>
      </c>
      <c r="AA848">
        <v>27738084</v>
      </c>
      <c r="AB848" t="s">
        <v>328</v>
      </c>
      <c r="AC848" t="s">
        <v>329</v>
      </c>
      <c r="AD848">
        <v>0.20000000298023199</v>
      </c>
      <c r="AE848">
        <v>48.304599761962898</v>
      </c>
      <c r="AF848">
        <v>6.0978145173068503</v>
      </c>
      <c r="AG848">
        <v>25191000</v>
      </c>
      <c r="AH848">
        <v>50.381004333496101</v>
      </c>
      <c r="AI848">
        <v>-6.7818398475646999</v>
      </c>
    </row>
    <row r="849" spans="1:35">
      <c r="A849">
        <f t="shared" si="104"/>
        <v>1</v>
      </c>
      <c r="B849">
        <f t="shared" si="105"/>
        <v>1</v>
      </c>
      <c r="C849">
        <f t="shared" si="106"/>
        <v>0</v>
      </c>
      <c r="D849">
        <f t="shared" si="107"/>
        <v>0</v>
      </c>
      <c r="E849">
        <f t="shared" si="108"/>
        <v>0</v>
      </c>
      <c r="F849">
        <f t="shared" si="109"/>
        <v>1</v>
      </c>
      <c r="G849">
        <f t="shared" si="110"/>
        <v>1</v>
      </c>
      <c r="H849">
        <v>1</v>
      </c>
      <c r="I849">
        <f t="shared" si="111"/>
        <v>0</v>
      </c>
      <c r="J849">
        <f t="shared" si="112"/>
        <v>53.042279243469224</v>
      </c>
      <c r="K849" t="s">
        <v>3531</v>
      </c>
      <c r="L849" t="s">
        <v>3532</v>
      </c>
      <c r="M849" t="s">
        <v>27</v>
      </c>
      <c r="N849" t="s">
        <v>27</v>
      </c>
      <c r="O849">
        <v>18.899999999999999</v>
      </c>
      <c r="P849">
        <v>157.70370483398401</v>
      </c>
      <c r="Q849">
        <v>44.237247467041001</v>
      </c>
      <c r="R849">
        <v>21.409999847412099</v>
      </c>
      <c r="S849">
        <v>20.799999237060501</v>
      </c>
      <c r="T849">
        <v>6.4784250259399396</v>
      </c>
      <c r="U849">
        <v>25.254108428955099</v>
      </c>
      <c r="V849">
        <v>-66710000</v>
      </c>
      <c r="W849">
        <v>5.7563061714172399</v>
      </c>
      <c r="X849">
        <v>0.44999998807907099</v>
      </c>
      <c r="Y849" t="s">
        <v>27</v>
      </c>
      <c r="Z849">
        <v>8.8050317764282209</v>
      </c>
      <c r="AA849" t="s">
        <v>27</v>
      </c>
      <c r="AB849" t="s">
        <v>61</v>
      </c>
      <c r="AC849" t="s">
        <v>80</v>
      </c>
      <c r="AD849">
        <v>0.40999999642372098</v>
      </c>
      <c r="AE849" t="s">
        <v>27</v>
      </c>
      <c r="AF849">
        <v>6.0506178092302303</v>
      </c>
      <c r="AG849">
        <v>33033000</v>
      </c>
      <c r="AH849">
        <v>1.63157498836517</v>
      </c>
      <c r="AI849">
        <v>12.387791633606</v>
      </c>
    </row>
    <row r="850" spans="1:35">
      <c r="A850">
        <f t="shared" si="104"/>
        <v>1</v>
      </c>
      <c r="B850">
        <f t="shared" si="105"/>
        <v>0</v>
      </c>
      <c r="C850">
        <f t="shared" si="106"/>
        <v>1</v>
      </c>
      <c r="D850">
        <f t="shared" si="107"/>
        <v>0</v>
      </c>
      <c r="E850">
        <f t="shared" si="108"/>
        <v>0</v>
      </c>
      <c r="F850">
        <f t="shared" si="109"/>
        <v>1</v>
      </c>
      <c r="G850">
        <f t="shared" si="110"/>
        <v>0</v>
      </c>
      <c r="H850">
        <v>1</v>
      </c>
      <c r="I850">
        <f t="shared" si="111"/>
        <v>0</v>
      </c>
      <c r="J850">
        <f t="shared" si="112"/>
        <v>52.079602241516135</v>
      </c>
      <c r="K850" t="s">
        <v>2795</v>
      </c>
      <c r="L850" t="s">
        <v>2796</v>
      </c>
      <c r="M850" t="s">
        <v>27</v>
      </c>
      <c r="N850" t="s">
        <v>27</v>
      </c>
      <c r="O850">
        <v>9.1199999999999992</v>
      </c>
      <c r="P850">
        <v>31.2512607574463</v>
      </c>
      <c r="Q850">
        <v>45.973991394042997</v>
      </c>
      <c r="R850">
        <v>21.069999694824201</v>
      </c>
      <c r="S850">
        <v>16.8125</v>
      </c>
      <c r="T850">
        <v>11.622656822204601</v>
      </c>
      <c r="U850" t="s">
        <v>27</v>
      </c>
      <c r="V850" t="s">
        <v>27</v>
      </c>
      <c r="W850">
        <v>1.8141740560531601</v>
      </c>
      <c r="X850">
        <v>0.37999999523162797</v>
      </c>
      <c r="Y850">
        <v>11.0460252761841</v>
      </c>
      <c r="Z850">
        <v>6.1056108474731401</v>
      </c>
      <c r="AA850">
        <v>30001000</v>
      </c>
      <c r="AB850" t="s">
        <v>27</v>
      </c>
      <c r="AC850" t="s">
        <v>27</v>
      </c>
      <c r="AD850">
        <v>-0.56000000238418601</v>
      </c>
      <c r="AE850" t="s">
        <v>27</v>
      </c>
      <c r="AF850" t="s">
        <v>27</v>
      </c>
      <c r="AG850">
        <v>29320000</v>
      </c>
      <c r="AH850">
        <v>11.408450126647899</v>
      </c>
      <c r="AI850">
        <v>1.4488179683685301</v>
      </c>
    </row>
    <row r="851" spans="1:35">
      <c r="A851">
        <f t="shared" si="104"/>
        <v>1</v>
      </c>
      <c r="B851">
        <f t="shared" si="105"/>
        <v>0</v>
      </c>
      <c r="C851">
        <f t="shared" si="106"/>
        <v>1</v>
      </c>
      <c r="D851">
        <f t="shared" si="107"/>
        <v>1</v>
      </c>
      <c r="E851">
        <f t="shared" si="108"/>
        <v>0</v>
      </c>
      <c r="F851">
        <f t="shared" si="109"/>
        <v>1</v>
      </c>
      <c r="G851">
        <f t="shared" si="110"/>
        <v>0</v>
      </c>
      <c r="H851">
        <v>1</v>
      </c>
      <c r="I851">
        <f t="shared" si="111"/>
        <v>0</v>
      </c>
      <c r="J851">
        <f t="shared" si="112"/>
        <v>51.759283065795898</v>
      </c>
      <c r="K851" t="s">
        <v>758</v>
      </c>
      <c r="L851" t="s">
        <v>759</v>
      </c>
      <c r="M851" t="s">
        <v>27</v>
      </c>
      <c r="N851" t="s">
        <v>27</v>
      </c>
      <c r="O851">
        <v>1.7</v>
      </c>
      <c r="P851">
        <v>86.407730102539105</v>
      </c>
      <c r="Q851">
        <v>40.407932281494098</v>
      </c>
      <c r="R851">
        <v>3.71000003814697</v>
      </c>
      <c r="S851">
        <v>6.25</v>
      </c>
      <c r="T851">
        <v>6.6987991333007804</v>
      </c>
      <c r="U851" t="s">
        <v>27</v>
      </c>
      <c r="V851">
        <v>11709000</v>
      </c>
      <c r="W851">
        <v>2.6063890457153298</v>
      </c>
      <c r="X851">
        <v>0.230000004172325</v>
      </c>
      <c r="Y851">
        <v>14.4827575683594</v>
      </c>
      <c r="Z851">
        <v>11.3513507843018</v>
      </c>
      <c r="AA851">
        <v>17202000</v>
      </c>
      <c r="AB851" t="s">
        <v>27</v>
      </c>
      <c r="AC851" t="s">
        <v>27</v>
      </c>
      <c r="AD851">
        <v>0.30000001192092901</v>
      </c>
      <c r="AE851" t="s">
        <v>27</v>
      </c>
      <c r="AF851" t="s">
        <v>27</v>
      </c>
      <c r="AG851">
        <v>17636000</v>
      </c>
      <c r="AH851">
        <v>4.6894898414611799</v>
      </c>
      <c r="AI851">
        <v>2.0583119392395002</v>
      </c>
    </row>
    <row r="852" spans="1:35">
      <c r="A852">
        <f t="shared" si="104"/>
        <v>0</v>
      </c>
      <c r="B852">
        <f t="shared" si="105"/>
        <v>1</v>
      </c>
      <c r="C852">
        <f t="shared" si="106"/>
        <v>1</v>
      </c>
      <c r="D852">
        <f t="shared" si="107"/>
        <v>1</v>
      </c>
      <c r="E852">
        <f t="shared" si="108"/>
        <v>0</v>
      </c>
      <c r="F852">
        <f t="shared" si="109"/>
        <v>1</v>
      </c>
      <c r="G852">
        <f t="shared" si="110"/>
        <v>0</v>
      </c>
      <c r="H852">
        <v>1</v>
      </c>
      <c r="I852">
        <f t="shared" si="111"/>
        <v>0</v>
      </c>
      <c r="J852">
        <f t="shared" si="112"/>
        <v>51.693560600280755</v>
      </c>
      <c r="K852" t="s">
        <v>2240</v>
      </c>
      <c r="L852" t="s">
        <v>2241</v>
      </c>
      <c r="M852" t="s">
        <v>27</v>
      </c>
      <c r="N852" t="s">
        <v>27</v>
      </c>
      <c r="O852">
        <v>1.8</v>
      </c>
      <c r="P852">
        <v>47.011608123779297</v>
      </c>
      <c r="Q852">
        <v>41.915782928466797</v>
      </c>
      <c r="R852">
        <v>14.25</v>
      </c>
      <c r="S852">
        <v>26.399999618530298</v>
      </c>
      <c r="T852">
        <v>11.045859336853001</v>
      </c>
      <c r="U852" t="s">
        <v>27</v>
      </c>
      <c r="V852">
        <v>169051008</v>
      </c>
      <c r="W852">
        <v>4.3169040679931596</v>
      </c>
      <c r="X852">
        <v>0.52999997138977095</v>
      </c>
      <c r="Y852">
        <v>4.9367089271545401</v>
      </c>
      <c r="Z852">
        <v>9.7777776718139595</v>
      </c>
      <c r="AA852">
        <v>62130000</v>
      </c>
      <c r="AB852" t="s">
        <v>27</v>
      </c>
      <c r="AC852" t="s">
        <v>27</v>
      </c>
      <c r="AD852">
        <v>0.72000002861022905</v>
      </c>
      <c r="AE852" t="s">
        <v>27</v>
      </c>
      <c r="AF852">
        <v>1.20180614503264</v>
      </c>
      <c r="AG852">
        <v>64075996</v>
      </c>
      <c r="AH852">
        <v>11.073011398315399</v>
      </c>
      <c r="AI852">
        <v>6.7514061927795401</v>
      </c>
    </row>
    <row r="853" spans="1:35">
      <c r="A853">
        <f t="shared" si="104"/>
        <v>1</v>
      </c>
      <c r="B853">
        <f t="shared" si="105"/>
        <v>1</v>
      </c>
      <c r="C853">
        <f t="shared" si="106"/>
        <v>1</v>
      </c>
      <c r="D853">
        <f t="shared" si="107"/>
        <v>0</v>
      </c>
      <c r="E853">
        <f t="shared" si="108"/>
        <v>0</v>
      </c>
      <c r="F853">
        <f t="shared" si="109"/>
        <v>1</v>
      </c>
      <c r="G853">
        <f t="shared" si="110"/>
        <v>1</v>
      </c>
      <c r="H853">
        <v>1</v>
      </c>
      <c r="I853">
        <f t="shared" si="111"/>
        <v>0</v>
      </c>
      <c r="J853">
        <f t="shared" si="112"/>
        <v>50.3425998687744</v>
      </c>
      <c r="K853" t="s">
        <v>1662</v>
      </c>
      <c r="L853" t="s">
        <v>1663</v>
      </c>
      <c r="M853" t="s">
        <v>27</v>
      </c>
      <c r="N853" t="s">
        <v>27</v>
      </c>
      <c r="O853">
        <v>20.85</v>
      </c>
      <c r="P853">
        <v>14.016369819641101</v>
      </c>
      <c r="Q853">
        <v>25.1389064788818</v>
      </c>
      <c r="R853">
        <v>20.399999618530298</v>
      </c>
      <c r="S853">
        <v>9</v>
      </c>
      <c r="T853">
        <v>11.168581962585399</v>
      </c>
      <c r="U853">
        <v>12.5149173736572</v>
      </c>
      <c r="V853">
        <v>18020000</v>
      </c>
      <c r="W853">
        <v>2.6761159896850599</v>
      </c>
      <c r="X853">
        <v>1.3500000238418599</v>
      </c>
      <c r="Y853">
        <v>34.4799995422363</v>
      </c>
      <c r="Z853">
        <v>25.203693389892599</v>
      </c>
      <c r="AA853">
        <v>15102000</v>
      </c>
      <c r="AB853" t="s">
        <v>328</v>
      </c>
      <c r="AC853" t="s">
        <v>329</v>
      </c>
      <c r="AD853">
        <v>1.29999995231628</v>
      </c>
      <c r="AE853">
        <v>13.485715866088899</v>
      </c>
      <c r="AF853">
        <v>5.8861592031743504</v>
      </c>
      <c r="AG853">
        <v>15525000</v>
      </c>
      <c r="AH853">
        <v>8.9151315689086896</v>
      </c>
      <c r="AI853">
        <v>15.3855657577515</v>
      </c>
    </row>
    <row r="854" spans="1:35">
      <c r="A854">
        <f t="shared" si="104"/>
        <v>1</v>
      </c>
      <c r="B854">
        <f t="shared" si="105"/>
        <v>1</v>
      </c>
      <c r="C854">
        <f t="shared" si="106"/>
        <v>1</v>
      </c>
      <c r="D854">
        <f t="shared" si="107"/>
        <v>1</v>
      </c>
      <c r="E854">
        <f t="shared" si="108"/>
        <v>1</v>
      </c>
      <c r="F854">
        <f t="shared" si="109"/>
        <v>1</v>
      </c>
      <c r="G854">
        <f t="shared" si="110"/>
        <v>1</v>
      </c>
      <c r="H854">
        <v>1</v>
      </c>
      <c r="I854">
        <f t="shared" si="111"/>
        <v>0</v>
      </c>
      <c r="J854">
        <f t="shared" si="112"/>
        <v>47.316156387329102</v>
      </c>
      <c r="K854" t="s">
        <v>3529</v>
      </c>
      <c r="L854" t="s">
        <v>3530</v>
      </c>
      <c r="M854" t="s">
        <v>27</v>
      </c>
      <c r="N854" t="s">
        <v>27</v>
      </c>
      <c r="O854">
        <v>15.15</v>
      </c>
      <c r="P854">
        <v>7.76646184921265</v>
      </c>
      <c r="Q854">
        <v>20.477920532226602</v>
      </c>
      <c r="R854">
        <v>15.6990003585815</v>
      </c>
      <c r="S854">
        <v>12</v>
      </c>
      <c r="T854">
        <v>49.178417205810497</v>
      </c>
      <c r="U854">
        <v>18.179704666137699</v>
      </c>
      <c r="V854">
        <v>9308000</v>
      </c>
      <c r="W854">
        <v>5.1327872276306197</v>
      </c>
      <c r="X854">
        <v>0.490000009536743</v>
      </c>
      <c r="Y854">
        <v>20.571428298950199</v>
      </c>
      <c r="Z854">
        <v>26.8382358551025</v>
      </c>
      <c r="AA854">
        <v>11500000</v>
      </c>
      <c r="AB854" t="s">
        <v>27</v>
      </c>
      <c r="AC854" t="s">
        <v>27</v>
      </c>
      <c r="AD854">
        <v>0.94999998807907104</v>
      </c>
      <c r="AE854">
        <v>21.992696762085</v>
      </c>
      <c r="AF854">
        <v>7.11329505742252</v>
      </c>
      <c r="AG854">
        <v>11500000</v>
      </c>
      <c r="AH854">
        <v>42.661163330078097</v>
      </c>
      <c r="AI854">
        <v>7.87001705169678</v>
      </c>
    </row>
    <row r="855" spans="1:35">
      <c r="A855">
        <f t="shared" si="104"/>
        <v>0</v>
      </c>
      <c r="B855">
        <f t="shared" si="105"/>
        <v>0</v>
      </c>
      <c r="C855">
        <f t="shared" si="106"/>
        <v>1</v>
      </c>
      <c r="D855">
        <f t="shared" si="107"/>
        <v>0</v>
      </c>
      <c r="E855">
        <f t="shared" si="108"/>
        <v>0</v>
      </c>
      <c r="F855">
        <f t="shared" si="109"/>
        <v>1</v>
      </c>
      <c r="G855">
        <f t="shared" si="110"/>
        <v>0</v>
      </c>
      <c r="H855">
        <v>1</v>
      </c>
      <c r="I855">
        <f t="shared" si="111"/>
        <v>0</v>
      </c>
      <c r="J855">
        <f t="shared" si="112"/>
        <v>46.268966197967529</v>
      </c>
      <c r="K855" t="s">
        <v>3645</v>
      </c>
      <c r="L855" t="s">
        <v>3646</v>
      </c>
      <c r="M855" t="s">
        <v>27</v>
      </c>
      <c r="N855" t="s">
        <v>27</v>
      </c>
      <c r="O855">
        <v>30.33</v>
      </c>
      <c r="P855">
        <v>61.009613037109403</v>
      </c>
      <c r="Q855">
        <v>39.763317108154297</v>
      </c>
      <c r="R855">
        <v>30.7399997711182</v>
      </c>
      <c r="S855">
        <v>22.5</v>
      </c>
      <c r="T855">
        <v>0</v>
      </c>
      <c r="U855" t="s">
        <v>27</v>
      </c>
      <c r="V855">
        <v>14999000</v>
      </c>
      <c r="W855">
        <v>1.13188004493713</v>
      </c>
      <c r="X855">
        <v>0.70999997854232799</v>
      </c>
      <c r="Y855">
        <v>9.7391300201415998</v>
      </c>
      <c r="Z855">
        <v>6.5056490898132298</v>
      </c>
      <c r="AA855">
        <v>10036000</v>
      </c>
      <c r="AB855" t="s">
        <v>34</v>
      </c>
      <c r="AC855" t="s">
        <v>447</v>
      </c>
      <c r="AD855">
        <v>0.15000000596046401</v>
      </c>
      <c r="AE855" t="s">
        <v>27</v>
      </c>
      <c r="AF855" t="s">
        <v>27</v>
      </c>
      <c r="AG855">
        <v>10035000</v>
      </c>
      <c r="AH855">
        <v>0</v>
      </c>
      <c r="AI855">
        <v>0.988406002521515</v>
      </c>
    </row>
    <row r="856" spans="1:35">
      <c r="A856">
        <f t="shared" si="104"/>
        <v>1</v>
      </c>
      <c r="B856">
        <f t="shared" si="105"/>
        <v>1</v>
      </c>
      <c r="C856">
        <f t="shared" si="106"/>
        <v>1</v>
      </c>
      <c r="D856">
        <f t="shared" si="107"/>
        <v>1</v>
      </c>
      <c r="E856">
        <f t="shared" si="108"/>
        <v>0</v>
      </c>
      <c r="F856">
        <f t="shared" si="109"/>
        <v>0</v>
      </c>
      <c r="G856">
        <f t="shared" si="110"/>
        <v>1</v>
      </c>
      <c r="H856">
        <v>1</v>
      </c>
      <c r="I856">
        <f t="shared" si="111"/>
        <v>0</v>
      </c>
      <c r="J856">
        <f t="shared" si="112"/>
        <v>45.46852660179141</v>
      </c>
      <c r="K856" t="s">
        <v>2622</v>
      </c>
      <c r="L856" t="s">
        <v>2623</v>
      </c>
      <c r="M856" t="s">
        <v>27</v>
      </c>
      <c r="N856" t="s">
        <v>27</v>
      </c>
      <c r="O856">
        <v>32.44</v>
      </c>
      <c r="P856" t="s">
        <v>27</v>
      </c>
      <c r="Q856">
        <v>42.1678276062012</v>
      </c>
      <c r="R856">
        <v>31.409999847412099</v>
      </c>
      <c r="S856">
        <v>10.699999809265099</v>
      </c>
      <c r="T856">
        <v>14.6241998672485</v>
      </c>
      <c r="U856">
        <v>25.264244079589801</v>
      </c>
      <c r="V856">
        <v>11275000</v>
      </c>
      <c r="W856">
        <v>-2.14238309860229</v>
      </c>
      <c r="X856">
        <v>9.9999997764825804E-3</v>
      </c>
      <c r="Y856">
        <v>-1.10344803333282</v>
      </c>
      <c r="Z856">
        <v>3.30069899559021</v>
      </c>
      <c r="AA856">
        <v>29642000</v>
      </c>
      <c r="AB856" t="s">
        <v>27</v>
      </c>
      <c r="AC856" t="s">
        <v>27</v>
      </c>
      <c r="AD856">
        <v>1.0900000333786</v>
      </c>
      <c r="AE856">
        <v>40.592853546142599</v>
      </c>
      <c r="AF856">
        <v>7.4916178102210997</v>
      </c>
      <c r="AG856">
        <v>32007000</v>
      </c>
      <c r="AH856">
        <v>0.74739998579025302</v>
      </c>
      <c r="AI856">
        <v>-1.8705040216445901</v>
      </c>
    </row>
    <row r="857" spans="1:35">
      <c r="A857">
        <f t="shared" si="104"/>
        <v>0</v>
      </c>
      <c r="B857">
        <f t="shared" si="105"/>
        <v>1</v>
      </c>
      <c r="C857">
        <f t="shared" si="106"/>
        <v>1</v>
      </c>
      <c r="D857">
        <f t="shared" si="107"/>
        <v>0</v>
      </c>
      <c r="E857">
        <f t="shared" si="108"/>
        <v>0</v>
      </c>
      <c r="F857">
        <f t="shared" si="109"/>
        <v>1</v>
      </c>
      <c r="G857">
        <f t="shared" si="110"/>
        <v>0</v>
      </c>
      <c r="H857">
        <v>1</v>
      </c>
      <c r="I857">
        <f t="shared" si="111"/>
        <v>0</v>
      </c>
      <c r="J857">
        <f t="shared" si="112"/>
        <v>44.893280029296903</v>
      </c>
      <c r="K857" t="s">
        <v>3589</v>
      </c>
      <c r="L857" t="s">
        <v>3590</v>
      </c>
      <c r="M857" t="s">
        <v>27</v>
      </c>
      <c r="N857" t="s">
        <v>27</v>
      </c>
      <c r="O857">
        <v>5.03</v>
      </c>
      <c r="P857">
        <v>27.9286708831787</v>
      </c>
      <c r="Q857">
        <v>26.172901153564499</v>
      </c>
      <c r="R857">
        <v>12.2200002670288</v>
      </c>
      <c r="S857">
        <v>15</v>
      </c>
      <c r="T857">
        <v>10.602545738220201</v>
      </c>
      <c r="U857">
        <v>48.002246856689503</v>
      </c>
      <c r="V857">
        <v>4402000</v>
      </c>
      <c r="W857">
        <v>8.0934257507324201</v>
      </c>
      <c r="X857">
        <v>0.61000001430511497</v>
      </c>
      <c r="Y857">
        <v>6.4424781799316397</v>
      </c>
      <c r="Z857">
        <v>18.720378875732401</v>
      </c>
      <c r="AA857">
        <v>11674000</v>
      </c>
      <c r="AB857" t="s">
        <v>27</v>
      </c>
      <c r="AC857" t="s">
        <v>27</v>
      </c>
      <c r="AD857">
        <v>7.9999998211860698E-2</v>
      </c>
      <c r="AE857">
        <v>47.785999298095703</v>
      </c>
      <c r="AF857" t="s">
        <v>27</v>
      </c>
      <c r="AG857">
        <v>12819000</v>
      </c>
      <c r="AH857">
        <v>21.5163249969482</v>
      </c>
      <c r="AI857">
        <v>22.418481826782202</v>
      </c>
    </row>
    <row r="858" spans="1:35">
      <c r="A858">
        <f t="shared" si="104"/>
        <v>1</v>
      </c>
      <c r="B858">
        <f t="shared" si="105"/>
        <v>1</v>
      </c>
      <c r="C858">
        <f t="shared" si="106"/>
        <v>0</v>
      </c>
      <c r="D858">
        <f t="shared" si="107"/>
        <v>0</v>
      </c>
      <c r="E858">
        <f t="shared" si="108"/>
        <v>0</v>
      </c>
      <c r="F858">
        <f t="shared" si="109"/>
        <v>1</v>
      </c>
      <c r="G858">
        <f t="shared" si="110"/>
        <v>0</v>
      </c>
      <c r="H858">
        <v>1</v>
      </c>
      <c r="I858">
        <f t="shared" si="111"/>
        <v>1</v>
      </c>
      <c r="J858">
        <f t="shared" si="112"/>
        <v>43.25528240203861</v>
      </c>
      <c r="K858" t="s">
        <v>1622</v>
      </c>
      <c r="L858" t="s">
        <v>1623</v>
      </c>
      <c r="M858" t="s">
        <v>27</v>
      </c>
      <c r="N858" t="s">
        <v>27</v>
      </c>
      <c r="O858">
        <v>6</v>
      </c>
      <c r="P858" t="s">
        <v>27</v>
      </c>
      <c r="Q858">
        <v>9.6888494491577095</v>
      </c>
      <c r="R858">
        <v>1.66999995708466</v>
      </c>
      <c r="S858">
        <v>2.1199998855590798</v>
      </c>
      <c r="T858">
        <v>79.308410644531307</v>
      </c>
      <c r="U858">
        <v>54.903610229492202</v>
      </c>
      <c r="V858">
        <v>-1724999.375</v>
      </c>
      <c r="W858">
        <v>-10.749239921569799</v>
      </c>
      <c r="X858">
        <v>0.28999999165535001</v>
      </c>
      <c r="Y858">
        <v>27.0476188659668</v>
      </c>
      <c r="Z858">
        <v>33.566432952880902</v>
      </c>
      <c r="AA858">
        <v>32321998</v>
      </c>
      <c r="AB858" t="s">
        <v>328</v>
      </c>
      <c r="AC858" t="s">
        <v>329</v>
      </c>
      <c r="AD858">
        <v>5.0000000745058101E-2</v>
      </c>
      <c r="AE858">
        <v>50.124324798583999</v>
      </c>
      <c r="AF858">
        <v>4.8215125281292002</v>
      </c>
      <c r="AG858">
        <v>33897000</v>
      </c>
      <c r="AH858">
        <v>75.572319030761705</v>
      </c>
      <c r="AI858">
        <v>7.2812700271606401</v>
      </c>
    </row>
    <row r="859" spans="1:35">
      <c r="A859">
        <f t="shared" si="104"/>
        <v>1</v>
      </c>
      <c r="B859">
        <f t="shared" si="105"/>
        <v>1</v>
      </c>
      <c r="C859">
        <f t="shared" si="106"/>
        <v>1</v>
      </c>
      <c r="D859">
        <f t="shared" si="107"/>
        <v>1</v>
      </c>
      <c r="E859">
        <f t="shared" si="108"/>
        <v>0</v>
      </c>
      <c r="F859">
        <f t="shared" si="109"/>
        <v>1</v>
      </c>
      <c r="G859">
        <f t="shared" si="110"/>
        <v>1</v>
      </c>
      <c r="H859">
        <v>1</v>
      </c>
      <c r="I859">
        <f t="shared" si="111"/>
        <v>1</v>
      </c>
      <c r="J859">
        <f t="shared" si="112"/>
        <v>42.967964172363295</v>
      </c>
      <c r="K859" t="s">
        <v>3637</v>
      </c>
      <c r="L859" t="s">
        <v>3638</v>
      </c>
      <c r="M859" t="s">
        <v>27</v>
      </c>
      <c r="N859" t="s">
        <v>27</v>
      </c>
      <c r="O859">
        <v>17.86</v>
      </c>
      <c r="P859">
        <v>9.2379302978515607</v>
      </c>
      <c r="Q859">
        <v>21.684179306030298</v>
      </c>
      <c r="R859">
        <v>12.449999809265099</v>
      </c>
      <c r="S859">
        <v>17.959999084472699</v>
      </c>
      <c r="T859">
        <v>19.057422637939499</v>
      </c>
      <c r="U859">
        <v>33.3259887695313</v>
      </c>
      <c r="V859">
        <v>15028000</v>
      </c>
      <c r="W859">
        <v>1.1754020452499401</v>
      </c>
      <c r="X859">
        <v>0.270000010728836</v>
      </c>
      <c r="Y859">
        <v>4.0666670799255398</v>
      </c>
      <c r="Z859">
        <v>21.283784866333001</v>
      </c>
      <c r="AA859">
        <v>35748000</v>
      </c>
      <c r="AB859" t="s">
        <v>328</v>
      </c>
      <c r="AC859" t="s">
        <v>403</v>
      </c>
      <c r="AD859">
        <v>0.43000000715255698</v>
      </c>
      <c r="AE859">
        <v>40.054332733154297</v>
      </c>
      <c r="AF859">
        <v>11.6064921003717</v>
      </c>
      <c r="AG859">
        <v>35985000</v>
      </c>
      <c r="AH859">
        <v>9.7031116485595703</v>
      </c>
      <c r="AI859">
        <v>10.7014818191528</v>
      </c>
    </row>
    <row r="860" spans="1:35">
      <c r="A860">
        <f t="shared" si="104"/>
        <v>1</v>
      </c>
      <c r="B860">
        <f t="shared" si="105"/>
        <v>0</v>
      </c>
      <c r="C860">
        <f t="shared" si="106"/>
        <v>1</v>
      </c>
      <c r="D860">
        <f t="shared" si="107"/>
        <v>1</v>
      </c>
      <c r="E860">
        <f t="shared" si="108"/>
        <v>0</v>
      </c>
      <c r="F860">
        <f t="shared" si="109"/>
        <v>1</v>
      </c>
      <c r="G860">
        <f t="shared" si="110"/>
        <v>0</v>
      </c>
      <c r="H860">
        <v>1</v>
      </c>
      <c r="I860">
        <f t="shared" si="111"/>
        <v>0</v>
      </c>
      <c r="J860">
        <f t="shared" si="112"/>
        <v>42.383773326873772</v>
      </c>
      <c r="K860" t="s">
        <v>3705</v>
      </c>
      <c r="L860" t="s">
        <v>3706</v>
      </c>
      <c r="M860" t="s">
        <v>27</v>
      </c>
      <c r="N860" t="s">
        <v>27</v>
      </c>
      <c r="O860">
        <v>31.89</v>
      </c>
      <c r="P860">
        <v>41.815742492675803</v>
      </c>
      <c r="Q860">
        <v>34.913185119628899</v>
      </c>
      <c r="R860">
        <v>38.090000152587898</v>
      </c>
      <c r="S860">
        <v>41.75</v>
      </c>
      <c r="T860">
        <v>65.703704833984403</v>
      </c>
      <c r="U860">
        <v>28.1429958343506</v>
      </c>
      <c r="V860">
        <v>14875000</v>
      </c>
      <c r="W860">
        <v>18.545883178710898</v>
      </c>
      <c r="X860">
        <v>0.68000000715255704</v>
      </c>
      <c r="Y860">
        <v>7.3333330154418901</v>
      </c>
      <c r="Z860">
        <v>7.4705882072448704</v>
      </c>
      <c r="AA860">
        <v>20086336</v>
      </c>
      <c r="AB860" t="s">
        <v>27</v>
      </c>
      <c r="AC860" t="s">
        <v>27</v>
      </c>
      <c r="AD860">
        <v>0.70999997854232799</v>
      </c>
      <c r="AE860">
        <v>28.085407257080099</v>
      </c>
      <c r="AF860" t="s">
        <v>27</v>
      </c>
      <c r="AG860">
        <v>20120000</v>
      </c>
      <c r="AH860">
        <v>58.669952392578097</v>
      </c>
      <c r="AI860">
        <v>16.677759170532202</v>
      </c>
    </row>
    <row r="861" spans="1:35">
      <c r="A861">
        <f t="shared" si="104"/>
        <v>1</v>
      </c>
      <c r="B861">
        <f t="shared" si="105"/>
        <v>1</v>
      </c>
      <c r="C861">
        <f t="shared" si="106"/>
        <v>1</v>
      </c>
      <c r="D861">
        <f t="shared" si="107"/>
        <v>1</v>
      </c>
      <c r="E861">
        <f t="shared" si="108"/>
        <v>0</v>
      </c>
      <c r="F861">
        <f t="shared" si="109"/>
        <v>1</v>
      </c>
      <c r="G861">
        <f t="shared" si="110"/>
        <v>1</v>
      </c>
      <c r="H861">
        <v>1</v>
      </c>
      <c r="I861">
        <f t="shared" si="111"/>
        <v>0</v>
      </c>
      <c r="J861">
        <f t="shared" si="112"/>
        <v>42.339245319366455</v>
      </c>
      <c r="K861" t="s">
        <v>814</v>
      </c>
      <c r="L861" t="s">
        <v>815</v>
      </c>
      <c r="M861" t="s">
        <v>27</v>
      </c>
      <c r="N861" t="s">
        <v>27</v>
      </c>
      <c r="O861">
        <v>18.600000000000001</v>
      </c>
      <c r="P861">
        <v>45.412384033203097</v>
      </c>
      <c r="Q861">
        <v>37.632900238037102</v>
      </c>
      <c r="R861">
        <v>32.700000762939503</v>
      </c>
      <c r="S861">
        <v>18.6388888888889</v>
      </c>
      <c r="T861">
        <v>6.8419871330261204</v>
      </c>
      <c r="U861">
        <v>45.634101867675803</v>
      </c>
      <c r="V861">
        <v>5852000</v>
      </c>
      <c r="W861">
        <v>23.3549289703369</v>
      </c>
      <c r="X861">
        <v>0.33999999364217098</v>
      </c>
      <c r="Y861">
        <v>5.8894667625427202</v>
      </c>
      <c r="Z861">
        <v>4.7063450813293501</v>
      </c>
      <c r="AA861">
        <v>23611500</v>
      </c>
      <c r="AB861" t="s">
        <v>30</v>
      </c>
      <c r="AC861" t="s">
        <v>68</v>
      </c>
      <c r="AD861">
        <v>0.42999998728434202</v>
      </c>
      <c r="AE861">
        <v>45.703441619872997</v>
      </c>
      <c r="AF861">
        <v>6.1458289804439499</v>
      </c>
      <c r="AG861">
        <v>24828000</v>
      </c>
      <c r="AH861">
        <v>4.5081729888915998</v>
      </c>
      <c r="AI861">
        <v>33.495609283447301</v>
      </c>
    </row>
    <row r="862" spans="1:35">
      <c r="A862">
        <f t="shared" si="104"/>
        <v>1</v>
      </c>
      <c r="B862">
        <f t="shared" si="105"/>
        <v>0</v>
      </c>
      <c r="C862">
        <f t="shared" si="106"/>
        <v>0</v>
      </c>
      <c r="D862">
        <f t="shared" si="107"/>
        <v>1</v>
      </c>
      <c r="E862">
        <f t="shared" si="108"/>
        <v>0</v>
      </c>
      <c r="F862">
        <f t="shared" si="109"/>
        <v>1</v>
      </c>
      <c r="G862">
        <f t="shared" si="110"/>
        <v>1</v>
      </c>
      <c r="H862">
        <v>1</v>
      </c>
      <c r="I862">
        <f t="shared" si="111"/>
        <v>0</v>
      </c>
      <c r="J862">
        <f t="shared" si="112"/>
        <v>41.898358821868896</v>
      </c>
      <c r="K862" t="s">
        <v>3859</v>
      </c>
      <c r="L862" t="s">
        <v>3860</v>
      </c>
      <c r="M862" t="s">
        <v>27</v>
      </c>
      <c r="N862" t="s">
        <v>27</v>
      </c>
      <c r="O862">
        <v>21.95</v>
      </c>
      <c r="P862">
        <v>8.6352233886718803</v>
      </c>
      <c r="Q862">
        <v>4.1919379234314</v>
      </c>
      <c r="R862">
        <v>21.149999618530298</v>
      </c>
      <c r="S862">
        <v>9.25</v>
      </c>
      <c r="T862">
        <v>60.868461608886697</v>
      </c>
      <c r="U862">
        <v>16.638486862182599</v>
      </c>
      <c r="V862">
        <v>-20323000</v>
      </c>
      <c r="W862">
        <v>18.090370178222699</v>
      </c>
      <c r="X862">
        <v>0.72000002861022905</v>
      </c>
      <c r="Y862">
        <v>59.2592582702637</v>
      </c>
      <c r="Z862">
        <v>37.7064208984375</v>
      </c>
      <c r="AA862">
        <v>10570000</v>
      </c>
      <c r="AB862" t="s">
        <v>27</v>
      </c>
      <c r="AC862" t="s">
        <v>27</v>
      </c>
      <c r="AD862">
        <v>1.1000000238418599</v>
      </c>
      <c r="AE862">
        <v>16.7501316070557</v>
      </c>
      <c r="AF862">
        <v>27.355694156928202</v>
      </c>
      <c r="AG862">
        <v>10589000</v>
      </c>
      <c r="AH862">
        <v>56.906833648681598</v>
      </c>
      <c r="AI862">
        <v>12.900915145874</v>
      </c>
    </row>
    <row r="863" spans="1:35">
      <c r="A863">
        <f t="shared" si="104"/>
        <v>1</v>
      </c>
      <c r="B863">
        <f t="shared" si="105"/>
        <v>1</v>
      </c>
      <c r="C863">
        <f t="shared" si="106"/>
        <v>0</v>
      </c>
      <c r="D863">
        <f t="shared" si="107"/>
        <v>0</v>
      </c>
      <c r="E863">
        <f t="shared" si="108"/>
        <v>0</v>
      </c>
      <c r="F863">
        <f t="shared" si="109"/>
        <v>1</v>
      </c>
      <c r="G863">
        <f t="shared" si="110"/>
        <v>0</v>
      </c>
      <c r="H863">
        <v>1</v>
      </c>
      <c r="I863">
        <f t="shared" si="111"/>
        <v>1</v>
      </c>
      <c r="J863">
        <f t="shared" si="112"/>
        <v>41.813580513000502</v>
      </c>
      <c r="K863" t="s">
        <v>915</v>
      </c>
      <c r="L863" t="s">
        <v>916</v>
      </c>
      <c r="M863" t="s">
        <v>27</v>
      </c>
      <c r="N863" t="s">
        <v>27</v>
      </c>
      <c r="O863">
        <v>9.93</v>
      </c>
      <c r="P863">
        <v>11.2890157699585</v>
      </c>
      <c r="Q863">
        <v>15.7193040847778</v>
      </c>
      <c r="R863">
        <v>7.1700000762939498</v>
      </c>
      <c r="S863">
        <v>10.949999809265099</v>
      </c>
      <c r="T863">
        <v>50.745285034179702</v>
      </c>
      <c r="U863">
        <v>61.252590179443402</v>
      </c>
      <c r="V863">
        <v>-3736000</v>
      </c>
      <c r="W863">
        <v>-0.65136599540710405</v>
      </c>
      <c r="X863">
        <v>0.46999999880790699</v>
      </c>
      <c r="Y863">
        <v>7.4725270271301296</v>
      </c>
      <c r="Z863">
        <v>26.094276428222699</v>
      </c>
      <c r="AA863">
        <v>28133000</v>
      </c>
      <c r="AB863" t="s">
        <v>328</v>
      </c>
      <c r="AC863" t="s">
        <v>329</v>
      </c>
      <c r="AD863">
        <v>9.00000035762787E-2</v>
      </c>
      <c r="AE863">
        <v>33.724620819091797</v>
      </c>
      <c r="AF863">
        <v>8.1240101908982201</v>
      </c>
      <c r="AG863">
        <v>28878000</v>
      </c>
      <c r="AH863">
        <v>40.323776245117202</v>
      </c>
      <c r="AI863">
        <v>8.9529390335083008</v>
      </c>
    </row>
    <row r="864" spans="1:35">
      <c r="A864">
        <f t="shared" si="104"/>
        <v>0</v>
      </c>
      <c r="B864">
        <f t="shared" si="105"/>
        <v>1</v>
      </c>
      <c r="C864">
        <f t="shared" si="106"/>
        <v>0</v>
      </c>
      <c r="D864">
        <f t="shared" si="107"/>
        <v>1</v>
      </c>
      <c r="E864">
        <f t="shared" si="108"/>
        <v>0</v>
      </c>
      <c r="F864">
        <f t="shared" si="109"/>
        <v>1</v>
      </c>
      <c r="G864">
        <f t="shared" si="110"/>
        <v>1</v>
      </c>
      <c r="H864">
        <v>1</v>
      </c>
      <c r="I864">
        <f t="shared" si="111"/>
        <v>1</v>
      </c>
      <c r="J864">
        <f t="shared" ref="J864:J927" si="113">Z864+Q864</f>
        <v>41.259357452392599</v>
      </c>
      <c r="K864" t="s">
        <v>1882</v>
      </c>
      <c r="L864" t="s">
        <v>1883</v>
      </c>
      <c r="M864" t="s">
        <v>27</v>
      </c>
      <c r="N864" t="s">
        <v>27</v>
      </c>
      <c r="O864">
        <v>27.98</v>
      </c>
      <c r="P864">
        <v>34.145011901855497</v>
      </c>
      <c r="Q864">
        <v>37.228107452392599</v>
      </c>
      <c r="R864">
        <v>20.844999313354499</v>
      </c>
      <c r="S864">
        <v>12.2250003814697</v>
      </c>
      <c r="T864">
        <v>0</v>
      </c>
      <c r="U864">
        <v>39.329105377197301</v>
      </c>
      <c r="V864">
        <v>-1722000</v>
      </c>
      <c r="W864">
        <v>15.349036216735801</v>
      </c>
      <c r="X864">
        <v>0.15500000119209301</v>
      </c>
      <c r="Y864">
        <v>3.1705069541931201</v>
      </c>
      <c r="Z864">
        <v>4.03125</v>
      </c>
      <c r="AA864">
        <v>47844000</v>
      </c>
      <c r="AB864" t="s">
        <v>30</v>
      </c>
      <c r="AC864" t="s">
        <v>945</v>
      </c>
      <c r="AD864">
        <v>0.19499999284744299</v>
      </c>
      <c r="AE864">
        <v>40.078479766845703</v>
      </c>
      <c r="AF864">
        <v>13.880241763037301</v>
      </c>
      <c r="AG864">
        <v>47602000</v>
      </c>
      <c r="AH864">
        <v>0</v>
      </c>
      <c r="AI864">
        <v>17.530454635620099</v>
      </c>
    </row>
    <row r="865" spans="1:35">
      <c r="A865">
        <f t="shared" ref="A865:A928" si="114">IF(AH865&lt;T865,1,0)</f>
        <v>1</v>
      </c>
      <c r="B865">
        <f t="shared" ref="B865:B928" si="115">IF(AI865&gt;W865,1,0)</f>
        <v>1</v>
      </c>
      <c r="C865">
        <f t="shared" ref="C865:C928" si="116">IF(V865&gt;0,1,0)</f>
        <v>1</v>
      </c>
      <c r="D865">
        <f t="shared" ref="D865:D928" si="117">IF(AD865&gt;X865,1,0)</f>
        <v>1</v>
      </c>
      <c r="E865">
        <f t="shared" ref="E865:E928" si="118">IF(AA865=AG865,1,0)</f>
        <v>0</v>
      </c>
      <c r="F865">
        <f t="shared" ref="F865:F928" si="119">IF(AI865&gt;0,1,0)</f>
        <v>1</v>
      </c>
      <c r="G865">
        <f t="shared" ref="G865:G928" si="120">IF(AE865&gt;U865,1,0)</f>
        <v>0</v>
      </c>
      <c r="H865">
        <v>1</v>
      </c>
      <c r="I865">
        <f t="shared" ref="I865:I928" si="121">IF(((O865-R865)/R865)&gt;0.075,1,0)</f>
        <v>0</v>
      </c>
      <c r="J865">
        <f t="shared" si="113"/>
        <v>39.2893161773681</v>
      </c>
      <c r="K865" t="s">
        <v>2568</v>
      </c>
      <c r="L865" t="s">
        <v>2569</v>
      </c>
      <c r="M865" t="s">
        <v>27</v>
      </c>
      <c r="N865" t="s">
        <v>27</v>
      </c>
      <c r="O865">
        <v>24.03</v>
      </c>
      <c r="P865">
        <v>37.621818542480497</v>
      </c>
      <c r="Q865">
        <v>29.097007751464801</v>
      </c>
      <c r="R865">
        <v>41.939998626708999</v>
      </c>
      <c r="S865">
        <v>19.25</v>
      </c>
      <c r="T865">
        <v>29.471878051757798</v>
      </c>
      <c r="U865">
        <v>44.715080261230497</v>
      </c>
      <c r="V865">
        <v>29617000</v>
      </c>
      <c r="W865">
        <v>22.2043552398682</v>
      </c>
      <c r="X865">
        <v>1.3400000333786</v>
      </c>
      <c r="Y865">
        <v>15.375769615173301</v>
      </c>
      <c r="Z865">
        <v>10.192308425903301</v>
      </c>
      <c r="AA865">
        <v>12169000</v>
      </c>
      <c r="AB865" t="s">
        <v>27</v>
      </c>
      <c r="AC865" t="s">
        <v>27</v>
      </c>
      <c r="AD865">
        <v>1.41999995708466</v>
      </c>
      <c r="AE865">
        <v>43.165550231933601</v>
      </c>
      <c r="AF865">
        <v>6.6149758995834</v>
      </c>
      <c r="AG865">
        <v>11970000</v>
      </c>
      <c r="AH865">
        <v>21.715272903442401</v>
      </c>
      <c r="AI865">
        <v>22.376411437988299</v>
      </c>
    </row>
    <row r="866" spans="1:35">
      <c r="A866">
        <f t="shared" si="114"/>
        <v>1</v>
      </c>
      <c r="B866">
        <f t="shared" si="115"/>
        <v>1</v>
      </c>
      <c r="C866">
        <f t="shared" si="116"/>
        <v>0</v>
      </c>
      <c r="D866">
        <f t="shared" si="117"/>
        <v>1</v>
      </c>
      <c r="E866">
        <f t="shared" si="118"/>
        <v>0</v>
      </c>
      <c r="F866">
        <f t="shared" si="119"/>
        <v>1</v>
      </c>
      <c r="G866">
        <f t="shared" si="120"/>
        <v>0</v>
      </c>
      <c r="H866">
        <v>1</v>
      </c>
      <c r="I866">
        <f t="shared" si="121"/>
        <v>0</v>
      </c>
      <c r="J866">
        <f t="shared" si="113"/>
        <v>38.392827987670898</v>
      </c>
      <c r="K866" t="s">
        <v>1684</v>
      </c>
      <c r="L866" t="s">
        <v>1685</v>
      </c>
      <c r="M866" t="s">
        <v>27</v>
      </c>
      <c r="N866" t="s">
        <v>27</v>
      </c>
      <c r="O866">
        <v>29.65</v>
      </c>
      <c r="P866">
        <v>10.0822591781616</v>
      </c>
      <c r="Q866">
        <v>18.9170227050781</v>
      </c>
      <c r="R866">
        <v>29.129999160766602</v>
      </c>
      <c r="S866">
        <v>34.5200004577637</v>
      </c>
      <c r="T866">
        <v>36.354709625244098</v>
      </c>
      <c r="U866">
        <v>58.553646087646499</v>
      </c>
      <c r="V866">
        <v>-1834999.125</v>
      </c>
      <c r="W866">
        <v>3.9458789825439502</v>
      </c>
      <c r="X866">
        <v>0.67000001668930098</v>
      </c>
      <c r="Y866">
        <v>7.9207921028137198</v>
      </c>
      <c r="Z866">
        <v>19.475805282592798</v>
      </c>
      <c r="AA866">
        <v>29349000</v>
      </c>
      <c r="AB866" t="s">
        <v>27</v>
      </c>
      <c r="AC866" t="s">
        <v>27</v>
      </c>
      <c r="AD866">
        <v>0.74000000953674305</v>
      </c>
      <c r="AE866">
        <v>48.647689819335902</v>
      </c>
      <c r="AF866">
        <v>4.31042906978485</v>
      </c>
      <c r="AG866">
        <v>30388000</v>
      </c>
      <c r="AH866">
        <v>16.076410293579102</v>
      </c>
      <c r="AI866">
        <v>11.2487449645996</v>
      </c>
    </row>
    <row r="867" spans="1:35">
      <c r="A867">
        <f t="shared" si="114"/>
        <v>1</v>
      </c>
      <c r="B867">
        <f t="shared" si="115"/>
        <v>1</v>
      </c>
      <c r="C867">
        <f t="shared" si="116"/>
        <v>1</v>
      </c>
      <c r="D867">
        <f t="shared" si="117"/>
        <v>1</v>
      </c>
      <c r="E867">
        <f t="shared" si="118"/>
        <v>0</v>
      </c>
      <c r="F867">
        <f t="shared" si="119"/>
        <v>1</v>
      </c>
      <c r="G867">
        <f t="shared" si="120"/>
        <v>1</v>
      </c>
      <c r="H867">
        <v>1</v>
      </c>
      <c r="I867">
        <f t="shared" si="121"/>
        <v>0</v>
      </c>
      <c r="J867">
        <f t="shared" si="113"/>
        <v>38.115056991577205</v>
      </c>
      <c r="K867" t="s">
        <v>2194</v>
      </c>
      <c r="L867" t="s">
        <v>2195</v>
      </c>
      <c r="M867" t="s">
        <v>27</v>
      </c>
      <c r="N867" t="s">
        <v>27</v>
      </c>
      <c r="O867">
        <v>39.5</v>
      </c>
      <c r="P867">
        <v>15.2670745849609</v>
      </c>
      <c r="Q867">
        <v>16.376010894775401</v>
      </c>
      <c r="R867">
        <v>40.130001068115199</v>
      </c>
      <c r="S867">
        <v>28.5123966942149</v>
      </c>
      <c r="T867">
        <v>36.273311614990199</v>
      </c>
      <c r="U867">
        <v>14.517557144165</v>
      </c>
      <c r="V867">
        <v>14711999</v>
      </c>
      <c r="W867">
        <v>11.237060546875</v>
      </c>
      <c r="X867">
        <v>1.3388429791474099</v>
      </c>
      <c r="Y867">
        <v>18.692308425903299</v>
      </c>
      <c r="Z867">
        <v>21.7390460968018</v>
      </c>
      <c r="AA867">
        <v>25458400</v>
      </c>
      <c r="AB867" t="s">
        <v>30</v>
      </c>
      <c r="AC867" t="s">
        <v>410</v>
      </c>
      <c r="AD867">
        <v>1.51818177916787</v>
      </c>
      <c r="AE867">
        <v>14.897795677185099</v>
      </c>
      <c r="AF867">
        <v>5.4028146596269702</v>
      </c>
      <c r="AG867">
        <v>26551800</v>
      </c>
      <c r="AH867">
        <v>29.073642730712901</v>
      </c>
      <c r="AI867">
        <v>12.7207899093628</v>
      </c>
    </row>
    <row r="868" spans="1:35">
      <c r="A868">
        <f t="shared" si="114"/>
        <v>0</v>
      </c>
      <c r="B868">
        <f t="shared" si="115"/>
        <v>1</v>
      </c>
      <c r="C868">
        <f t="shared" si="116"/>
        <v>0</v>
      </c>
      <c r="D868">
        <f t="shared" si="117"/>
        <v>1</v>
      </c>
      <c r="E868">
        <f t="shared" si="118"/>
        <v>0</v>
      </c>
      <c r="F868">
        <f t="shared" si="119"/>
        <v>1</v>
      </c>
      <c r="G868">
        <f t="shared" si="120"/>
        <v>1</v>
      </c>
      <c r="H868">
        <v>1</v>
      </c>
      <c r="I868">
        <f t="shared" si="121"/>
        <v>1</v>
      </c>
      <c r="J868">
        <f t="shared" si="113"/>
        <v>38.0376491546631</v>
      </c>
      <c r="K868" t="s">
        <v>2230</v>
      </c>
      <c r="L868" t="s">
        <v>2231</v>
      </c>
      <c r="M868" t="s">
        <v>27</v>
      </c>
      <c r="N868" t="s">
        <v>27</v>
      </c>
      <c r="O868">
        <v>32.89</v>
      </c>
      <c r="P868">
        <v>15.654858589172401</v>
      </c>
      <c r="Q868">
        <v>16.253864288330099</v>
      </c>
      <c r="R868">
        <v>28.674999237060501</v>
      </c>
      <c r="S868">
        <v>18.2299995422363</v>
      </c>
      <c r="T868">
        <v>39.503055572509801</v>
      </c>
      <c r="U868">
        <v>21.404201507568398</v>
      </c>
      <c r="V868">
        <v>-36777000</v>
      </c>
      <c r="W868">
        <v>10.002405166626</v>
      </c>
      <c r="X868">
        <v>1.0299999713897701</v>
      </c>
      <c r="Y868">
        <v>30.356164932251001</v>
      </c>
      <c r="Z868">
        <v>21.783784866333001</v>
      </c>
      <c r="AA868">
        <v>11224724</v>
      </c>
      <c r="AB868" t="s">
        <v>30</v>
      </c>
      <c r="AC868" t="s">
        <v>410</v>
      </c>
      <c r="AD868">
        <v>1.3899999856948899</v>
      </c>
      <c r="AE868">
        <v>22.0627765655518</v>
      </c>
      <c r="AF868">
        <v>6.2066850626169803</v>
      </c>
      <c r="AG868">
        <v>10780000</v>
      </c>
      <c r="AH868">
        <v>42.273300170898402</v>
      </c>
      <c r="AI868">
        <v>14.489280700683601</v>
      </c>
    </row>
    <row r="869" spans="1:35">
      <c r="A869">
        <f t="shared" si="114"/>
        <v>0</v>
      </c>
      <c r="B869">
        <f t="shared" si="115"/>
        <v>0</v>
      </c>
      <c r="C869">
        <f t="shared" si="116"/>
        <v>0</v>
      </c>
      <c r="D869">
        <f t="shared" si="117"/>
        <v>0</v>
      </c>
      <c r="E869">
        <f t="shared" si="118"/>
        <v>0</v>
      </c>
      <c r="F869">
        <f t="shared" si="119"/>
        <v>1</v>
      </c>
      <c r="G869">
        <f t="shared" si="120"/>
        <v>0</v>
      </c>
      <c r="H869">
        <v>1</v>
      </c>
      <c r="I869">
        <f t="shared" si="121"/>
        <v>0</v>
      </c>
      <c r="J869">
        <f t="shared" si="113"/>
        <v>38.031177520752003</v>
      </c>
      <c r="K869" t="s">
        <v>3037</v>
      </c>
      <c r="L869" t="s">
        <v>3038</v>
      </c>
      <c r="M869" t="s">
        <v>27</v>
      </c>
      <c r="N869" t="s">
        <v>27</v>
      </c>
      <c r="O869">
        <v>10</v>
      </c>
      <c r="P869">
        <v>26.607585906982401</v>
      </c>
      <c r="Q869">
        <v>8.4751033782959002</v>
      </c>
      <c r="R869">
        <v>21</v>
      </c>
      <c r="S869">
        <v>21.850000381469702</v>
      </c>
      <c r="T869">
        <v>54.981258392333999</v>
      </c>
      <c r="U869">
        <v>43.068626403808601</v>
      </c>
      <c r="V869">
        <v>-52864000</v>
      </c>
      <c r="W869">
        <v>20.572893142700199</v>
      </c>
      <c r="X869">
        <v>1.8500000238418599</v>
      </c>
      <c r="Y869">
        <v>19.830116271972699</v>
      </c>
      <c r="Z869">
        <v>29.556074142456101</v>
      </c>
      <c r="AA869">
        <v>12181000</v>
      </c>
      <c r="AB869" t="s">
        <v>27</v>
      </c>
      <c r="AC869" t="s">
        <v>27</v>
      </c>
      <c r="AD869">
        <v>0.67000001668930098</v>
      </c>
      <c r="AE869">
        <v>40.939247131347699</v>
      </c>
      <c r="AF869">
        <v>4.9460701037382302</v>
      </c>
      <c r="AG869">
        <v>10983000</v>
      </c>
      <c r="AH869">
        <v>64.145355224609403</v>
      </c>
      <c r="AI869">
        <v>7.17144680023193</v>
      </c>
    </row>
    <row r="870" spans="1:35">
      <c r="A870">
        <f t="shared" si="114"/>
        <v>1</v>
      </c>
      <c r="B870">
        <f t="shared" si="115"/>
        <v>1</v>
      </c>
      <c r="C870">
        <f t="shared" si="116"/>
        <v>1</v>
      </c>
      <c r="D870">
        <f t="shared" si="117"/>
        <v>1</v>
      </c>
      <c r="E870">
        <f t="shared" si="118"/>
        <v>0</v>
      </c>
      <c r="F870">
        <f t="shared" si="119"/>
        <v>1</v>
      </c>
      <c r="G870">
        <f t="shared" si="120"/>
        <v>1</v>
      </c>
      <c r="H870">
        <v>1</v>
      </c>
      <c r="I870">
        <f t="shared" si="121"/>
        <v>0</v>
      </c>
      <c r="J870">
        <f t="shared" si="113"/>
        <v>37.910530090331989</v>
      </c>
      <c r="K870" t="s">
        <v>1181</v>
      </c>
      <c r="L870" t="s">
        <v>1182</v>
      </c>
      <c r="M870" t="s">
        <v>27</v>
      </c>
      <c r="N870" t="s">
        <v>27</v>
      </c>
      <c r="O870">
        <v>10.339</v>
      </c>
      <c r="P870">
        <v>30.612281799316399</v>
      </c>
      <c r="Q870">
        <v>31.425888061523398</v>
      </c>
      <c r="R870">
        <v>18.450000762939499</v>
      </c>
      <c r="S870">
        <v>15.0625</v>
      </c>
      <c r="T870">
        <v>3.9319579601287802</v>
      </c>
      <c r="U870">
        <v>55.0426635742188</v>
      </c>
      <c r="V870">
        <v>1531000.125</v>
      </c>
      <c r="W870">
        <v>22.427425384521499</v>
      </c>
      <c r="X870">
        <v>0.20999999344348899</v>
      </c>
      <c r="Y870">
        <v>6.1132078170776403</v>
      </c>
      <c r="Z870">
        <v>6.4846420288085902</v>
      </c>
      <c r="AA870">
        <v>7889000</v>
      </c>
      <c r="AB870" t="s">
        <v>27</v>
      </c>
      <c r="AC870" t="s">
        <v>27</v>
      </c>
      <c r="AD870">
        <v>0.259999990463257</v>
      </c>
      <c r="AE870">
        <v>58.730709075927699</v>
      </c>
      <c r="AF870">
        <v>5.6348226281673499</v>
      </c>
      <c r="AG870">
        <v>8076999.5</v>
      </c>
      <c r="AH870">
        <v>0.13465900719165799</v>
      </c>
      <c r="AI870">
        <v>25.021224975585898</v>
      </c>
    </row>
    <row r="871" spans="1:35">
      <c r="A871">
        <f t="shared" si="114"/>
        <v>0</v>
      </c>
      <c r="B871">
        <f t="shared" si="115"/>
        <v>1</v>
      </c>
      <c r="C871">
        <f t="shared" si="116"/>
        <v>0</v>
      </c>
      <c r="D871">
        <f t="shared" si="117"/>
        <v>0</v>
      </c>
      <c r="E871">
        <f t="shared" si="118"/>
        <v>0</v>
      </c>
      <c r="F871">
        <f t="shared" si="119"/>
        <v>1</v>
      </c>
      <c r="G871">
        <f t="shared" si="120"/>
        <v>1</v>
      </c>
      <c r="H871">
        <v>1</v>
      </c>
      <c r="I871">
        <f t="shared" si="121"/>
        <v>0</v>
      </c>
      <c r="J871">
        <f t="shared" si="113"/>
        <v>37.163206100463903</v>
      </c>
      <c r="K871" t="s">
        <v>3194</v>
      </c>
      <c r="L871" t="s">
        <v>3195</v>
      </c>
      <c r="M871" t="s">
        <v>27</v>
      </c>
      <c r="N871" t="s">
        <v>27</v>
      </c>
      <c r="O871">
        <v>8.24</v>
      </c>
      <c r="P871">
        <v>26.907833099365199</v>
      </c>
      <c r="Q871">
        <v>24.748823165893601</v>
      </c>
      <c r="R871">
        <v>16</v>
      </c>
      <c r="S871">
        <v>25.829999923706101</v>
      </c>
      <c r="T871">
        <v>26.568912506103501</v>
      </c>
      <c r="U871">
        <v>42.244186401367202</v>
      </c>
      <c r="V871">
        <v>-7029000</v>
      </c>
      <c r="W871">
        <v>14.840313911438001</v>
      </c>
      <c r="X871">
        <v>0.43000000715255698</v>
      </c>
      <c r="Y871">
        <v>6.60495901107788</v>
      </c>
      <c r="Z871">
        <v>12.4143829345703</v>
      </c>
      <c r="AA871">
        <v>35413000</v>
      </c>
      <c r="AB871" t="s">
        <v>30</v>
      </c>
      <c r="AC871" t="s">
        <v>542</v>
      </c>
      <c r="AD871">
        <v>0.31000000238418601</v>
      </c>
      <c r="AE871">
        <v>42.582496643066399</v>
      </c>
      <c r="AF871">
        <v>2.8519498776169399</v>
      </c>
      <c r="AG871">
        <v>36731000</v>
      </c>
      <c r="AH871">
        <v>27.312648773193398</v>
      </c>
      <c r="AI871">
        <v>18.179815292358398</v>
      </c>
    </row>
    <row r="872" spans="1:35">
      <c r="A872">
        <f t="shared" si="114"/>
        <v>1</v>
      </c>
      <c r="B872">
        <f t="shared" si="115"/>
        <v>1</v>
      </c>
      <c r="C872">
        <f t="shared" si="116"/>
        <v>1</v>
      </c>
      <c r="D872">
        <f t="shared" si="117"/>
        <v>0</v>
      </c>
      <c r="E872">
        <f t="shared" si="118"/>
        <v>0</v>
      </c>
      <c r="F872">
        <f t="shared" si="119"/>
        <v>1</v>
      </c>
      <c r="G872">
        <f t="shared" si="120"/>
        <v>0</v>
      </c>
      <c r="H872">
        <v>1</v>
      </c>
      <c r="I872">
        <f t="shared" si="121"/>
        <v>1</v>
      </c>
      <c r="J872">
        <f t="shared" si="113"/>
        <v>37.121515274047901</v>
      </c>
      <c r="K872" t="s">
        <v>2642</v>
      </c>
      <c r="L872" t="s">
        <v>2643</v>
      </c>
      <c r="M872" t="s">
        <v>27</v>
      </c>
      <c r="N872" t="s">
        <v>27</v>
      </c>
      <c r="O872">
        <v>32.25</v>
      </c>
      <c r="P872">
        <v>16.907545089721701</v>
      </c>
      <c r="Q872">
        <v>22.860645294189499</v>
      </c>
      <c r="R872">
        <v>20.824000549316398</v>
      </c>
      <c r="S872">
        <v>16</v>
      </c>
      <c r="T872">
        <v>36.069896697997997</v>
      </c>
      <c r="U872">
        <v>57.2013130187988</v>
      </c>
      <c r="V872">
        <v>18351000</v>
      </c>
      <c r="W872">
        <v>4.3884191513061497</v>
      </c>
      <c r="X872">
        <v>0.58400001525878897</v>
      </c>
      <c r="Y872">
        <v>9.1999998092651403</v>
      </c>
      <c r="Z872">
        <v>14.2608699798584</v>
      </c>
      <c r="AA872">
        <v>25317500</v>
      </c>
      <c r="AB872" t="s">
        <v>27</v>
      </c>
      <c r="AC872" t="s">
        <v>27</v>
      </c>
      <c r="AD872">
        <v>0.53600001335143999</v>
      </c>
      <c r="AE872">
        <v>55.288307189941399</v>
      </c>
      <c r="AF872">
        <v>6.3135297854690897</v>
      </c>
      <c r="AG872">
        <v>26470000</v>
      </c>
      <c r="AH872">
        <v>19.106157302856399</v>
      </c>
      <c r="AI872">
        <v>13.956912040710399</v>
      </c>
    </row>
    <row r="873" spans="1:35">
      <c r="A873">
        <f t="shared" si="114"/>
        <v>1</v>
      </c>
      <c r="B873">
        <f t="shared" si="115"/>
        <v>1</v>
      </c>
      <c r="C873">
        <f t="shared" si="116"/>
        <v>1</v>
      </c>
      <c r="D873">
        <f t="shared" si="117"/>
        <v>0</v>
      </c>
      <c r="E873">
        <f t="shared" si="118"/>
        <v>0</v>
      </c>
      <c r="F873">
        <f t="shared" si="119"/>
        <v>1</v>
      </c>
      <c r="G873">
        <f t="shared" si="120"/>
        <v>0</v>
      </c>
      <c r="H873">
        <v>1</v>
      </c>
      <c r="I873">
        <f t="shared" si="121"/>
        <v>0</v>
      </c>
      <c r="J873">
        <f t="shared" si="113"/>
        <v>37.063519477844267</v>
      </c>
      <c r="K873" t="s">
        <v>3148</v>
      </c>
      <c r="L873" t="s">
        <v>3149</v>
      </c>
      <c r="M873" t="s">
        <v>27</v>
      </c>
      <c r="N873" t="s">
        <v>27</v>
      </c>
      <c r="O873">
        <v>18.809999999999999</v>
      </c>
      <c r="P873">
        <v>32.551311492919901</v>
      </c>
      <c r="Q873">
        <v>32.111442565917997</v>
      </c>
      <c r="R873">
        <v>18.25</v>
      </c>
      <c r="S873">
        <v>11.8333333333333</v>
      </c>
      <c r="T873">
        <v>1.95585596561432</v>
      </c>
      <c r="U873">
        <v>77.091102600097699</v>
      </c>
      <c r="V873">
        <v>5078000</v>
      </c>
      <c r="W873">
        <v>26.179487228393601</v>
      </c>
      <c r="X873">
        <v>0.16000000635782899</v>
      </c>
      <c r="Y873">
        <v>5.0807800292968803</v>
      </c>
      <c r="Z873">
        <v>4.9520769119262704</v>
      </c>
      <c r="AA873">
        <v>16314000.75</v>
      </c>
      <c r="AB873" t="s">
        <v>27</v>
      </c>
      <c r="AC873" t="s">
        <v>27</v>
      </c>
      <c r="AD873">
        <v>0.15999999642372101</v>
      </c>
      <c r="AE873">
        <v>75.469619750976605</v>
      </c>
      <c r="AF873">
        <v>10.6370818914982</v>
      </c>
      <c r="AG873">
        <v>17609000</v>
      </c>
      <c r="AH873">
        <v>0.18511800467968001</v>
      </c>
      <c r="AI873">
        <v>26.651191711425799</v>
      </c>
    </row>
    <row r="874" spans="1:35">
      <c r="A874">
        <f t="shared" si="114"/>
        <v>1</v>
      </c>
      <c r="B874">
        <f t="shared" si="115"/>
        <v>0</v>
      </c>
      <c r="C874">
        <f t="shared" si="116"/>
        <v>1</v>
      </c>
      <c r="D874">
        <f t="shared" si="117"/>
        <v>0</v>
      </c>
      <c r="E874">
        <f t="shared" si="118"/>
        <v>0</v>
      </c>
      <c r="F874">
        <f t="shared" si="119"/>
        <v>1</v>
      </c>
      <c r="G874">
        <f t="shared" si="120"/>
        <v>0</v>
      </c>
      <c r="H874">
        <v>1</v>
      </c>
      <c r="I874">
        <f t="shared" si="121"/>
        <v>1</v>
      </c>
      <c r="J874">
        <f t="shared" si="113"/>
        <v>36.929526329040513</v>
      </c>
      <c r="K874" t="s">
        <v>3302</v>
      </c>
      <c r="L874" t="s">
        <v>3303</v>
      </c>
      <c r="M874" t="s">
        <v>27</v>
      </c>
      <c r="N874" t="s">
        <v>27</v>
      </c>
      <c r="O874">
        <v>16.03</v>
      </c>
      <c r="P874">
        <v>10.8037929534912</v>
      </c>
      <c r="Q874">
        <v>28.902519226074201</v>
      </c>
      <c r="R874">
        <v>14.1099996566772</v>
      </c>
      <c r="S874">
        <v>16.25</v>
      </c>
      <c r="T874">
        <v>5.2466020584106401</v>
      </c>
      <c r="U874" t="s">
        <v>27</v>
      </c>
      <c r="V874">
        <v>20524000</v>
      </c>
      <c r="W874">
        <v>5.7958731651306197</v>
      </c>
      <c r="X874">
        <v>0.20999999344348899</v>
      </c>
      <c r="Y874">
        <v>8.4571428298950195</v>
      </c>
      <c r="Z874">
        <v>8.0270071029663104</v>
      </c>
      <c r="AA874">
        <v>38469000</v>
      </c>
      <c r="AB874" t="s">
        <v>34</v>
      </c>
      <c r="AC874" t="s">
        <v>447</v>
      </c>
      <c r="AD874">
        <v>0.18999999761581399</v>
      </c>
      <c r="AE874" t="s">
        <v>27</v>
      </c>
      <c r="AF874" t="s">
        <v>27</v>
      </c>
      <c r="AG874">
        <v>38876700</v>
      </c>
      <c r="AH874">
        <v>0</v>
      </c>
      <c r="AI874">
        <v>5.6017107963562003</v>
      </c>
    </row>
    <row r="875" spans="1:35">
      <c r="A875">
        <f t="shared" si="114"/>
        <v>0</v>
      </c>
      <c r="B875">
        <f t="shared" si="115"/>
        <v>1</v>
      </c>
      <c r="C875">
        <f t="shared" si="116"/>
        <v>0</v>
      </c>
      <c r="D875">
        <f t="shared" si="117"/>
        <v>0</v>
      </c>
      <c r="E875">
        <f t="shared" si="118"/>
        <v>0</v>
      </c>
      <c r="F875">
        <f t="shared" si="119"/>
        <v>1</v>
      </c>
      <c r="G875">
        <f t="shared" si="120"/>
        <v>0</v>
      </c>
      <c r="H875">
        <v>1</v>
      </c>
      <c r="I875">
        <f t="shared" si="121"/>
        <v>0</v>
      </c>
      <c r="J875">
        <f t="shared" si="113"/>
        <v>36.563377380371101</v>
      </c>
      <c r="K875" t="s">
        <v>3751</v>
      </c>
      <c r="L875" t="s">
        <v>3752</v>
      </c>
      <c r="M875" t="s">
        <v>27</v>
      </c>
      <c r="N875" t="s">
        <v>27</v>
      </c>
      <c r="O875">
        <v>10.83</v>
      </c>
      <c r="P875">
        <v>19.111263275146499</v>
      </c>
      <c r="Q875">
        <v>16.184827804565401</v>
      </c>
      <c r="R875">
        <v>11.680000305175801</v>
      </c>
      <c r="S875">
        <v>18.5100002288818</v>
      </c>
      <c r="T875">
        <v>37.545989990234403</v>
      </c>
      <c r="U875">
        <v>51.915779113769503</v>
      </c>
      <c r="V875">
        <v>-48513004</v>
      </c>
      <c r="W875">
        <v>7.29172706604004</v>
      </c>
      <c r="X875">
        <v>0.93000000715255704</v>
      </c>
      <c r="Y875">
        <v>11.780220031738301</v>
      </c>
      <c r="Z875">
        <v>20.3785495758057</v>
      </c>
      <c r="AA875">
        <v>62801000</v>
      </c>
      <c r="AB875" t="s">
        <v>27</v>
      </c>
      <c r="AC875" t="s">
        <v>27</v>
      </c>
      <c r="AD875">
        <v>0.10000000149011599</v>
      </c>
      <c r="AE875">
        <v>34.075225830078097</v>
      </c>
      <c r="AF875">
        <v>6.0699439260850703</v>
      </c>
      <c r="AG875">
        <v>63080000</v>
      </c>
      <c r="AH875">
        <v>47.531440734863303</v>
      </c>
      <c r="AI875">
        <v>15.6306066513062</v>
      </c>
    </row>
    <row r="876" spans="1:35">
      <c r="A876">
        <f t="shared" si="114"/>
        <v>0</v>
      </c>
      <c r="B876">
        <f t="shared" si="115"/>
        <v>1</v>
      </c>
      <c r="C876">
        <f t="shared" si="116"/>
        <v>0</v>
      </c>
      <c r="D876">
        <f t="shared" si="117"/>
        <v>0</v>
      </c>
      <c r="E876">
        <f t="shared" si="118"/>
        <v>0</v>
      </c>
      <c r="F876">
        <f t="shared" si="119"/>
        <v>1</v>
      </c>
      <c r="G876">
        <f t="shared" si="120"/>
        <v>0</v>
      </c>
      <c r="H876">
        <v>1</v>
      </c>
      <c r="I876">
        <f t="shared" si="121"/>
        <v>0</v>
      </c>
      <c r="J876">
        <f t="shared" si="113"/>
        <v>35.921607017517069</v>
      </c>
      <c r="K876" t="s">
        <v>2700</v>
      </c>
      <c r="L876" t="s">
        <v>2701</v>
      </c>
      <c r="M876" t="s">
        <v>27</v>
      </c>
      <c r="N876" t="s">
        <v>27</v>
      </c>
      <c r="O876">
        <v>3.46</v>
      </c>
      <c r="P876">
        <v>16.499311447143601</v>
      </c>
      <c r="Q876">
        <v>25.981248855590799</v>
      </c>
      <c r="R876">
        <v>5.0100002288818404</v>
      </c>
      <c r="S876">
        <v>4.5625</v>
      </c>
      <c r="T876">
        <v>2.3606190681457502</v>
      </c>
      <c r="U876">
        <v>59.287487030029297</v>
      </c>
      <c r="V876">
        <v>-437999.71875</v>
      </c>
      <c r="W876">
        <v>-1.2408189773559599</v>
      </c>
      <c r="X876">
        <v>0.10000000149011599</v>
      </c>
      <c r="Y876">
        <v>5.42857122421265</v>
      </c>
      <c r="Z876">
        <v>9.9403581619262695</v>
      </c>
      <c r="AA876">
        <v>29917000</v>
      </c>
      <c r="AB876" t="s">
        <v>328</v>
      </c>
      <c r="AC876" t="s">
        <v>329</v>
      </c>
      <c r="AD876">
        <v>7.9999998211860698E-2</v>
      </c>
      <c r="AE876">
        <v>38.991737365722699</v>
      </c>
      <c r="AF876">
        <v>5.4205992514325496</v>
      </c>
      <c r="AG876">
        <v>32523998</v>
      </c>
      <c r="AH876">
        <v>27.1789245605469</v>
      </c>
      <c r="AI876">
        <v>17.568799972534201</v>
      </c>
    </row>
    <row r="877" spans="1:35">
      <c r="A877">
        <f t="shared" si="114"/>
        <v>1</v>
      </c>
      <c r="B877">
        <f t="shared" si="115"/>
        <v>1</v>
      </c>
      <c r="C877">
        <f t="shared" si="116"/>
        <v>1</v>
      </c>
      <c r="D877">
        <f t="shared" si="117"/>
        <v>0</v>
      </c>
      <c r="E877">
        <f t="shared" si="118"/>
        <v>0</v>
      </c>
      <c r="F877">
        <f t="shared" si="119"/>
        <v>1</v>
      </c>
      <c r="G877">
        <f t="shared" si="120"/>
        <v>0</v>
      </c>
      <c r="H877">
        <v>1</v>
      </c>
      <c r="I877">
        <f t="shared" si="121"/>
        <v>1</v>
      </c>
      <c r="J877">
        <f t="shared" si="113"/>
        <v>35.782308578491197</v>
      </c>
      <c r="K877" t="s">
        <v>2941</v>
      </c>
      <c r="L877" t="s">
        <v>2942</v>
      </c>
      <c r="M877" t="s">
        <v>27</v>
      </c>
      <c r="N877" t="s">
        <v>27</v>
      </c>
      <c r="O877">
        <v>18.3</v>
      </c>
      <c r="P877">
        <v>30.1686496734619</v>
      </c>
      <c r="Q877">
        <v>24.323179244995099</v>
      </c>
      <c r="R877">
        <v>16.030000686645501</v>
      </c>
      <c r="S877">
        <v>12.5</v>
      </c>
      <c r="T877">
        <v>20.250471115112301</v>
      </c>
      <c r="U877">
        <v>64.469375610351605</v>
      </c>
      <c r="V877">
        <v>2082000.75</v>
      </c>
      <c r="W877">
        <v>-2.9676830768585201</v>
      </c>
      <c r="X877">
        <v>1.0599999427795399</v>
      </c>
      <c r="Y877">
        <v>12.5508975982666</v>
      </c>
      <c r="Z877">
        <v>11.459129333496101</v>
      </c>
      <c r="AA877">
        <v>21481000</v>
      </c>
      <c r="AB877" t="s">
        <v>27</v>
      </c>
      <c r="AC877" t="s">
        <v>27</v>
      </c>
      <c r="AD877">
        <v>1.9999999552965199E-2</v>
      </c>
      <c r="AE877">
        <v>36.693885803222699</v>
      </c>
      <c r="AF877">
        <v>12.076768589002</v>
      </c>
      <c r="AG877">
        <v>22268000</v>
      </c>
      <c r="AH877">
        <v>18.346031188964801</v>
      </c>
      <c r="AI877">
        <v>28.892879486083999</v>
      </c>
    </row>
    <row r="878" spans="1:35">
      <c r="A878">
        <f t="shared" si="114"/>
        <v>0</v>
      </c>
      <c r="B878">
        <f t="shared" si="115"/>
        <v>1</v>
      </c>
      <c r="C878">
        <f t="shared" si="116"/>
        <v>1</v>
      </c>
      <c r="D878">
        <f t="shared" si="117"/>
        <v>0</v>
      </c>
      <c r="E878">
        <f t="shared" si="118"/>
        <v>0</v>
      </c>
      <c r="F878">
        <f t="shared" si="119"/>
        <v>1</v>
      </c>
      <c r="G878">
        <f t="shared" si="120"/>
        <v>0</v>
      </c>
      <c r="H878">
        <v>1</v>
      </c>
      <c r="I878">
        <f t="shared" si="121"/>
        <v>0</v>
      </c>
      <c r="J878">
        <f t="shared" si="113"/>
        <v>35.208898544311502</v>
      </c>
      <c r="K878" t="s">
        <v>2224</v>
      </c>
      <c r="L878" t="s">
        <v>2225</v>
      </c>
      <c r="M878" t="s">
        <v>27</v>
      </c>
      <c r="N878" t="s">
        <v>27</v>
      </c>
      <c r="O878">
        <v>1.29</v>
      </c>
      <c r="P878">
        <v>18.8442993164063</v>
      </c>
      <c r="Q878">
        <v>12.131975173950201</v>
      </c>
      <c r="R878">
        <v>3.4100000858306898</v>
      </c>
      <c r="S878">
        <v>7.5100002288818404</v>
      </c>
      <c r="T878">
        <v>46.1978569030762</v>
      </c>
      <c r="U878">
        <v>65.780509948730497</v>
      </c>
      <c r="V878">
        <v>26205000</v>
      </c>
      <c r="W878">
        <v>3.65524101257324</v>
      </c>
      <c r="X878">
        <v>0.52999997138977095</v>
      </c>
      <c r="Y878">
        <v>14.1090908050537</v>
      </c>
      <c r="Z878">
        <v>23.0769233703613</v>
      </c>
      <c r="AA878">
        <v>53729000</v>
      </c>
      <c r="AB878" t="s">
        <v>27</v>
      </c>
      <c r="AC878" t="s">
        <v>27</v>
      </c>
      <c r="AD878">
        <v>2.9999999329447701E-2</v>
      </c>
      <c r="AE878">
        <v>35.262939453125</v>
      </c>
      <c r="AF878">
        <v>4.4549858810752099</v>
      </c>
      <c r="AG878">
        <v>47949000</v>
      </c>
      <c r="AH878">
        <v>46.394527435302699</v>
      </c>
      <c r="AI878">
        <v>13.440265655517599</v>
      </c>
    </row>
    <row r="879" spans="1:35">
      <c r="A879">
        <f t="shared" si="114"/>
        <v>1</v>
      </c>
      <c r="B879">
        <f t="shared" si="115"/>
        <v>1</v>
      </c>
      <c r="C879">
        <f t="shared" si="116"/>
        <v>1</v>
      </c>
      <c r="D879">
        <f t="shared" si="117"/>
        <v>1</v>
      </c>
      <c r="E879">
        <f t="shared" si="118"/>
        <v>0</v>
      </c>
      <c r="F879">
        <f t="shared" si="119"/>
        <v>0</v>
      </c>
      <c r="G879">
        <f t="shared" si="120"/>
        <v>1</v>
      </c>
      <c r="H879">
        <v>1</v>
      </c>
      <c r="I879">
        <f t="shared" si="121"/>
        <v>1</v>
      </c>
      <c r="J879">
        <f t="shared" si="113"/>
        <v>34.991335868835499</v>
      </c>
      <c r="K879" t="s">
        <v>1570</v>
      </c>
      <c r="L879" t="s">
        <v>1571</v>
      </c>
      <c r="M879" t="s">
        <v>27</v>
      </c>
      <c r="N879" t="s">
        <v>27</v>
      </c>
      <c r="O879">
        <v>3.85</v>
      </c>
      <c r="P879" t="s">
        <v>27</v>
      </c>
      <c r="Q879">
        <v>15.5468912124634</v>
      </c>
      <c r="R879">
        <v>3.2400000095367401</v>
      </c>
      <c r="S879">
        <v>6.1500000953674299</v>
      </c>
      <c r="T879">
        <v>50.395694732666001</v>
      </c>
      <c r="U879">
        <v>6.0812530517578098</v>
      </c>
      <c r="V879">
        <v>12744001</v>
      </c>
      <c r="W879">
        <v>-8.6489639282226598</v>
      </c>
      <c r="X879">
        <v>-9.9999997764825804E-3</v>
      </c>
      <c r="Y879">
        <v>-2.0869569778442401</v>
      </c>
      <c r="Z879">
        <v>19.444444656372099</v>
      </c>
      <c r="AA879">
        <v>179786000</v>
      </c>
      <c r="AB879" t="s">
        <v>27</v>
      </c>
      <c r="AC879" t="s">
        <v>27</v>
      </c>
      <c r="AD879">
        <v>0.140000000596046</v>
      </c>
      <c r="AE879">
        <v>37.604465484619098</v>
      </c>
      <c r="AF879">
        <v>12.932437665946299</v>
      </c>
      <c r="AG879">
        <v>180684000</v>
      </c>
      <c r="AH879">
        <v>40.627853393554702</v>
      </c>
      <c r="AI879">
        <v>-1.7687859535217301</v>
      </c>
    </row>
    <row r="880" spans="1:35">
      <c r="A880">
        <f t="shared" si="114"/>
        <v>1</v>
      </c>
      <c r="B880">
        <f t="shared" si="115"/>
        <v>1</v>
      </c>
      <c r="C880">
        <f t="shared" si="116"/>
        <v>1</v>
      </c>
      <c r="D880">
        <f t="shared" si="117"/>
        <v>1</v>
      </c>
      <c r="E880">
        <f t="shared" si="118"/>
        <v>0</v>
      </c>
      <c r="F880">
        <f t="shared" si="119"/>
        <v>1</v>
      </c>
      <c r="G880">
        <f t="shared" si="120"/>
        <v>1</v>
      </c>
      <c r="H880">
        <v>1</v>
      </c>
      <c r="I880">
        <f t="shared" si="121"/>
        <v>0</v>
      </c>
      <c r="J880">
        <f t="shared" si="113"/>
        <v>34.909564256668091</v>
      </c>
      <c r="K880" t="s">
        <v>3691</v>
      </c>
      <c r="L880" t="s">
        <v>3692</v>
      </c>
      <c r="M880" t="s">
        <v>27</v>
      </c>
      <c r="N880" t="s">
        <v>27</v>
      </c>
      <c r="O880">
        <v>12.43</v>
      </c>
      <c r="P880">
        <v>26.9796333312988</v>
      </c>
      <c r="Q880">
        <v>32.029163360595703</v>
      </c>
      <c r="R880">
        <v>16.5208129882813</v>
      </c>
      <c r="S880">
        <v>12.625</v>
      </c>
      <c r="T880">
        <v>31.4816989898682</v>
      </c>
      <c r="U880">
        <v>30.992261886596701</v>
      </c>
      <c r="V880">
        <v>2484000</v>
      </c>
      <c r="W880">
        <v>6.8427371978759801</v>
      </c>
      <c r="X880">
        <v>9.6666663885116605E-2</v>
      </c>
      <c r="Y880">
        <v>8.1860456466674805</v>
      </c>
      <c r="Z880">
        <v>2.8804008960723899</v>
      </c>
      <c r="AA880">
        <v>9858000</v>
      </c>
      <c r="AB880" t="s">
        <v>73</v>
      </c>
      <c r="AC880" t="s">
        <v>210</v>
      </c>
      <c r="AD880">
        <v>0.18000000715255701</v>
      </c>
      <c r="AE880">
        <v>33.3506469726563</v>
      </c>
      <c r="AF880" t="s">
        <v>27</v>
      </c>
      <c r="AG880">
        <v>10150000</v>
      </c>
      <c r="AH880">
        <v>10.4844560623169</v>
      </c>
      <c r="AI880">
        <v>10.0914716720581</v>
      </c>
    </row>
    <row r="881" spans="1:35">
      <c r="A881">
        <f t="shared" si="114"/>
        <v>1</v>
      </c>
      <c r="B881">
        <f t="shared" si="115"/>
        <v>1</v>
      </c>
      <c r="C881">
        <f t="shared" si="116"/>
        <v>1</v>
      </c>
      <c r="D881">
        <f t="shared" si="117"/>
        <v>1</v>
      </c>
      <c r="E881">
        <f t="shared" si="118"/>
        <v>0</v>
      </c>
      <c r="F881">
        <f t="shared" si="119"/>
        <v>1</v>
      </c>
      <c r="G881">
        <f t="shared" si="120"/>
        <v>1</v>
      </c>
      <c r="H881">
        <v>1</v>
      </c>
      <c r="I881">
        <f t="shared" si="121"/>
        <v>1</v>
      </c>
      <c r="J881">
        <f t="shared" si="113"/>
        <v>34.619579315185504</v>
      </c>
      <c r="K881" t="s">
        <v>2172</v>
      </c>
      <c r="L881" t="s">
        <v>2173</v>
      </c>
      <c r="M881" t="s">
        <v>27</v>
      </c>
      <c r="N881" t="s">
        <v>27</v>
      </c>
      <c r="O881">
        <v>15.34</v>
      </c>
      <c r="P881" t="s">
        <v>27</v>
      </c>
      <c r="Q881">
        <v>17.842536926269499</v>
      </c>
      <c r="R881">
        <v>11.5</v>
      </c>
      <c r="S881">
        <v>25.579999923706101</v>
      </c>
      <c r="T881">
        <v>22.349229812622099</v>
      </c>
      <c r="U881">
        <v>11.5647640228271</v>
      </c>
      <c r="V881">
        <v>4695000.5</v>
      </c>
      <c r="W881">
        <v>-3.2878599166870099</v>
      </c>
      <c r="X881">
        <v>-0.15000000596046401</v>
      </c>
      <c r="Y881">
        <v>1.96751701831818</v>
      </c>
      <c r="Z881">
        <v>16.777042388916001</v>
      </c>
      <c r="AA881">
        <v>33712000</v>
      </c>
      <c r="AB881" t="s">
        <v>27</v>
      </c>
      <c r="AC881" t="s">
        <v>27</v>
      </c>
      <c r="AD881">
        <v>0.34000000357627902</v>
      </c>
      <c r="AE881">
        <v>19.0247611999512</v>
      </c>
      <c r="AF881">
        <v>18.958977413575401</v>
      </c>
      <c r="AG881">
        <v>34000000</v>
      </c>
      <c r="AH881">
        <v>18.518661499023398</v>
      </c>
      <c r="AI881">
        <v>4.8716359138488796</v>
      </c>
    </row>
    <row r="882" spans="1:35">
      <c r="A882">
        <f t="shared" si="114"/>
        <v>1</v>
      </c>
      <c r="B882">
        <f t="shared" si="115"/>
        <v>1</v>
      </c>
      <c r="C882">
        <f t="shared" si="116"/>
        <v>0</v>
      </c>
      <c r="D882">
        <f t="shared" si="117"/>
        <v>0</v>
      </c>
      <c r="E882">
        <f t="shared" si="118"/>
        <v>0</v>
      </c>
      <c r="F882">
        <f t="shared" si="119"/>
        <v>1</v>
      </c>
      <c r="G882">
        <f t="shared" si="120"/>
        <v>0</v>
      </c>
      <c r="H882">
        <v>1</v>
      </c>
      <c r="I882">
        <f t="shared" si="121"/>
        <v>0</v>
      </c>
      <c r="J882">
        <f t="shared" si="113"/>
        <v>34.486020088195801</v>
      </c>
      <c r="K882" t="s">
        <v>153</v>
      </c>
      <c r="L882" t="s">
        <v>154</v>
      </c>
      <c r="M882" t="s">
        <v>27</v>
      </c>
      <c r="N882" t="s">
        <v>27</v>
      </c>
      <c r="O882">
        <v>6.51</v>
      </c>
      <c r="P882" t="s">
        <v>27</v>
      </c>
      <c r="Q882">
        <v>21.2784729003906</v>
      </c>
      <c r="R882">
        <v>6.4800000190734899</v>
      </c>
      <c r="S882">
        <v>10.3800001144409</v>
      </c>
      <c r="T882">
        <v>76.298858642578097</v>
      </c>
      <c r="U882" t="s">
        <v>27</v>
      </c>
      <c r="V882">
        <v>-10939000</v>
      </c>
      <c r="W882">
        <v>0</v>
      </c>
      <c r="X882">
        <v>0.140000000596046</v>
      </c>
      <c r="Y882">
        <v>14.6478872299194</v>
      </c>
      <c r="Z882">
        <v>13.207547187805201</v>
      </c>
      <c r="AA882">
        <v>65801004</v>
      </c>
      <c r="AB882" t="s">
        <v>27</v>
      </c>
      <c r="AC882" t="s">
        <v>27</v>
      </c>
      <c r="AD882">
        <v>-0.15000000596046401</v>
      </c>
      <c r="AE882" t="s">
        <v>27</v>
      </c>
      <c r="AF882">
        <v>18.325605334511799</v>
      </c>
      <c r="AG882">
        <v>69290000</v>
      </c>
      <c r="AH882">
        <v>54.864063262939503</v>
      </c>
      <c r="AI882">
        <v>9.3629627227783203</v>
      </c>
    </row>
    <row r="883" spans="1:35">
      <c r="A883">
        <f t="shared" si="114"/>
        <v>0</v>
      </c>
      <c r="B883">
        <f t="shared" si="115"/>
        <v>1</v>
      </c>
      <c r="C883">
        <f t="shared" si="116"/>
        <v>1</v>
      </c>
      <c r="D883">
        <f t="shared" si="117"/>
        <v>0</v>
      </c>
      <c r="E883">
        <f t="shared" si="118"/>
        <v>0</v>
      </c>
      <c r="F883">
        <f t="shared" si="119"/>
        <v>1</v>
      </c>
      <c r="G883">
        <f t="shared" si="120"/>
        <v>0</v>
      </c>
      <c r="H883">
        <v>1</v>
      </c>
      <c r="I883">
        <f t="shared" si="121"/>
        <v>0</v>
      </c>
      <c r="J883">
        <f t="shared" si="113"/>
        <v>34.340302467346149</v>
      </c>
      <c r="K883" t="s">
        <v>2276</v>
      </c>
      <c r="L883" t="s">
        <v>2277</v>
      </c>
      <c r="M883" t="s">
        <v>27</v>
      </c>
      <c r="N883" t="s">
        <v>27</v>
      </c>
      <c r="O883">
        <v>17.260000000000002</v>
      </c>
      <c r="P883">
        <v>35.080043792724602</v>
      </c>
      <c r="Q883">
        <v>26.827987670898398</v>
      </c>
      <c r="R883">
        <v>20.780000686645501</v>
      </c>
      <c r="S883">
        <v>15.5625</v>
      </c>
      <c r="T883">
        <v>5.1192312240600604</v>
      </c>
      <c r="U883" t="s">
        <v>27</v>
      </c>
      <c r="V883">
        <v>12453000</v>
      </c>
      <c r="W883">
        <v>3.6143760681152299</v>
      </c>
      <c r="X883">
        <v>0.43999999761581399</v>
      </c>
      <c r="Y883">
        <v>12.6037740707397</v>
      </c>
      <c r="Z883">
        <v>7.5123147964477504</v>
      </c>
      <c r="AA883">
        <v>18670000</v>
      </c>
      <c r="AB883" t="s">
        <v>27</v>
      </c>
      <c r="AC883" t="s">
        <v>27</v>
      </c>
      <c r="AD883">
        <v>0.104999996721745</v>
      </c>
      <c r="AE883" t="s">
        <v>27</v>
      </c>
      <c r="AF883" t="s">
        <v>27</v>
      </c>
      <c r="AG883">
        <v>17760000</v>
      </c>
      <c r="AH883">
        <v>6.2875318527221697</v>
      </c>
      <c r="AI883">
        <v>3.7688369750976598</v>
      </c>
    </row>
    <row r="884" spans="1:35">
      <c r="A884">
        <f t="shared" si="114"/>
        <v>1</v>
      </c>
      <c r="B884">
        <f t="shared" si="115"/>
        <v>0</v>
      </c>
      <c r="C884">
        <f t="shared" si="116"/>
        <v>0</v>
      </c>
      <c r="D884">
        <f t="shared" si="117"/>
        <v>1</v>
      </c>
      <c r="E884">
        <f t="shared" si="118"/>
        <v>0</v>
      </c>
      <c r="F884">
        <f t="shared" si="119"/>
        <v>1</v>
      </c>
      <c r="G884">
        <f t="shared" si="120"/>
        <v>1</v>
      </c>
      <c r="H884">
        <v>1</v>
      </c>
      <c r="I884">
        <f t="shared" si="121"/>
        <v>0</v>
      </c>
      <c r="J884">
        <f t="shared" si="113"/>
        <v>34.266208648681612</v>
      </c>
      <c r="K884" t="s">
        <v>3603</v>
      </c>
      <c r="L884" t="s">
        <v>3604</v>
      </c>
      <c r="M884" t="s">
        <v>27</v>
      </c>
      <c r="N884" t="s">
        <v>27</v>
      </c>
      <c r="O884">
        <v>16.649999999999999</v>
      </c>
      <c r="P884">
        <v>34.952598571777301</v>
      </c>
      <c r="Q884">
        <v>30.171144485473601</v>
      </c>
      <c r="R884">
        <v>27.219999313354499</v>
      </c>
      <c r="S884">
        <v>18.840000152587901</v>
      </c>
      <c r="T884">
        <v>25.960405349731399</v>
      </c>
      <c r="U884">
        <v>33.8170356750488</v>
      </c>
      <c r="V884">
        <v>-17434000</v>
      </c>
      <c r="W884">
        <v>18.247562408447301</v>
      </c>
      <c r="X884">
        <v>0.20999999344348899</v>
      </c>
      <c r="Y884">
        <v>3.8315789699554399</v>
      </c>
      <c r="Z884">
        <v>4.0950641632080096</v>
      </c>
      <c r="AA884">
        <v>30700000</v>
      </c>
      <c r="AB884" t="s">
        <v>27</v>
      </c>
      <c r="AC884" t="s">
        <v>27</v>
      </c>
      <c r="AD884">
        <v>0.259999990463257</v>
      </c>
      <c r="AE884">
        <v>34.539505004882798</v>
      </c>
      <c r="AF884">
        <v>4.8640364459145502</v>
      </c>
      <c r="AG884">
        <v>31100000</v>
      </c>
      <c r="AH884">
        <v>21.4521389007568</v>
      </c>
      <c r="AI884">
        <v>16.633823394775401</v>
      </c>
    </row>
    <row r="885" spans="1:35">
      <c r="A885">
        <f t="shared" si="114"/>
        <v>1</v>
      </c>
      <c r="B885">
        <f t="shared" si="115"/>
        <v>1</v>
      </c>
      <c r="C885">
        <f t="shared" si="116"/>
        <v>1</v>
      </c>
      <c r="D885">
        <f t="shared" si="117"/>
        <v>1</v>
      </c>
      <c r="E885">
        <f t="shared" si="118"/>
        <v>0</v>
      </c>
      <c r="F885">
        <f t="shared" si="119"/>
        <v>1</v>
      </c>
      <c r="G885">
        <f t="shared" si="120"/>
        <v>0</v>
      </c>
      <c r="H885">
        <v>1</v>
      </c>
      <c r="I885">
        <f t="shared" si="121"/>
        <v>1</v>
      </c>
      <c r="J885">
        <f t="shared" si="113"/>
        <v>34.019275188446002</v>
      </c>
      <c r="K885" t="s">
        <v>59</v>
      </c>
      <c r="L885" t="s">
        <v>60</v>
      </c>
      <c r="M885" t="s">
        <v>27</v>
      </c>
      <c r="N885" t="s">
        <v>27</v>
      </c>
      <c r="O885">
        <v>16.190000000000001</v>
      </c>
      <c r="P885">
        <v>27.481706619262699</v>
      </c>
      <c r="Q885">
        <v>26.203575134277301</v>
      </c>
      <c r="R885">
        <v>13.132999420166</v>
      </c>
      <c r="S885">
        <v>10.2222222222222</v>
      </c>
      <c r="T885">
        <v>21.367912292480501</v>
      </c>
      <c r="U885">
        <v>21.696361541748001</v>
      </c>
      <c r="V885">
        <v>8112000</v>
      </c>
      <c r="W885">
        <v>17.7662544250488</v>
      </c>
      <c r="X885">
        <v>0.25777777036031102</v>
      </c>
      <c r="Y885">
        <v>8.2916669845581108</v>
      </c>
      <c r="Z885">
        <v>7.8157000541687003</v>
      </c>
      <c r="AA885">
        <v>13081500</v>
      </c>
      <c r="AB885" t="s">
        <v>61</v>
      </c>
      <c r="AC885" t="s">
        <v>62</v>
      </c>
      <c r="AD885">
        <v>0.26666667726304799</v>
      </c>
      <c r="AE885">
        <v>21.093187332153299</v>
      </c>
      <c r="AF885">
        <v>7.6414822919666001</v>
      </c>
      <c r="AG885">
        <v>12987000</v>
      </c>
      <c r="AH885">
        <v>11.4872446060181</v>
      </c>
      <c r="AI885">
        <v>18.8877563476563</v>
      </c>
    </row>
    <row r="886" spans="1:35">
      <c r="A886">
        <f t="shared" si="114"/>
        <v>1</v>
      </c>
      <c r="B886">
        <f t="shared" si="115"/>
        <v>0</v>
      </c>
      <c r="C886">
        <f t="shared" si="116"/>
        <v>1</v>
      </c>
      <c r="D886">
        <f t="shared" si="117"/>
        <v>1</v>
      </c>
      <c r="E886">
        <f t="shared" si="118"/>
        <v>0</v>
      </c>
      <c r="F886">
        <f t="shared" si="119"/>
        <v>1</v>
      </c>
      <c r="G886">
        <f t="shared" si="120"/>
        <v>1</v>
      </c>
      <c r="H886">
        <v>1</v>
      </c>
      <c r="I886">
        <f t="shared" si="121"/>
        <v>0</v>
      </c>
      <c r="J886">
        <f t="shared" si="113"/>
        <v>33.869378089904799</v>
      </c>
      <c r="K886" t="s">
        <v>1418</v>
      </c>
      <c r="L886" t="s">
        <v>1419</v>
      </c>
      <c r="M886" t="s">
        <v>27</v>
      </c>
      <c r="N886" t="s">
        <v>27</v>
      </c>
      <c r="O886">
        <v>2.23</v>
      </c>
      <c r="P886">
        <v>15.828327178955099</v>
      </c>
      <c r="Q886">
        <v>15.9831991195679</v>
      </c>
      <c r="R886">
        <v>8.3100004196166992</v>
      </c>
      <c r="S886">
        <v>5.078125</v>
      </c>
      <c r="T886">
        <v>89.900108337402301</v>
      </c>
      <c r="U886">
        <v>14.4442644119263</v>
      </c>
      <c r="V886">
        <v>39332000</v>
      </c>
      <c r="W886">
        <v>2.3807599544525102</v>
      </c>
      <c r="X886">
        <v>0.15000000596046401</v>
      </c>
      <c r="Y886">
        <v>13.920000076293899</v>
      </c>
      <c r="Z886">
        <v>17.8861789703369</v>
      </c>
      <c r="AA886">
        <v>25059000</v>
      </c>
      <c r="AB886" t="s">
        <v>27</v>
      </c>
      <c r="AC886" t="s">
        <v>27</v>
      </c>
      <c r="AD886">
        <v>0.31000000238418601</v>
      </c>
      <c r="AE886">
        <v>14.535236358642599</v>
      </c>
      <c r="AF886">
        <v>7.5720554189673903</v>
      </c>
      <c r="AG886">
        <v>23629000</v>
      </c>
      <c r="AH886">
        <v>85.492576599121094</v>
      </c>
      <c r="AI886">
        <v>2.2197229862213099</v>
      </c>
    </row>
    <row r="887" spans="1:35">
      <c r="A887">
        <f t="shared" si="114"/>
        <v>1</v>
      </c>
      <c r="B887">
        <f t="shared" si="115"/>
        <v>1</v>
      </c>
      <c r="C887">
        <f t="shared" si="116"/>
        <v>1</v>
      </c>
      <c r="D887">
        <f t="shared" si="117"/>
        <v>0</v>
      </c>
      <c r="E887">
        <f t="shared" si="118"/>
        <v>0</v>
      </c>
      <c r="F887">
        <f t="shared" si="119"/>
        <v>1</v>
      </c>
      <c r="G887">
        <f t="shared" si="120"/>
        <v>0</v>
      </c>
      <c r="H887">
        <v>1</v>
      </c>
      <c r="I887">
        <f t="shared" si="121"/>
        <v>1</v>
      </c>
      <c r="J887">
        <f t="shared" si="113"/>
        <v>33.807956695556598</v>
      </c>
      <c r="K887" t="s">
        <v>1686</v>
      </c>
      <c r="L887" t="s">
        <v>1687</v>
      </c>
      <c r="M887" t="s">
        <v>27</v>
      </c>
      <c r="N887" t="s">
        <v>27</v>
      </c>
      <c r="O887">
        <v>29.13</v>
      </c>
      <c r="P887">
        <v>9.3749408721923793</v>
      </c>
      <c r="Q887">
        <v>13.2096652984619</v>
      </c>
      <c r="R887">
        <v>21.2399997711182</v>
      </c>
      <c r="S887">
        <v>9.6999998092651403</v>
      </c>
      <c r="T887">
        <v>54.678943634033203</v>
      </c>
      <c r="U887">
        <v>18.837400436401399</v>
      </c>
      <c r="V887">
        <v>36024000</v>
      </c>
      <c r="W887">
        <v>4.1809067726135298</v>
      </c>
      <c r="X887">
        <v>0.85000002384185802</v>
      </c>
      <c r="Y887">
        <v>21.7931022644043</v>
      </c>
      <c r="Z887">
        <v>20.598291397094702</v>
      </c>
      <c r="AA887">
        <v>21205476</v>
      </c>
      <c r="AB887" t="s">
        <v>30</v>
      </c>
      <c r="AC887" t="s">
        <v>410</v>
      </c>
      <c r="AD887">
        <v>0.769999980926514</v>
      </c>
      <c r="AE887">
        <v>18.491653442382798</v>
      </c>
      <c r="AF887">
        <v>4.4601022434601596</v>
      </c>
      <c r="AG887">
        <v>27877000</v>
      </c>
      <c r="AH887">
        <v>47.764640808105497</v>
      </c>
      <c r="AI887">
        <v>6.5730237960815403</v>
      </c>
    </row>
    <row r="888" spans="1:35">
      <c r="A888">
        <f t="shared" si="114"/>
        <v>1</v>
      </c>
      <c r="B888">
        <f t="shared" si="115"/>
        <v>0</v>
      </c>
      <c r="C888">
        <f t="shared" si="116"/>
        <v>1</v>
      </c>
      <c r="D888">
        <f t="shared" si="117"/>
        <v>0</v>
      </c>
      <c r="E888">
        <f t="shared" si="118"/>
        <v>0</v>
      </c>
      <c r="F888">
        <f t="shared" si="119"/>
        <v>1</v>
      </c>
      <c r="G888">
        <f t="shared" si="120"/>
        <v>0</v>
      </c>
      <c r="H888">
        <v>1</v>
      </c>
      <c r="I888">
        <f t="shared" si="121"/>
        <v>0</v>
      </c>
      <c r="J888">
        <f t="shared" si="113"/>
        <v>33.655381202697789</v>
      </c>
      <c r="K888" t="s">
        <v>853</v>
      </c>
      <c r="L888" t="s">
        <v>854</v>
      </c>
      <c r="M888" t="s">
        <v>27</v>
      </c>
      <c r="N888" t="s">
        <v>27</v>
      </c>
      <c r="O888">
        <v>7.2</v>
      </c>
      <c r="P888">
        <v>19.438360214233398</v>
      </c>
      <c r="Q888">
        <v>25.463499069213899</v>
      </c>
      <c r="R888">
        <v>14.930000305175801</v>
      </c>
      <c r="S888">
        <v>13.689999580383301</v>
      </c>
      <c r="T888">
        <v>11.156702041626</v>
      </c>
      <c r="U888" t="s">
        <v>27</v>
      </c>
      <c r="V888">
        <v>21664000</v>
      </c>
      <c r="W888">
        <v>6.7624011039733896</v>
      </c>
      <c r="X888">
        <v>0.31000000238418601</v>
      </c>
      <c r="Y888">
        <v>11.565217018127401</v>
      </c>
      <c r="Z888">
        <v>8.1918821334838903</v>
      </c>
      <c r="AA888">
        <v>42916000</v>
      </c>
      <c r="AB888" t="s">
        <v>27</v>
      </c>
      <c r="AC888" t="s">
        <v>27</v>
      </c>
      <c r="AD888">
        <v>0.28000000119209301</v>
      </c>
      <c r="AE888" t="s">
        <v>27</v>
      </c>
      <c r="AF888" t="s">
        <v>27</v>
      </c>
      <c r="AG888">
        <v>42753000</v>
      </c>
      <c r="AH888">
        <v>7.86546087265015</v>
      </c>
      <c r="AI888">
        <v>5.9486961364746103</v>
      </c>
    </row>
    <row r="889" spans="1:35">
      <c r="A889">
        <f t="shared" si="114"/>
        <v>1</v>
      </c>
      <c r="B889">
        <f t="shared" si="115"/>
        <v>1</v>
      </c>
      <c r="C889">
        <f t="shared" si="116"/>
        <v>1</v>
      </c>
      <c r="D889">
        <f t="shared" si="117"/>
        <v>0</v>
      </c>
      <c r="E889">
        <f t="shared" si="118"/>
        <v>0</v>
      </c>
      <c r="F889">
        <f t="shared" si="119"/>
        <v>1</v>
      </c>
      <c r="G889">
        <f t="shared" si="120"/>
        <v>1</v>
      </c>
      <c r="H889">
        <v>1</v>
      </c>
      <c r="I889">
        <f t="shared" si="121"/>
        <v>1</v>
      </c>
      <c r="J889">
        <f t="shared" si="113"/>
        <v>33.654504776001005</v>
      </c>
      <c r="K889" t="s">
        <v>2752</v>
      </c>
      <c r="L889" t="s">
        <v>2753</v>
      </c>
      <c r="M889" t="s">
        <v>27</v>
      </c>
      <c r="N889" t="s">
        <v>27</v>
      </c>
      <c r="O889">
        <v>29.42</v>
      </c>
      <c r="P889">
        <v>17.333196640014599</v>
      </c>
      <c r="Q889">
        <v>16.758630752563501</v>
      </c>
      <c r="R889">
        <v>19.909999847412099</v>
      </c>
      <c r="S889">
        <v>35.9375</v>
      </c>
      <c r="T889">
        <v>1.651162981987</v>
      </c>
      <c r="U889">
        <v>64.073303222656307</v>
      </c>
      <c r="V889">
        <v>3670000</v>
      </c>
      <c r="W889">
        <v>10.4798383712769</v>
      </c>
      <c r="X889">
        <v>0.56000000238418601</v>
      </c>
      <c r="Y889">
        <v>4.17492723464966</v>
      </c>
      <c r="Z889">
        <v>16.8958740234375</v>
      </c>
      <c r="AA889">
        <v>13185000</v>
      </c>
      <c r="AB889" t="s">
        <v>27</v>
      </c>
      <c r="AC889" t="s">
        <v>27</v>
      </c>
      <c r="AD889">
        <v>0.37000000476837203</v>
      </c>
      <c r="AE889">
        <v>65.788436889648395</v>
      </c>
      <c r="AF889">
        <v>3.4688014933639701</v>
      </c>
      <c r="AG889">
        <v>12321000</v>
      </c>
      <c r="AH889">
        <v>0.87639999389648404</v>
      </c>
      <c r="AI889">
        <v>12.055360794067401</v>
      </c>
    </row>
    <row r="890" spans="1:35">
      <c r="A890">
        <f t="shared" si="114"/>
        <v>1</v>
      </c>
      <c r="B890">
        <f t="shared" si="115"/>
        <v>1</v>
      </c>
      <c r="C890">
        <f t="shared" si="116"/>
        <v>0</v>
      </c>
      <c r="D890">
        <f t="shared" si="117"/>
        <v>0</v>
      </c>
      <c r="E890">
        <f t="shared" si="118"/>
        <v>0</v>
      </c>
      <c r="F890">
        <f t="shared" si="119"/>
        <v>1</v>
      </c>
      <c r="G890">
        <f t="shared" si="120"/>
        <v>0</v>
      </c>
      <c r="H890">
        <v>1</v>
      </c>
      <c r="I890">
        <f t="shared" si="121"/>
        <v>1</v>
      </c>
      <c r="J890">
        <f t="shared" si="113"/>
        <v>33.480014324188268</v>
      </c>
      <c r="K890" t="s">
        <v>2676</v>
      </c>
      <c r="L890" t="s">
        <v>2677</v>
      </c>
      <c r="M890" t="s">
        <v>27</v>
      </c>
      <c r="N890" t="s">
        <v>27</v>
      </c>
      <c r="O890">
        <v>34.75</v>
      </c>
      <c r="P890">
        <v>7.4426498413085902</v>
      </c>
      <c r="Q890">
        <v>7.8317008018493697</v>
      </c>
      <c r="R890">
        <v>29.75</v>
      </c>
      <c r="S890">
        <v>30</v>
      </c>
      <c r="T890">
        <v>36.2203559875488</v>
      </c>
      <c r="U890">
        <v>69.566749572753906</v>
      </c>
      <c r="V890">
        <v>-123537000</v>
      </c>
      <c r="W890">
        <v>5.4634971618652299</v>
      </c>
      <c r="X890">
        <v>0.87999999523162797</v>
      </c>
      <c r="Y890">
        <v>10.653845787048301</v>
      </c>
      <c r="Z890">
        <v>25.648313522338899</v>
      </c>
      <c r="AA890">
        <v>8312000</v>
      </c>
      <c r="AB890" t="s">
        <v>328</v>
      </c>
      <c r="AC890" t="s">
        <v>329</v>
      </c>
      <c r="AD890">
        <v>0.479999989271164</v>
      </c>
      <c r="AE890">
        <v>64.356437683105497</v>
      </c>
      <c r="AF890" t="s">
        <v>27</v>
      </c>
      <c r="AG890">
        <v>8869000</v>
      </c>
      <c r="AH890">
        <v>31.633609771728501</v>
      </c>
      <c r="AI890">
        <v>14.468189239501999</v>
      </c>
    </row>
    <row r="891" spans="1:35">
      <c r="A891">
        <f t="shared" si="114"/>
        <v>1</v>
      </c>
      <c r="B891">
        <f t="shared" si="115"/>
        <v>0</v>
      </c>
      <c r="C891">
        <f t="shared" si="116"/>
        <v>1</v>
      </c>
      <c r="D891">
        <f t="shared" si="117"/>
        <v>0</v>
      </c>
      <c r="E891">
        <f t="shared" si="118"/>
        <v>0</v>
      </c>
      <c r="F891">
        <f t="shared" si="119"/>
        <v>1</v>
      </c>
      <c r="G891">
        <f t="shared" si="120"/>
        <v>0</v>
      </c>
      <c r="H891">
        <v>1</v>
      </c>
      <c r="I891">
        <f t="shared" si="121"/>
        <v>0</v>
      </c>
      <c r="J891">
        <f t="shared" si="113"/>
        <v>32.996168136596722</v>
      </c>
      <c r="K891" t="s">
        <v>618</v>
      </c>
      <c r="L891" t="s">
        <v>619</v>
      </c>
      <c r="M891" t="s">
        <v>27</v>
      </c>
      <c r="N891" t="s">
        <v>27</v>
      </c>
      <c r="O891">
        <v>43.9</v>
      </c>
      <c r="P891" t="s">
        <v>27</v>
      </c>
      <c r="Q891">
        <v>29.435829162597699</v>
      </c>
      <c r="R891">
        <v>66.279998779296903</v>
      </c>
      <c r="S891">
        <v>84.8125</v>
      </c>
      <c r="T891">
        <v>2.5715250968933101</v>
      </c>
      <c r="U891">
        <v>52.577598571777301</v>
      </c>
      <c r="V891">
        <v>11617001</v>
      </c>
      <c r="W891">
        <v>29.559066772460898</v>
      </c>
      <c r="X891">
        <v>0.40999999642372098</v>
      </c>
      <c r="Y891">
        <v>2.9166669845581099</v>
      </c>
      <c r="Z891">
        <v>3.5603389739990199</v>
      </c>
      <c r="AA891">
        <v>23590000</v>
      </c>
      <c r="AB891" t="s">
        <v>38</v>
      </c>
      <c r="AC891" t="s">
        <v>118</v>
      </c>
      <c r="AD891">
        <v>0.37999999523162797</v>
      </c>
      <c r="AE891">
        <v>50.779014587402301</v>
      </c>
      <c r="AF891">
        <v>13.8966020638901</v>
      </c>
      <c r="AG891">
        <v>24080000</v>
      </c>
      <c r="AH891">
        <v>1.77953100204468</v>
      </c>
      <c r="AI891">
        <v>25.1824741363525</v>
      </c>
    </row>
    <row r="892" spans="1:35">
      <c r="A892">
        <f t="shared" si="114"/>
        <v>0</v>
      </c>
      <c r="B892">
        <f t="shared" si="115"/>
        <v>1</v>
      </c>
      <c r="C892">
        <f t="shared" si="116"/>
        <v>1</v>
      </c>
      <c r="D892">
        <f t="shared" si="117"/>
        <v>1</v>
      </c>
      <c r="E892">
        <f t="shared" si="118"/>
        <v>0</v>
      </c>
      <c r="F892">
        <f t="shared" si="119"/>
        <v>1</v>
      </c>
      <c r="G892">
        <f t="shared" si="120"/>
        <v>0</v>
      </c>
      <c r="H892">
        <v>1</v>
      </c>
      <c r="I892">
        <f t="shared" si="121"/>
        <v>0</v>
      </c>
      <c r="J892">
        <f t="shared" si="113"/>
        <v>32.559299468994155</v>
      </c>
      <c r="K892" t="s">
        <v>2811</v>
      </c>
      <c r="L892" t="s">
        <v>2812</v>
      </c>
      <c r="M892" t="s">
        <v>27</v>
      </c>
      <c r="N892" t="s">
        <v>27</v>
      </c>
      <c r="O892">
        <v>21.61</v>
      </c>
      <c r="P892">
        <v>23.720737457275401</v>
      </c>
      <c r="Q892">
        <v>22.988193511962901</v>
      </c>
      <c r="R892">
        <v>20.5</v>
      </c>
      <c r="S892">
        <v>29</v>
      </c>
      <c r="T892">
        <v>0</v>
      </c>
      <c r="U892">
        <v>64.813957214355497</v>
      </c>
      <c r="V892">
        <v>3809000</v>
      </c>
      <c r="W892">
        <v>12.939061164856</v>
      </c>
      <c r="X892">
        <v>0.440000017484029</v>
      </c>
      <c r="Y892">
        <v>3.8122069835662802</v>
      </c>
      <c r="Z892">
        <v>9.57110595703125</v>
      </c>
      <c r="AA892">
        <v>12777000</v>
      </c>
      <c r="AB892" t="s">
        <v>27</v>
      </c>
      <c r="AC892" t="s">
        <v>27</v>
      </c>
      <c r="AD892">
        <v>0.56000000238418601</v>
      </c>
      <c r="AE892">
        <v>46.267345428466797</v>
      </c>
      <c r="AF892">
        <v>15.200106283293801</v>
      </c>
      <c r="AG892">
        <v>12721000</v>
      </c>
      <c r="AH892">
        <v>0</v>
      </c>
      <c r="AI892">
        <v>24.661392211914102</v>
      </c>
    </row>
    <row r="893" spans="1:35">
      <c r="A893">
        <f t="shared" si="114"/>
        <v>1</v>
      </c>
      <c r="B893">
        <f t="shared" si="115"/>
        <v>1</v>
      </c>
      <c r="C893">
        <f t="shared" si="116"/>
        <v>0</v>
      </c>
      <c r="D893">
        <f t="shared" si="117"/>
        <v>0</v>
      </c>
      <c r="E893">
        <f t="shared" si="118"/>
        <v>0</v>
      </c>
      <c r="F893">
        <f t="shared" si="119"/>
        <v>1</v>
      </c>
      <c r="G893">
        <f t="shared" si="120"/>
        <v>0</v>
      </c>
      <c r="H893">
        <v>1</v>
      </c>
      <c r="I893">
        <f t="shared" si="121"/>
        <v>0</v>
      </c>
      <c r="J893">
        <f t="shared" si="113"/>
        <v>32.527381896972599</v>
      </c>
      <c r="K893" t="s">
        <v>42</v>
      </c>
      <c r="L893" t="s">
        <v>43</v>
      </c>
      <c r="M893" t="s">
        <v>27</v>
      </c>
      <c r="N893" t="s">
        <v>27</v>
      </c>
      <c r="O893">
        <v>14.35</v>
      </c>
      <c r="P893" t="s">
        <v>27</v>
      </c>
      <c r="Q893">
        <v>16.457206726074201</v>
      </c>
      <c r="R893">
        <v>14.1000003814697</v>
      </c>
      <c r="S893">
        <v>16.75</v>
      </c>
      <c r="T893">
        <v>29.868442535400401</v>
      </c>
      <c r="U893">
        <v>67.450729370117202</v>
      </c>
      <c r="V893">
        <v>-21892000</v>
      </c>
      <c r="W893">
        <v>-3.3129808902740501</v>
      </c>
      <c r="X893">
        <v>0.57999998331069902</v>
      </c>
      <c r="Y893">
        <v>8.8965520858764595</v>
      </c>
      <c r="Z893">
        <v>16.070175170898398</v>
      </c>
      <c r="AA893">
        <v>14507000</v>
      </c>
      <c r="AB893" t="s">
        <v>27</v>
      </c>
      <c r="AC893" t="s">
        <v>27</v>
      </c>
      <c r="AD893">
        <v>-7.0000000298023196E-2</v>
      </c>
      <c r="AE893">
        <v>37.034904479980497</v>
      </c>
      <c r="AF893">
        <v>9.3588996132656792</v>
      </c>
      <c r="AG893">
        <v>15918000</v>
      </c>
      <c r="AH893">
        <v>26.215906143188501</v>
      </c>
      <c r="AI893">
        <v>15.6749362945557</v>
      </c>
    </row>
    <row r="894" spans="1:35">
      <c r="A894">
        <f t="shared" si="114"/>
        <v>1</v>
      </c>
      <c r="B894">
        <f t="shared" si="115"/>
        <v>0</v>
      </c>
      <c r="C894">
        <f t="shared" si="116"/>
        <v>1</v>
      </c>
      <c r="D894">
        <f t="shared" si="117"/>
        <v>1</v>
      </c>
      <c r="E894">
        <f t="shared" si="118"/>
        <v>0</v>
      </c>
      <c r="F894">
        <f t="shared" si="119"/>
        <v>1</v>
      </c>
      <c r="G894">
        <f t="shared" si="120"/>
        <v>0</v>
      </c>
      <c r="H894">
        <v>1</v>
      </c>
      <c r="I894">
        <f t="shared" si="121"/>
        <v>1</v>
      </c>
      <c r="J894">
        <f t="shared" si="113"/>
        <v>32.439759254455602</v>
      </c>
      <c r="K894" t="s">
        <v>3885</v>
      </c>
      <c r="L894" t="s">
        <v>3886</v>
      </c>
      <c r="M894" t="s">
        <v>27</v>
      </c>
      <c r="N894" t="s">
        <v>27</v>
      </c>
      <c r="O894">
        <v>8.5299999999999994</v>
      </c>
      <c r="P894">
        <v>18.6741237640381</v>
      </c>
      <c r="Q894">
        <v>20.011188507080099</v>
      </c>
      <c r="R894">
        <v>7.5</v>
      </c>
      <c r="S894">
        <v>5.9375</v>
      </c>
      <c r="T894">
        <v>56.629146575927699</v>
      </c>
      <c r="U894" t="s">
        <v>27</v>
      </c>
      <c r="V894">
        <v>10881000</v>
      </c>
      <c r="W894">
        <v>9.8758277893066406</v>
      </c>
      <c r="X894">
        <v>0.18000000715255701</v>
      </c>
      <c r="Y894">
        <v>14.920245170593301</v>
      </c>
      <c r="Z894">
        <v>12.428570747375501</v>
      </c>
      <c r="AA894">
        <v>18628000</v>
      </c>
      <c r="AB894" t="s">
        <v>34</v>
      </c>
      <c r="AC894" t="s">
        <v>395</v>
      </c>
      <c r="AD894">
        <v>0.20000000298023199</v>
      </c>
      <c r="AE894" t="s">
        <v>27</v>
      </c>
      <c r="AF894">
        <v>3.6859975123658599</v>
      </c>
      <c r="AG894">
        <v>18772792</v>
      </c>
      <c r="AH894">
        <v>50.991046905517599</v>
      </c>
      <c r="AI894">
        <v>9.2688474655151403</v>
      </c>
    </row>
    <row r="895" spans="1:35">
      <c r="A895">
        <f t="shared" si="114"/>
        <v>1</v>
      </c>
      <c r="B895">
        <f t="shared" si="115"/>
        <v>0</v>
      </c>
      <c r="C895">
        <f t="shared" si="116"/>
        <v>1</v>
      </c>
      <c r="D895">
        <f t="shared" si="117"/>
        <v>1</v>
      </c>
      <c r="E895">
        <f t="shared" si="118"/>
        <v>0</v>
      </c>
      <c r="F895">
        <f t="shared" si="119"/>
        <v>1</v>
      </c>
      <c r="G895">
        <f t="shared" si="120"/>
        <v>1</v>
      </c>
      <c r="H895">
        <v>1</v>
      </c>
      <c r="I895">
        <f t="shared" si="121"/>
        <v>1</v>
      </c>
      <c r="J895">
        <f t="shared" si="113"/>
        <v>32.021581649780302</v>
      </c>
      <c r="K895" t="s">
        <v>2022</v>
      </c>
      <c r="L895" t="s">
        <v>2023</v>
      </c>
      <c r="M895" t="s">
        <v>27</v>
      </c>
      <c r="N895" t="s">
        <v>27</v>
      </c>
      <c r="O895">
        <v>51.75</v>
      </c>
      <c r="P895">
        <v>27.420537948608398</v>
      </c>
      <c r="Q895">
        <v>23.459081649780298</v>
      </c>
      <c r="R895">
        <v>43.404998779296903</v>
      </c>
      <c r="S895">
        <v>33.5</v>
      </c>
      <c r="T895">
        <v>35.417362213134801</v>
      </c>
      <c r="U895">
        <v>15.255022048950201</v>
      </c>
      <c r="V895">
        <v>10919000</v>
      </c>
      <c r="W895">
        <v>13.528668403625501</v>
      </c>
      <c r="X895">
        <v>0.66500002145767201</v>
      </c>
      <c r="Y895">
        <v>11.824113845825201</v>
      </c>
      <c r="Z895">
        <v>8.5625</v>
      </c>
      <c r="AA895">
        <v>16786000</v>
      </c>
      <c r="AB895" t="s">
        <v>61</v>
      </c>
      <c r="AC895" t="s">
        <v>234</v>
      </c>
      <c r="AD895">
        <v>0.72500002384185802</v>
      </c>
      <c r="AE895">
        <v>16.861312866210898</v>
      </c>
      <c r="AF895">
        <v>8.1170028395371805</v>
      </c>
      <c r="AG895">
        <v>16174000</v>
      </c>
      <c r="AH895">
        <v>32.967338562011697</v>
      </c>
      <c r="AI895">
        <v>12.2842664718628</v>
      </c>
    </row>
    <row r="896" spans="1:35">
      <c r="A896">
        <f t="shared" si="114"/>
        <v>1</v>
      </c>
      <c r="B896">
        <f t="shared" si="115"/>
        <v>0</v>
      </c>
      <c r="C896">
        <f t="shared" si="116"/>
        <v>1</v>
      </c>
      <c r="D896">
        <f t="shared" si="117"/>
        <v>1</v>
      </c>
      <c r="E896">
        <f t="shared" si="118"/>
        <v>0</v>
      </c>
      <c r="F896">
        <f t="shared" si="119"/>
        <v>1</v>
      </c>
      <c r="G896">
        <f t="shared" si="120"/>
        <v>1</v>
      </c>
      <c r="H896">
        <v>1</v>
      </c>
      <c r="I896">
        <f t="shared" si="121"/>
        <v>0</v>
      </c>
      <c r="J896">
        <f t="shared" si="113"/>
        <v>32.0078477859497</v>
      </c>
      <c r="K896" t="s">
        <v>1101</v>
      </c>
      <c r="L896" t="s">
        <v>1102</v>
      </c>
      <c r="M896" t="s">
        <v>27</v>
      </c>
      <c r="N896" t="s">
        <v>27</v>
      </c>
      <c r="O896">
        <v>14</v>
      </c>
      <c r="P896">
        <v>8.3317670822143608</v>
      </c>
      <c r="Q896">
        <v>10.0078477859497</v>
      </c>
      <c r="R896">
        <v>19.350000381469702</v>
      </c>
      <c r="S896">
        <v>9.5</v>
      </c>
      <c r="T896">
        <v>56.246540069580099</v>
      </c>
      <c r="U896">
        <v>20.5284023284912</v>
      </c>
      <c r="V896">
        <v>13459000</v>
      </c>
      <c r="W896" t="s">
        <v>27</v>
      </c>
      <c r="X896">
        <v>0.5</v>
      </c>
      <c r="Y896">
        <v>15.800000190734901</v>
      </c>
      <c r="Z896">
        <v>22</v>
      </c>
      <c r="AA896">
        <v>6392149</v>
      </c>
      <c r="AB896" t="s">
        <v>27</v>
      </c>
      <c r="AC896" t="s">
        <v>27</v>
      </c>
      <c r="AD896">
        <v>0.93000000715255704</v>
      </c>
      <c r="AE896">
        <v>23.412059783935501</v>
      </c>
      <c r="AF896">
        <v>4.2846857254518804</v>
      </c>
      <c r="AG896">
        <v>6407907</v>
      </c>
      <c r="AH896">
        <v>53.397537231445298</v>
      </c>
      <c r="AI896">
        <v>4.8282217979431197</v>
      </c>
    </row>
    <row r="897" spans="1:35">
      <c r="A897">
        <f t="shared" si="114"/>
        <v>1</v>
      </c>
      <c r="B897">
        <f t="shared" si="115"/>
        <v>1</v>
      </c>
      <c r="C897">
        <f t="shared" si="116"/>
        <v>0</v>
      </c>
      <c r="D897">
        <f t="shared" si="117"/>
        <v>1</v>
      </c>
      <c r="E897">
        <f t="shared" si="118"/>
        <v>0</v>
      </c>
      <c r="F897">
        <f t="shared" si="119"/>
        <v>1</v>
      </c>
      <c r="G897">
        <f t="shared" si="120"/>
        <v>0</v>
      </c>
      <c r="H897">
        <v>1</v>
      </c>
      <c r="I897">
        <f t="shared" si="121"/>
        <v>0</v>
      </c>
      <c r="J897">
        <f t="shared" si="113"/>
        <v>31.914238452911402</v>
      </c>
      <c r="K897" t="s">
        <v>1267</v>
      </c>
      <c r="L897" t="s">
        <v>1268</v>
      </c>
      <c r="M897" t="s">
        <v>27</v>
      </c>
      <c r="N897" t="s">
        <v>27</v>
      </c>
      <c r="O897">
        <v>20.72</v>
      </c>
      <c r="P897">
        <v>14.3455591201782</v>
      </c>
      <c r="Q897">
        <v>26.819898605346701</v>
      </c>
      <c r="R897">
        <v>25.733332316080698</v>
      </c>
      <c r="S897">
        <v>4.25</v>
      </c>
      <c r="T897">
        <v>27.389553070068398</v>
      </c>
      <c r="U897" t="s">
        <v>27</v>
      </c>
      <c r="V897">
        <v>-1786999.75</v>
      </c>
      <c r="W897">
        <v>9.6372585296630895</v>
      </c>
      <c r="X897">
        <v>0.13333333532015501</v>
      </c>
      <c r="Y897">
        <v>6.9010100364685103</v>
      </c>
      <c r="Z897">
        <v>5.0943398475646999</v>
      </c>
      <c r="AA897">
        <v>8253000</v>
      </c>
      <c r="AB897" t="s">
        <v>30</v>
      </c>
      <c r="AC897" t="s">
        <v>223</v>
      </c>
      <c r="AD897">
        <v>0.28666667143503799</v>
      </c>
      <c r="AE897" t="s">
        <v>27</v>
      </c>
      <c r="AF897">
        <v>4.6295146042770998</v>
      </c>
      <c r="AG897">
        <v>11909799</v>
      </c>
      <c r="AH897">
        <v>0</v>
      </c>
      <c r="AI897">
        <v>18.165235519409201</v>
      </c>
    </row>
    <row r="898" spans="1:35">
      <c r="A898">
        <f t="shared" si="114"/>
        <v>0</v>
      </c>
      <c r="B898">
        <f t="shared" si="115"/>
        <v>1</v>
      </c>
      <c r="C898">
        <f t="shared" si="116"/>
        <v>1</v>
      </c>
      <c r="D898">
        <f t="shared" si="117"/>
        <v>1</v>
      </c>
      <c r="E898">
        <f t="shared" si="118"/>
        <v>0</v>
      </c>
      <c r="F898">
        <f t="shared" si="119"/>
        <v>1</v>
      </c>
      <c r="G898">
        <f t="shared" si="120"/>
        <v>1</v>
      </c>
      <c r="H898">
        <v>1</v>
      </c>
      <c r="I898">
        <f t="shared" si="121"/>
        <v>0</v>
      </c>
      <c r="J898">
        <f t="shared" si="113"/>
        <v>31.865828514099199</v>
      </c>
      <c r="K898" t="s">
        <v>482</v>
      </c>
      <c r="L898" t="s">
        <v>483</v>
      </c>
      <c r="M898" t="s">
        <v>27</v>
      </c>
      <c r="N898" t="s">
        <v>27</v>
      </c>
      <c r="O898">
        <v>57.55</v>
      </c>
      <c r="P898">
        <v>12.926482200622599</v>
      </c>
      <c r="Q898">
        <v>14.911095619201699</v>
      </c>
      <c r="R898">
        <v>80.099998474121094</v>
      </c>
      <c r="S898">
        <v>47.900001525878899</v>
      </c>
      <c r="T898">
        <v>36.487003326416001</v>
      </c>
      <c r="U898">
        <v>18.3380241394043</v>
      </c>
      <c r="V898">
        <v>96213000</v>
      </c>
      <c r="W898">
        <v>6.7564511299133301</v>
      </c>
      <c r="X898">
        <v>2.0599999427795401</v>
      </c>
      <c r="Y898">
        <v>18.605504989623999</v>
      </c>
      <c r="Z898">
        <v>16.9547328948975</v>
      </c>
      <c r="AA898">
        <v>8483824</v>
      </c>
      <c r="AB898" t="s">
        <v>30</v>
      </c>
      <c r="AC898" t="s">
        <v>410</v>
      </c>
      <c r="AD898">
        <v>2.9000000953674299</v>
      </c>
      <c r="AE898">
        <v>19.7006511688232</v>
      </c>
      <c r="AF898">
        <v>5.5236821426148497</v>
      </c>
      <c r="AG898">
        <v>8623931</v>
      </c>
      <c r="AH898">
        <v>39.7108764648438</v>
      </c>
      <c r="AI898">
        <v>8.8531179428100604</v>
      </c>
    </row>
    <row r="899" spans="1:35">
      <c r="A899">
        <f t="shared" si="114"/>
        <v>1</v>
      </c>
      <c r="B899">
        <f t="shared" si="115"/>
        <v>1</v>
      </c>
      <c r="C899">
        <f t="shared" si="116"/>
        <v>0</v>
      </c>
      <c r="D899">
        <f t="shared" si="117"/>
        <v>1</v>
      </c>
      <c r="E899">
        <f t="shared" si="118"/>
        <v>0</v>
      </c>
      <c r="F899">
        <f t="shared" si="119"/>
        <v>1</v>
      </c>
      <c r="G899">
        <f t="shared" si="120"/>
        <v>0</v>
      </c>
      <c r="H899">
        <v>1</v>
      </c>
      <c r="I899">
        <f t="shared" si="121"/>
        <v>0</v>
      </c>
      <c r="J899">
        <f t="shared" si="113"/>
        <v>31.624103546142599</v>
      </c>
      <c r="K899" t="s">
        <v>1249</v>
      </c>
      <c r="L899" t="s">
        <v>1250</v>
      </c>
      <c r="M899" t="s">
        <v>27</v>
      </c>
      <c r="N899" t="s">
        <v>27</v>
      </c>
      <c r="O899">
        <v>16</v>
      </c>
      <c r="P899">
        <v>18.681898117065401</v>
      </c>
      <c r="Q899">
        <v>17.253221511840799</v>
      </c>
      <c r="R899">
        <v>17.6766662597656</v>
      </c>
      <c r="S899">
        <v>7.6666666666666696</v>
      </c>
      <c r="T899">
        <v>47.626235961914098</v>
      </c>
      <c r="U899">
        <v>30.031681060791001</v>
      </c>
      <c r="V899">
        <v>-8366000</v>
      </c>
      <c r="W899">
        <v>9.3602066040039098</v>
      </c>
      <c r="X899">
        <v>0.36333334445953402</v>
      </c>
      <c r="Y899">
        <v>15.738561630249</v>
      </c>
      <c r="Z899">
        <v>14.3708820343018</v>
      </c>
      <c r="AA899">
        <v>6504000</v>
      </c>
      <c r="AB899" t="s">
        <v>30</v>
      </c>
      <c r="AC899" t="s">
        <v>332</v>
      </c>
      <c r="AD899">
        <v>0.62999999523162797</v>
      </c>
      <c r="AE899">
        <v>26.994104385376001</v>
      </c>
      <c r="AF899">
        <v>6.4111473893275797</v>
      </c>
      <c r="AG899">
        <v>6423000</v>
      </c>
      <c r="AH899">
        <v>41.935672760009801</v>
      </c>
      <c r="AI899">
        <v>11.8847465515137</v>
      </c>
    </row>
    <row r="900" spans="1:35">
      <c r="A900">
        <f t="shared" si="114"/>
        <v>1</v>
      </c>
      <c r="B900">
        <f t="shared" si="115"/>
        <v>0</v>
      </c>
      <c r="C900">
        <f t="shared" si="116"/>
        <v>1</v>
      </c>
      <c r="D900">
        <f t="shared" si="117"/>
        <v>1</v>
      </c>
      <c r="E900">
        <f t="shared" si="118"/>
        <v>0</v>
      </c>
      <c r="F900">
        <f t="shared" si="119"/>
        <v>1</v>
      </c>
      <c r="G900">
        <f t="shared" si="120"/>
        <v>1</v>
      </c>
      <c r="H900">
        <v>1</v>
      </c>
      <c r="I900">
        <f t="shared" si="121"/>
        <v>0</v>
      </c>
      <c r="J900">
        <f t="shared" si="113"/>
        <v>31.4096984863282</v>
      </c>
      <c r="K900" t="s">
        <v>2106</v>
      </c>
      <c r="L900" t="s">
        <v>2107</v>
      </c>
      <c r="M900" t="s">
        <v>27</v>
      </c>
      <c r="N900" t="s">
        <v>27</v>
      </c>
      <c r="O900">
        <v>26.9</v>
      </c>
      <c r="P900">
        <v>12.3577871322632</v>
      </c>
      <c r="Q900">
        <v>12.356443405151399</v>
      </c>
      <c r="R900">
        <v>28.75</v>
      </c>
      <c r="S900">
        <v>15.5</v>
      </c>
      <c r="T900">
        <v>41.259536743164098</v>
      </c>
      <c r="U900">
        <v>21.394891738891602</v>
      </c>
      <c r="V900">
        <v>2971000</v>
      </c>
      <c r="W900">
        <v>8.6806316375732404</v>
      </c>
      <c r="X900">
        <v>0.79500001668930098</v>
      </c>
      <c r="Y900">
        <v>25.717790603637699</v>
      </c>
      <c r="Z900">
        <v>19.0532550811768</v>
      </c>
      <c r="AA900">
        <v>15512000</v>
      </c>
      <c r="AB900" t="s">
        <v>30</v>
      </c>
      <c r="AC900" t="s">
        <v>410</v>
      </c>
      <c r="AD900">
        <v>0.99000000953674305</v>
      </c>
      <c r="AE900">
        <v>22.3232421875</v>
      </c>
      <c r="AF900">
        <v>4.37725892581458</v>
      </c>
      <c r="AG900">
        <v>14994000</v>
      </c>
      <c r="AH900">
        <v>36.10107421875</v>
      </c>
      <c r="AI900">
        <v>8.0865793228149396</v>
      </c>
    </row>
    <row r="901" spans="1:35">
      <c r="A901">
        <f t="shared" si="114"/>
        <v>1</v>
      </c>
      <c r="B901">
        <f t="shared" si="115"/>
        <v>1</v>
      </c>
      <c r="C901">
        <f t="shared" si="116"/>
        <v>0</v>
      </c>
      <c r="D901">
        <f t="shared" si="117"/>
        <v>1</v>
      </c>
      <c r="E901">
        <f t="shared" si="118"/>
        <v>0</v>
      </c>
      <c r="F901">
        <f t="shared" si="119"/>
        <v>1</v>
      </c>
      <c r="G901">
        <f t="shared" si="120"/>
        <v>1</v>
      </c>
      <c r="H901">
        <v>1</v>
      </c>
      <c r="I901">
        <f t="shared" si="121"/>
        <v>0</v>
      </c>
      <c r="J901">
        <f t="shared" si="113"/>
        <v>31.202363967895497</v>
      </c>
      <c r="K901" t="s">
        <v>1638</v>
      </c>
      <c r="L901" t="s">
        <v>1639</v>
      </c>
      <c r="M901" t="s">
        <v>27</v>
      </c>
      <c r="N901" t="s">
        <v>27</v>
      </c>
      <c r="O901">
        <v>8.02</v>
      </c>
      <c r="P901" t="s">
        <v>27</v>
      </c>
      <c r="Q901">
        <v>27.485549926757798</v>
      </c>
      <c r="R901">
        <v>10</v>
      </c>
      <c r="S901">
        <v>10.5</v>
      </c>
      <c r="T901">
        <v>16.8317356109619</v>
      </c>
      <c r="U901">
        <v>63.161975860595703</v>
      </c>
      <c r="V901">
        <v>-1832000</v>
      </c>
      <c r="W901">
        <v>8.4835014343261701</v>
      </c>
      <c r="X901">
        <v>7.0000000298023196E-2</v>
      </c>
      <c r="Y901" t="s">
        <v>27</v>
      </c>
      <c r="Z901">
        <v>3.7168140411377002</v>
      </c>
      <c r="AA901">
        <v>10912000</v>
      </c>
      <c r="AB901" t="s">
        <v>27</v>
      </c>
      <c r="AC901" t="s">
        <v>27</v>
      </c>
      <c r="AD901">
        <v>7.9999998211860698E-2</v>
      </c>
      <c r="AE901">
        <v>81.051406860351605</v>
      </c>
      <c r="AF901">
        <v>4.3063433111723697</v>
      </c>
      <c r="AG901">
        <v>10939000</v>
      </c>
      <c r="AH901">
        <v>12.836622238159199</v>
      </c>
      <c r="AI901">
        <v>9.7132205963134801</v>
      </c>
    </row>
    <row r="902" spans="1:35">
      <c r="A902">
        <f t="shared" si="114"/>
        <v>1</v>
      </c>
      <c r="B902">
        <f t="shared" si="115"/>
        <v>1</v>
      </c>
      <c r="C902">
        <f t="shared" si="116"/>
        <v>1</v>
      </c>
      <c r="D902">
        <f t="shared" si="117"/>
        <v>0</v>
      </c>
      <c r="E902">
        <f t="shared" si="118"/>
        <v>0</v>
      </c>
      <c r="F902">
        <f t="shared" si="119"/>
        <v>1</v>
      </c>
      <c r="G902">
        <f t="shared" si="120"/>
        <v>1</v>
      </c>
      <c r="H902">
        <v>1</v>
      </c>
      <c r="I902">
        <f t="shared" si="121"/>
        <v>0</v>
      </c>
      <c r="J902">
        <f t="shared" si="113"/>
        <v>31.18408155441287</v>
      </c>
      <c r="K902" t="s">
        <v>1961</v>
      </c>
      <c r="L902" t="s">
        <v>1962</v>
      </c>
      <c r="M902" t="s">
        <v>27</v>
      </c>
      <c r="N902" t="s">
        <v>27</v>
      </c>
      <c r="O902">
        <v>15.01</v>
      </c>
      <c r="P902">
        <v>25.682561874389599</v>
      </c>
      <c r="Q902">
        <v>27.713365554809599</v>
      </c>
      <c r="R902">
        <v>23.319999694824201</v>
      </c>
      <c r="S902">
        <v>21.5625</v>
      </c>
      <c r="T902">
        <v>32.8181343078613</v>
      </c>
      <c r="U902">
        <v>39.668102264404297</v>
      </c>
      <c r="V902">
        <v>1792000</v>
      </c>
      <c r="W902">
        <v>16.5047397613525</v>
      </c>
      <c r="X902">
        <v>0.245000004768372</v>
      </c>
      <c r="Y902">
        <v>4.96000003814697</v>
      </c>
      <c r="Z902">
        <v>3.4707159996032702</v>
      </c>
      <c r="AA902">
        <v>6204000</v>
      </c>
      <c r="AB902" t="s">
        <v>194</v>
      </c>
      <c r="AC902" t="s">
        <v>195</v>
      </c>
      <c r="AD902">
        <v>0.230000004172325</v>
      </c>
      <c r="AE902">
        <v>45.1349906921387</v>
      </c>
      <c r="AF902">
        <v>8.1500857665469795</v>
      </c>
      <c r="AG902">
        <v>6600000</v>
      </c>
      <c r="AH902">
        <v>18.700719833373999</v>
      </c>
      <c r="AI902">
        <v>19.134101867675799</v>
      </c>
    </row>
    <row r="903" spans="1:35">
      <c r="A903">
        <f t="shared" si="114"/>
        <v>1</v>
      </c>
      <c r="B903">
        <f t="shared" si="115"/>
        <v>0</v>
      </c>
      <c r="C903">
        <f t="shared" si="116"/>
        <v>0</v>
      </c>
      <c r="D903">
        <f t="shared" si="117"/>
        <v>0</v>
      </c>
      <c r="E903">
        <f t="shared" si="118"/>
        <v>0</v>
      </c>
      <c r="F903">
        <f t="shared" si="119"/>
        <v>1</v>
      </c>
      <c r="G903">
        <f t="shared" si="120"/>
        <v>0</v>
      </c>
      <c r="H903">
        <v>1</v>
      </c>
      <c r="I903">
        <f t="shared" si="121"/>
        <v>1</v>
      </c>
      <c r="J903">
        <f t="shared" si="113"/>
        <v>30.84071350097657</v>
      </c>
      <c r="K903" t="s">
        <v>622</v>
      </c>
      <c r="L903" t="s">
        <v>623</v>
      </c>
      <c r="M903" t="s">
        <v>27</v>
      </c>
      <c r="N903" t="s">
        <v>27</v>
      </c>
      <c r="O903">
        <v>11.91</v>
      </c>
      <c r="P903">
        <v>8.9838447570800799</v>
      </c>
      <c r="Q903">
        <v>8.1635494232177699</v>
      </c>
      <c r="R903">
        <v>9.8999996185302699</v>
      </c>
      <c r="S903">
        <v>12.1499996185303</v>
      </c>
      <c r="T903">
        <v>46.263336181640597</v>
      </c>
      <c r="U903">
        <v>55.9962768554688</v>
      </c>
      <c r="V903">
        <v>-15681000</v>
      </c>
      <c r="W903">
        <v>16.393825531005898</v>
      </c>
      <c r="X903">
        <v>0.86000001430511497</v>
      </c>
      <c r="Y903">
        <v>15.6663513183594</v>
      </c>
      <c r="Z903">
        <v>22.6771640777588</v>
      </c>
      <c r="AA903">
        <v>13409603</v>
      </c>
      <c r="AB903" t="s">
        <v>27</v>
      </c>
      <c r="AC903" t="s">
        <v>27</v>
      </c>
      <c r="AD903">
        <v>0.5</v>
      </c>
      <c r="AE903">
        <v>54.918590545654297</v>
      </c>
      <c r="AF903" t="s">
        <v>27</v>
      </c>
      <c r="AG903">
        <v>12896000</v>
      </c>
      <c r="AH903">
        <v>37.927707672119098</v>
      </c>
      <c r="AI903">
        <v>7.3614478111267099</v>
      </c>
    </row>
    <row r="904" spans="1:35">
      <c r="A904">
        <f t="shared" si="114"/>
        <v>0</v>
      </c>
      <c r="B904">
        <f t="shared" si="115"/>
        <v>0</v>
      </c>
      <c r="C904">
        <f t="shared" si="116"/>
        <v>1</v>
      </c>
      <c r="D904">
        <f t="shared" si="117"/>
        <v>0</v>
      </c>
      <c r="E904">
        <f t="shared" si="118"/>
        <v>0</v>
      </c>
      <c r="F904">
        <f t="shared" si="119"/>
        <v>1</v>
      </c>
      <c r="G904">
        <f t="shared" si="120"/>
        <v>0</v>
      </c>
      <c r="H904">
        <v>1</v>
      </c>
      <c r="I904">
        <f t="shared" si="121"/>
        <v>0</v>
      </c>
      <c r="J904">
        <f t="shared" si="113"/>
        <v>30.752718448638898</v>
      </c>
      <c r="K904" t="s">
        <v>774</v>
      </c>
      <c r="L904" t="s">
        <v>775</v>
      </c>
      <c r="M904" t="s">
        <v>27</v>
      </c>
      <c r="N904" t="s">
        <v>27</v>
      </c>
      <c r="O904">
        <v>10.71</v>
      </c>
      <c r="P904">
        <v>28.1089973449707</v>
      </c>
      <c r="Q904">
        <v>23.670347213745099</v>
      </c>
      <c r="R904">
        <v>18.0100002288818</v>
      </c>
      <c r="S904">
        <v>24.8125</v>
      </c>
      <c r="T904">
        <v>0</v>
      </c>
      <c r="U904">
        <v>33.675979614257798</v>
      </c>
      <c r="V904">
        <v>828000.0625</v>
      </c>
      <c r="W904">
        <v>19.0385341644287</v>
      </c>
      <c r="X904">
        <v>0.36000001430511502</v>
      </c>
      <c r="Y904">
        <v>6.2641510963439897</v>
      </c>
      <c r="Z904">
        <v>7.0823712348937997</v>
      </c>
      <c r="AA904">
        <v>20319000</v>
      </c>
      <c r="AB904" t="s">
        <v>27</v>
      </c>
      <c r="AC904" t="s">
        <v>27</v>
      </c>
      <c r="AD904">
        <v>0.25</v>
      </c>
      <c r="AE904">
        <v>28.865331649780298</v>
      </c>
      <c r="AF904">
        <v>4.2471892643030102</v>
      </c>
      <c r="AG904">
        <v>20803000</v>
      </c>
      <c r="AH904">
        <v>0</v>
      </c>
      <c r="AI904">
        <v>16.793916702270501</v>
      </c>
    </row>
    <row r="905" spans="1:35">
      <c r="A905">
        <f t="shared" si="114"/>
        <v>0</v>
      </c>
      <c r="B905">
        <f t="shared" si="115"/>
        <v>1</v>
      </c>
      <c r="C905">
        <f t="shared" si="116"/>
        <v>0</v>
      </c>
      <c r="D905">
        <f t="shared" si="117"/>
        <v>1</v>
      </c>
      <c r="E905">
        <f t="shared" si="118"/>
        <v>0</v>
      </c>
      <c r="F905">
        <f t="shared" si="119"/>
        <v>1</v>
      </c>
      <c r="G905">
        <f t="shared" si="120"/>
        <v>0</v>
      </c>
      <c r="H905">
        <v>1</v>
      </c>
      <c r="I905">
        <f t="shared" si="121"/>
        <v>0</v>
      </c>
      <c r="J905">
        <f t="shared" si="113"/>
        <v>30.7343492507934</v>
      </c>
      <c r="K905" t="s">
        <v>631</v>
      </c>
      <c r="L905" t="s">
        <v>632</v>
      </c>
      <c r="M905" t="s">
        <v>27</v>
      </c>
      <c r="N905" t="s">
        <v>27</v>
      </c>
      <c r="O905">
        <v>25.25</v>
      </c>
      <c r="P905">
        <v>8.9348907470703107</v>
      </c>
      <c r="Q905">
        <v>10.590832710266101</v>
      </c>
      <c r="R905">
        <v>26.370000839233398</v>
      </c>
      <c r="S905">
        <v>28.149999618530298</v>
      </c>
      <c r="T905">
        <v>46.7540893554688</v>
      </c>
      <c r="U905">
        <v>21.554721832275401</v>
      </c>
      <c r="V905">
        <v>-34726000</v>
      </c>
      <c r="W905">
        <v>8.0208454132080096</v>
      </c>
      <c r="X905">
        <v>0.86000001430511497</v>
      </c>
      <c r="Y905">
        <v>15.222222328186</v>
      </c>
      <c r="Z905">
        <v>20.143516540527301</v>
      </c>
      <c r="AA905">
        <v>29924000</v>
      </c>
      <c r="AB905" t="s">
        <v>30</v>
      </c>
      <c r="AC905" t="s">
        <v>410</v>
      </c>
      <c r="AD905">
        <v>0.87999999523162797</v>
      </c>
      <c r="AE905">
        <v>20.918838500976602</v>
      </c>
      <c r="AF905">
        <v>11.4217432561205</v>
      </c>
      <c r="AG905">
        <v>29446000</v>
      </c>
      <c r="AH905">
        <v>47.4898872375488</v>
      </c>
      <c r="AI905">
        <v>10.2775411605835</v>
      </c>
    </row>
    <row r="906" spans="1:35">
      <c r="A906">
        <f t="shared" si="114"/>
        <v>0</v>
      </c>
      <c r="B906">
        <f t="shared" si="115"/>
        <v>0</v>
      </c>
      <c r="C906">
        <f t="shared" si="116"/>
        <v>0</v>
      </c>
      <c r="D906">
        <f t="shared" si="117"/>
        <v>1</v>
      </c>
      <c r="E906">
        <f t="shared" si="118"/>
        <v>0</v>
      </c>
      <c r="F906">
        <f t="shared" si="119"/>
        <v>1</v>
      </c>
      <c r="G906">
        <f t="shared" si="120"/>
        <v>1</v>
      </c>
      <c r="H906">
        <v>1</v>
      </c>
      <c r="I906">
        <f t="shared" si="121"/>
        <v>0</v>
      </c>
      <c r="J906">
        <f t="shared" si="113"/>
        <v>30.525707244873008</v>
      </c>
      <c r="K906" t="s">
        <v>3474</v>
      </c>
      <c r="L906" t="s">
        <v>3475</v>
      </c>
      <c r="M906" t="s">
        <v>27</v>
      </c>
      <c r="N906" t="s">
        <v>27</v>
      </c>
      <c r="O906">
        <v>4.0999999999999996</v>
      </c>
      <c r="P906">
        <v>4.2258582115173304</v>
      </c>
      <c r="Q906">
        <v>8.6769676208496094</v>
      </c>
      <c r="R906">
        <v>13.7600002288818</v>
      </c>
      <c r="S906">
        <v>11.3400001525879</v>
      </c>
      <c r="T906">
        <v>20.303108215331999</v>
      </c>
      <c r="U906">
        <v>4.5963001251220703</v>
      </c>
      <c r="V906">
        <v>-16700000</v>
      </c>
      <c r="W906">
        <v>5.1851081848144496</v>
      </c>
      <c r="X906">
        <v>0.70999997854232799</v>
      </c>
      <c r="Y906">
        <v>3.3207550048828098</v>
      </c>
      <c r="Z906">
        <v>21.848739624023398</v>
      </c>
      <c r="AA906">
        <v>30815000</v>
      </c>
      <c r="AB906" t="s">
        <v>328</v>
      </c>
      <c r="AC906" t="s">
        <v>329</v>
      </c>
      <c r="AD906">
        <v>0.79000002145767201</v>
      </c>
      <c r="AE906">
        <v>7.0467419624328604</v>
      </c>
      <c r="AF906">
        <v>17.7659236080871</v>
      </c>
      <c r="AG906">
        <v>41336000</v>
      </c>
      <c r="AH906">
        <v>42.732250213622997</v>
      </c>
      <c r="AI906">
        <v>4.8381237983703604</v>
      </c>
    </row>
    <row r="907" spans="1:35">
      <c r="A907">
        <f t="shared" si="114"/>
        <v>0</v>
      </c>
      <c r="B907">
        <f t="shared" si="115"/>
        <v>0</v>
      </c>
      <c r="C907">
        <f t="shared" si="116"/>
        <v>1</v>
      </c>
      <c r="D907">
        <f t="shared" si="117"/>
        <v>0</v>
      </c>
      <c r="E907">
        <f t="shared" si="118"/>
        <v>0</v>
      </c>
      <c r="F907">
        <f t="shared" si="119"/>
        <v>1</v>
      </c>
      <c r="G907">
        <f t="shared" si="120"/>
        <v>0</v>
      </c>
      <c r="H907">
        <v>1</v>
      </c>
      <c r="I907">
        <f t="shared" si="121"/>
        <v>1</v>
      </c>
      <c r="J907">
        <f t="shared" si="113"/>
        <v>30.456567764282198</v>
      </c>
      <c r="K907" t="s">
        <v>3202</v>
      </c>
      <c r="L907" t="s">
        <v>3203</v>
      </c>
      <c r="M907" t="s">
        <v>27</v>
      </c>
      <c r="N907" t="s">
        <v>27</v>
      </c>
      <c r="O907">
        <v>24.72</v>
      </c>
      <c r="P907" t="s">
        <v>27</v>
      </c>
      <c r="Q907">
        <v>18.403837203979499</v>
      </c>
      <c r="R907">
        <v>20.649999618530298</v>
      </c>
      <c r="S907">
        <v>26.5625</v>
      </c>
      <c r="T907">
        <v>1.0650269985198999</v>
      </c>
      <c r="U907">
        <v>63.851123809814503</v>
      </c>
      <c r="V907">
        <v>866000</v>
      </c>
      <c r="W907" t="s">
        <v>27</v>
      </c>
      <c r="X907">
        <v>0.61000001430511497</v>
      </c>
      <c r="Y907">
        <v>6.61246585845947</v>
      </c>
      <c r="Z907">
        <v>12.052730560302701</v>
      </c>
      <c r="AA907">
        <v>28010000</v>
      </c>
      <c r="AB907" t="s">
        <v>328</v>
      </c>
      <c r="AC907" t="s">
        <v>329</v>
      </c>
      <c r="AD907">
        <v>0.17000000178813901</v>
      </c>
      <c r="AE907">
        <v>31.929857254028299</v>
      </c>
      <c r="AF907">
        <v>8.6833962165564191</v>
      </c>
      <c r="AG907">
        <v>27730000</v>
      </c>
      <c r="AH907">
        <v>3.8294029235839799</v>
      </c>
      <c r="AI907">
        <v>20.1400241851807</v>
      </c>
    </row>
    <row r="908" spans="1:35">
      <c r="A908">
        <f t="shared" si="114"/>
        <v>1</v>
      </c>
      <c r="B908">
        <f t="shared" si="115"/>
        <v>1</v>
      </c>
      <c r="C908">
        <f t="shared" si="116"/>
        <v>1</v>
      </c>
      <c r="D908">
        <f t="shared" si="117"/>
        <v>1</v>
      </c>
      <c r="E908">
        <f t="shared" si="118"/>
        <v>0</v>
      </c>
      <c r="F908">
        <f t="shared" si="119"/>
        <v>1</v>
      </c>
      <c r="G908">
        <f t="shared" si="120"/>
        <v>0</v>
      </c>
      <c r="H908">
        <v>1</v>
      </c>
      <c r="I908">
        <f t="shared" si="121"/>
        <v>1</v>
      </c>
      <c r="J908">
        <f t="shared" si="113"/>
        <v>30.287014961242701</v>
      </c>
      <c r="K908" t="s">
        <v>3334</v>
      </c>
      <c r="L908" t="s">
        <v>3335</v>
      </c>
      <c r="M908" t="s">
        <v>27</v>
      </c>
      <c r="N908" t="s">
        <v>27</v>
      </c>
      <c r="O908">
        <v>17.239999999999998</v>
      </c>
      <c r="P908">
        <v>19.1408386230469</v>
      </c>
      <c r="Q908">
        <v>16.296867370605501</v>
      </c>
      <c r="R908">
        <v>15</v>
      </c>
      <c r="S908">
        <v>10.875</v>
      </c>
      <c r="T908">
        <v>0.26446300745010398</v>
      </c>
      <c r="U908">
        <v>44.067348480224602</v>
      </c>
      <c r="V908">
        <v>2968999.75</v>
      </c>
      <c r="W908">
        <v>18.0477390289307</v>
      </c>
      <c r="X908">
        <v>0.41999998688697798</v>
      </c>
      <c r="Y908">
        <v>14.1449279785156</v>
      </c>
      <c r="Z908">
        <v>13.9901475906372</v>
      </c>
      <c r="AA908">
        <v>11055000</v>
      </c>
      <c r="AB908" t="s">
        <v>30</v>
      </c>
      <c r="AC908" t="s">
        <v>542</v>
      </c>
      <c r="AD908">
        <v>0.46000000834464999</v>
      </c>
      <c r="AE908">
        <v>42.3204536437988</v>
      </c>
      <c r="AF908">
        <v>6.1712563560865403</v>
      </c>
      <c r="AG908">
        <v>11902000</v>
      </c>
      <c r="AH908">
        <v>8.4175996482372298E-2</v>
      </c>
      <c r="AI908">
        <v>18.8887825012207</v>
      </c>
    </row>
    <row r="909" spans="1:35">
      <c r="A909">
        <f t="shared" si="114"/>
        <v>0</v>
      </c>
      <c r="B909">
        <f t="shared" si="115"/>
        <v>1</v>
      </c>
      <c r="C909">
        <f t="shared" si="116"/>
        <v>1</v>
      </c>
      <c r="D909">
        <f t="shared" si="117"/>
        <v>0</v>
      </c>
      <c r="E909">
        <f t="shared" si="118"/>
        <v>0</v>
      </c>
      <c r="F909">
        <f t="shared" si="119"/>
        <v>1</v>
      </c>
      <c r="G909">
        <f t="shared" si="120"/>
        <v>0</v>
      </c>
      <c r="H909">
        <v>1</v>
      </c>
      <c r="I909">
        <f t="shared" si="121"/>
        <v>0</v>
      </c>
      <c r="J909">
        <f t="shared" si="113"/>
        <v>30.241806030273473</v>
      </c>
      <c r="K909" t="s">
        <v>2214</v>
      </c>
      <c r="L909" t="s">
        <v>2215</v>
      </c>
      <c r="M909" t="s">
        <v>27</v>
      </c>
      <c r="N909" t="s">
        <v>27</v>
      </c>
      <c r="O909">
        <v>9.2200000000000006</v>
      </c>
      <c r="P909">
        <v>20.509452819824201</v>
      </c>
      <c r="Q909">
        <v>22.331790924072301</v>
      </c>
      <c r="R909">
        <v>24.610000610351602</v>
      </c>
      <c r="S909">
        <v>28.25</v>
      </c>
      <c r="T909">
        <v>0</v>
      </c>
      <c r="U909">
        <v>79.7799072265625</v>
      </c>
      <c r="V909">
        <v>12887000</v>
      </c>
      <c r="W909">
        <v>0.48912799358367898</v>
      </c>
      <c r="X909">
        <v>0.230000004172325</v>
      </c>
      <c r="Y909">
        <v>3.5225460529327401</v>
      </c>
      <c r="Z909">
        <v>7.9100151062011701</v>
      </c>
      <c r="AA909">
        <v>64570000</v>
      </c>
      <c r="AB909" t="s">
        <v>38</v>
      </c>
      <c r="AC909" t="s">
        <v>89</v>
      </c>
      <c r="AD909">
        <v>9.00000035762787E-2</v>
      </c>
      <c r="AE909">
        <v>77.967369079589801</v>
      </c>
      <c r="AF909">
        <v>12.052362918755501</v>
      </c>
      <c r="AG909">
        <v>64485000</v>
      </c>
      <c r="AH909">
        <v>1.00059795379639</v>
      </c>
      <c r="AI909">
        <v>11.218940734863301</v>
      </c>
    </row>
    <row r="910" spans="1:35">
      <c r="A910">
        <f t="shared" si="114"/>
        <v>1</v>
      </c>
      <c r="B910">
        <f t="shared" si="115"/>
        <v>0</v>
      </c>
      <c r="C910">
        <f t="shared" si="116"/>
        <v>1</v>
      </c>
      <c r="D910">
        <f t="shared" si="117"/>
        <v>0</v>
      </c>
      <c r="E910">
        <f t="shared" si="118"/>
        <v>0</v>
      </c>
      <c r="F910">
        <f t="shared" si="119"/>
        <v>1</v>
      </c>
      <c r="G910">
        <f t="shared" si="120"/>
        <v>0</v>
      </c>
      <c r="H910">
        <v>1</v>
      </c>
      <c r="I910">
        <f t="shared" si="121"/>
        <v>1</v>
      </c>
      <c r="J910">
        <f t="shared" si="113"/>
        <v>30.040236473083503</v>
      </c>
      <c r="K910" t="s">
        <v>2815</v>
      </c>
      <c r="L910" t="s">
        <v>2816</v>
      </c>
      <c r="M910" t="s">
        <v>27</v>
      </c>
      <c r="N910" t="s">
        <v>27</v>
      </c>
      <c r="O910">
        <v>8.31</v>
      </c>
      <c r="P910">
        <v>18.727226257324201</v>
      </c>
      <c r="Q910">
        <v>17.373569488525401</v>
      </c>
      <c r="R910">
        <v>5.9800000190734899</v>
      </c>
      <c r="S910">
        <v>5.8125</v>
      </c>
      <c r="T910">
        <v>44.088787078857401</v>
      </c>
      <c r="U910">
        <v>57.0565376281738</v>
      </c>
      <c r="V910">
        <v>13374000</v>
      </c>
      <c r="W910">
        <v>6.1642189025878897</v>
      </c>
      <c r="X910">
        <v>0.20000000298023199</v>
      </c>
      <c r="Y910">
        <v>10.8387098312378</v>
      </c>
      <c r="Z910">
        <v>12.6666669845581</v>
      </c>
      <c r="AA910">
        <v>15808000</v>
      </c>
      <c r="AB910" t="s">
        <v>27</v>
      </c>
      <c r="AC910" t="s">
        <v>27</v>
      </c>
      <c r="AD910">
        <v>0.15000000596046401</v>
      </c>
      <c r="AE910">
        <v>43.563980102539098</v>
      </c>
      <c r="AF910">
        <v>4.5969181425269996</v>
      </c>
      <c r="AG910">
        <v>15563000</v>
      </c>
      <c r="AH910">
        <v>43.567584991455099</v>
      </c>
      <c r="AI910">
        <v>4.0749921798706099</v>
      </c>
    </row>
    <row r="911" spans="1:35">
      <c r="A911">
        <f t="shared" si="114"/>
        <v>1</v>
      </c>
      <c r="B911">
        <f t="shared" si="115"/>
        <v>0</v>
      </c>
      <c r="C911">
        <f t="shared" si="116"/>
        <v>1</v>
      </c>
      <c r="D911">
        <f t="shared" si="117"/>
        <v>1</v>
      </c>
      <c r="E911">
        <f t="shared" si="118"/>
        <v>0</v>
      </c>
      <c r="F911">
        <f t="shared" si="119"/>
        <v>1</v>
      </c>
      <c r="G911">
        <f t="shared" si="120"/>
        <v>0</v>
      </c>
      <c r="H911">
        <v>1</v>
      </c>
      <c r="I911">
        <f t="shared" si="121"/>
        <v>1</v>
      </c>
      <c r="J911">
        <f t="shared" si="113"/>
        <v>29.84545516967772</v>
      </c>
      <c r="K911" t="s">
        <v>3001</v>
      </c>
      <c r="L911" t="s">
        <v>3002</v>
      </c>
      <c r="M911" t="s">
        <v>27</v>
      </c>
      <c r="N911" t="s">
        <v>27</v>
      </c>
      <c r="O911">
        <v>27.62</v>
      </c>
      <c r="P911">
        <v>31.261802673339801</v>
      </c>
      <c r="Q911">
        <v>23.3820400238037</v>
      </c>
      <c r="R911">
        <v>22.899999618530298</v>
      </c>
      <c r="S911">
        <v>22.625</v>
      </c>
      <c r="T911">
        <v>6.2054681777954102</v>
      </c>
      <c r="U911" t="s">
        <v>27</v>
      </c>
      <c r="V911">
        <v>39077000</v>
      </c>
      <c r="W911">
        <v>2.8813838958740199</v>
      </c>
      <c r="X911">
        <v>0.375</v>
      </c>
      <c r="Y911">
        <v>7.2868719100952104</v>
      </c>
      <c r="Z911">
        <v>6.4634151458740199</v>
      </c>
      <c r="AA911">
        <v>19608000</v>
      </c>
      <c r="AB911" t="s">
        <v>34</v>
      </c>
      <c r="AC911" t="s">
        <v>447</v>
      </c>
      <c r="AD911">
        <v>0.40000000596046398</v>
      </c>
      <c r="AE911" t="s">
        <v>27</v>
      </c>
      <c r="AF911" t="s">
        <v>27</v>
      </c>
      <c r="AG911">
        <v>19632000</v>
      </c>
      <c r="AH911">
        <v>5.0748338699340803</v>
      </c>
      <c r="AI911">
        <v>2.3406751155853298</v>
      </c>
    </row>
    <row r="912" spans="1:35">
      <c r="A912">
        <f t="shared" si="114"/>
        <v>1</v>
      </c>
      <c r="B912">
        <f t="shared" si="115"/>
        <v>1</v>
      </c>
      <c r="C912">
        <f t="shared" si="116"/>
        <v>1</v>
      </c>
      <c r="D912">
        <f t="shared" si="117"/>
        <v>1</v>
      </c>
      <c r="E912">
        <f t="shared" si="118"/>
        <v>0</v>
      </c>
      <c r="F912">
        <f t="shared" si="119"/>
        <v>1</v>
      </c>
      <c r="G912">
        <f t="shared" si="120"/>
        <v>0</v>
      </c>
      <c r="H912">
        <v>1</v>
      </c>
      <c r="I912">
        <f t="shared" si="121"/>
        <v>0</v>
      </c>
      <c r="J912">
        <f t="shared" si="113"/>
        <v>29.770621299743631</v>
      </c>
      <c r="K912" t="s">
        <v>1682</v>
      </c>
      <c r="L912" t="s">
        <v>1683</v>
      </c>
      <c r="M912" t="s">
        <v>27</v>
      </c>
      <c r="N912" t="s">
        <v>27</v>
      </c>
      <c r="O912">
        <v>23.7</v>
      </c>
      <c r="P912">
        <v>27.823326110839801</v>
      </c>
      <c r="Q912">
        <v>24.934490203857401</v>
      </c>
      <c r="R912">
        <v>22.346666971842399</v>
      </c>
      <c r="S912">
        <v>17.7083333333333</v>
      </c>
      <c r="T912">
        <v>0.181479007005692</v>
      </c>
      <c r="U912">
        <v>40.4553833007813</v>
      </c>
      <c r="V912">
        <v>8014000</v>
      </c>
      <c r="W912">
        <v>18.270767211914102</v>
      </c>
      <c r="X912">
        <v>0.246666669845581</v>
      </c>
      <c r="Y912">
        <v>6.4333329200744602</v>
      </c>
      <c r="Z912">
        <v>4.8361310958862296</v>
      </c>
      <c r="AA912">
        <v>29727000</v>
      </c>
      <c r="AB912" t="s">
        <v>27</v>
      </c>
      <c r="AC912" t="s">
        <v>27</v>
      </c>
      <c r="AD912">
        <v>0.27333333094914802</v>
      </c>
      <c r="AE912">
        <v>39.020416259765597</v>
      </c>
      <c r="AF912">
        <v>11.052600103066201</v>
      </c>
      <c r="AG912">
        <v>31200000</v>
      </c>
      <c r="AH912">
        <v>0.145789995789528</v>
      </c>
      <c r="AI912">
        <v>22.386478424072301</v>
      </c>
    </row>
    <row r="913" spans="1:35">
      <c r="A913">
        <f t="shared" si="114"/>
        <v>0</v>
      </c>
      <c r="B913">
        <f t="shared" si="115"/>
        <v>0</v>
      </c>
      <c r="C913">
        <f t="shared" si="116"/>
        <v>1</v>
      </c>
      <c r="D913">
        <f t="shared" si="117"/>
        <v>1</v>
      </c>
      <c r="E913">
        <f t="shared" si="118"/>
        <v>0</v>
      </c>
      <c r="F913">
        <f t="shared" si="119"/>
        <v>1</v>
      </c>
      <c r="G913">
        <f t="shared" si="120"/>
        <v>1</v>
      </c>
      <c r="H913">
        <v>1</v>
      </c>
      <c r="I913">
        <f t="shared" si="121"/>
        <v>0</v>
      </c>
      <c r="J913">
        <f t="shared" si="113"/>
        <v>29.754625320434581</v>
      </c>
      <c r="K913" t="s">
        <v>3867</v>
      </c>
      <c r="L913" t="s">
        <v>3868</v>
      </c>
      <c r="M913" t="s">
        <v>27</v>
      </c>
      <c r="N913" t="s">
        <v>27</v>
      </c>
      <c r="O913">
        <v>34.39</v>
      </c>
      <c r="P913">
        <v>29.861801147460898</v>
      </c>
      <c r="Q913">
        <v>24.027622222900401</v>
      </c>
      <c r="R913">
        <v>41.450000762939503</v>
      </c>
      <c r="S913">
        <v>18.309999465942401</v>
      </c>
      <c r="T913">
        <v>0</v>
      </c>
      <c r="U913">
        <v>13.551449775695801</v>
      </c>
      <c r="V913">
        <v>11757000</v>
      </c>
      <c r="W913">
        <v>16.323879241943398</v>
      </c>
      <c r="X913">
        <v>0.40000000596046398</v>
      </c>
      <c r="Y913">
        <v>18.260869979858398</v>
      </c>
      <c r="Z913">
        <v>5.7270030975341797</v>
      </c>
      <c r="AA913">
        <v>20543000</v>
      </c>
      <c r="AB913" t="s">
        <v>30</v>
      </c>
      <c r="AC913" t="s">
        <v>3496</v>
      </c>
      <c r="AD913">
        <v>0.519999980926514</v>
      </c>
      <c r="AE913">
        <v>13.6286401748657</v>
      </c>
      <c r="AF913">
        <v>5.9008120502773398</v>
      </c>
      <c r="AG913">
        <v>20717000</v>
      </c>
      <c r="AH913">
        <v>0</v>
      </c>
      <c r="AI913">
        <v>12.959907531738301</v>
      </c>
    </row>
    <row r="914" spans="1:35">
      <c r="A914">
        <f t="shared" si="114"/>
        <v>0</v>
      </c>
      <c r="B914">
        <f t="shared" si="115"/>
        <v>0</v>
      </c>
      <c r="C914">
        <f t="shared" si="116"/>
        <v>1</v>
      </c>
      <c r="D914">
        <f t="shared" si="117"/>
        <v>1</v>
      </c>
      <c r="E914">
        <f t="shared" si="118"/>
        <v>0</v>
      </c>
      <c r="F914">
        <f t="shared" si="119"/>
        <v>1</v>
      </c>
      <c r="G914">
        <f t="shared" si="120"/>
        <v>0</v>
      </c>
      <c r="H914">
        <v>1</v>
      </c>
      <c r="I914">
        <f t="shared" si="121"/>
        <v>1</v>
      </c>
      <c r="J914">
        <f t="shared" si="113"/>
        <v>29.689542770385799</v>
      </c>
      <c r="K914" t="s">
        <v>3354</v>
      </c>
      <c r="L914" t="s">
        <v>3355</v>
      </c>
      <c r="M914" t="s">
        <v>27</v>
      </c>
      <c r="N914" t="s">
        <v>27</v>
      </c>
      <c r="O914">
        <v>47.12</v>
      </c>
      <c r="P914">
        <v>24.565258026123001</v>
      </c>
      <c r="Q914">
        <v>19.0939750671387</v>
      </c>
      <c r="R914">
        <v>36.970001220703097</v>
      </c>
      <c r="S914">
        <v>32.25</v>
      </c>
      <c r="T914">
        <v>0</v>
      </c>
      <c r="U914">
        <v>21.5619716644287</v>
      </c>
      <c r="V914">
        <v>8365000</v>
      </c>
      <c r="W914">
        <v>15.6111917495728</v>
      </c>
      <c r="X914">
        <v>0.87000000476837203</v>
      </c>
      <c r="Y914">
        <v>11.6691732406616</v>
      </c>
      <c r="Z914">
        <v>10.595567703247101</v>
      </c>
      <c r="AA914">
        <v>4471000</v>
      </c>
      <c r="AB914" t="s">
        <v>30</v>
      </c>
      <c r="AC914" t="s">
        <v>1457</v>
      </c>
      <c r="AD914">
        <v>0.89999997615814198</v>
      </c>
      <c r="AE914">
        <v>20.386209487915</v>
      </c>
      <c r="AF914">
        <v>4.7187323785619402</v>
      </c>
      <c r="AG914">
        <v>4107999.75</v>
      </c>
      <c r="AH914">
        <v>0</v>
      </c>
      <c r="AI914">
        <v>12.368608474731399</v>
      </c>
    </row>
    <row r="915" spans="1:35">
      <c r="A915">
        <f t="shared" si="114"/>
        <v>0</v>
      </c>
      <c r="B915">
        <f t="shared" si="115"/>
        <v>0</v>
      </c>
      <c r="C915">
        <f t="shared" si="116"/>
        <v>0</v>
      </c>
      <c r="D915">
        <f t="shared" si="117"/>
        <v>1</v>
      </c>
      <c r="E915">
        <f t="shared" si="118"/>
        <v>0</v>
      </c>
      <c r="F915">
        <f t="shared" si="119"/>
        <v>1</v>
      </c>
      <c r="G915">
        <f t="shared" si="120"/>
        <v>1</v>
      </c>
      <c r="H915">
        <v>1</v>
      </c>
      <c r="I915">
        <f t="shared" si="121"/>
        <v>0</v>
      </c>
      <c r="J915">
        <f t="shared" si="113"/>
        <v>29.61623096466068</v>
      </c>
      <c r="K915" t="s">
        <v>3027</v>
      </c>
      <c r="L915" t="s">
        <v>3028</v>
      </c>
      <c r="M915" t="s">
        <v>27</v>
      </c>
      <c r="N915" t="s">
        <v>27</v>
      </c>
      <c r="O915">
        <v>10.7</v>
      </c>
      <c r="P915" t="s">
        <v>27</v>
      </c>
      <c r="Q915">
        <v>19.881717681884801</v>
      </c>
      <c r="R915">
        <v>14.1000003814697</v>
      </c>
      <c r="S915">
        <v>10.8298498492241</v>
      </c>
      <c r="T915">
        <v>0.50846099853515603</v>
      </c>
      <c r="U915">
        <v>34.928398132324197</v>
      </c>
      <c r="V915">
        <v>-2729000</v>
      </c>
      <c r="W915" t="s">
        <v>27</v>
      </c>
      <c r="X915">
        <v>0.28999999165535001</v>
      </c>
      <c r="Y915">
        <v>1.19148898124695</v>
      </c>
      <c r="Z915">
        <v>9.7345132827758807</v>
      </c>
      <c r="AA915">
        <v>28264000</v>
      </c>
      <c r="AB915" t="s">
        <v>328</v>
      </c>
      <c r="AC915" t="s">
        <v>403</v>
      </c>
      <c r="AD915">
        <v>0.34999999403953602</v>
      </c>
      <c r="AE915">
        <v>38.350032806396499</v>
      </c>
      <c r="AF915">
        <v>13.4226982173175</v>
      </c>
      <c r="AG915">
        <v>28677000</v>
      </c>
      <c r="AH915">
        <v>4.9944648742675799</v>
      </c>
      <c r="AI915">
        <v>11.715826988220201</v>
      </c>
    </row>
    <row r="916" spans="1:35">
      <c r="A916">
        <f t="shared" si="114"/>
        <v>0</v>
      </c>
      <c r="B916">
        <f t="shared" si="115"/>
        <v>1</v>
      </c>
      <c r="C916">
        <f t="shared" si="116"/>
        <v>1</v>
      </c>
      <c r="D916">
        <f t="shared" si="117"/>
        <v>1</v>
      </c>
      <c r="E916">
        <f t="shared" si="118"/>
        <v>0</v>
      </c>
      <c r="F916">
        <f t="shared" si="119"/>
        <v>1</v>
      </c>
      <c r="G916">
        <f t="shared" si="120"/>
        <v>1</v>
      </c>
      <c r="H916">
        <v>1</v>
      </c>
      <c r="I916">
        <f t="shared" si="121"/>
        <v>0</v>
      </c>
      <c r="J916">
        <f t="shared" si="113"/>
        <v>29.544472694396951</v>
      </c>
      <c r="K916" t="s">
        <v>1296</v>
      </c>
      <c r="L916" t="s">
        <v>1297</v>
      </c>
      <c r="M916" t="s">
        <v>27</v>
      </c>
      <c r="N916" t="s">
        <v>27</v>
      </c>
      <c r="O916">
        <v>27.19</v>
      </c>
      <c r="P916">
        <v>27.746574401855501</v>
      </c>
      <c r="Q916">
        <v>26.208915710449201</v>
      </c>
      <c r="R916">
        <v>38.700000762939503</v>
      </c>
      <c r="S916">
        <v>37.439998626708999</v>
      </c>
      <c r="T916">
        <v>0</v>
      </c>
      <c r="U916">
        <v>65.464057922363295</v>
      </c>
      <c r="V916">
        <v>14905000</v>
      </c>
      <c r="W916">
        <v>21.322412490844702</v>
      </c>
      <c r="X916">
        <v>0.239999994635582</v>
      </c>
      <c r="Y916">
        <v>2.5233640670776398</v>
      </c>
      <c r="Z916">
        <v>3.3355569839477499</v>
      </c>
      <c r="AA916">
        <v>32879002</v>
      </c>
      <c r="AB916" t="s">
        <v>34</v>
      </c>
      <c r="AC916" t="s">
        <v>237</v>
      </c>
      <c r="AD916">
        <v>0.259999990463257</v>
      </c>
      <c r="AE916">
        <v>68.848800659179702</v>
      </c>
      <c r="AF916">
        <v>9.2961841359098401</v>
      </c>
      <c r="AG916">
        <v>33485000</v>
      </c>
      <c r="AH916">
        <v>0</v>
      </c>
      <c r="AI916">
        <v>21.680585861206101</v>
      </c>
    </row>
    <row r="917" spans="1:35">
      <c r="A917">
        <f t="shared" si="114"/>
        <v>1</v>
      </c>
      <c r="B917">
        <f t="shared" si="115"/>
        <v>0</v>
      </c>
      <c r="C917">
        <f t="shared" si="116"/>
        <v>1</v>
      </c>
      <c r="D917">
        <f t="shared" si="117"/>
        <v>1</v>
      </c>
      <c r="E917">
        <f t="shared" si="118"/>
        <v>0</v>
      </c>
      <c r="F917">
        <f t="shared" si="119"/>
        <v>1</v>
      </c>
      <c r="G917">
        <f t="shared" si="120"/>
        <v>0</v>
      </c>
      <c r="H917">
        <v>1</v>
      </c>
      <c r="I917">
        <f t="shared" si="121"/>
        <v>1</v>
      </c>
      <c r="J917">
        <f t="shared" si="113"/>
        <v>29.42222833633426</v>
      </c>
      <c r="K917" t="s">
        <v>686</v>
      </c>
      <c r="L917" t="s">
        <v>687</v>
      </c>
      <c r="M917" t="s">
        <v>27</v>
      </c>
      <c r="N917" t="s">
        <v>27</v>
      </c>
      <c r="O917">
        <v>14.76</v>
      </c>
      <c r="P917">
        <v>19.635801315307599</v>
      </c>
      <c r="Q917">
        <v>21.8965873718262</v>
      </c>
      <c r="R917">
        <v>10.966667175293001</v>
      </c>
      <c r="S917">
        <v>8.125</v>
      </c>
      <c r="T917">
        <v>4.8008952140808097</v>
      </c>
      <c r="U917" t="s">
        <v>27</v>
      </c>
      <c r="V917">
        <v>7095000</v>
      </c>
      <c r="W917">
        <v>1.92329597473145</v>
      </c>
      <c r="X917">
        <v>0.161111106475194</v>
      </c>
      <c r="Y917">
        <v>7.27272701263428</v>
      </c>
      <c r="Z917">
        <v>7.5256409645080602</v>
      </c>
      <c r="AA917">
        <v>12384000</v>
      </c>
      <c r="AB917" t="s">
        <v>34</v>
      </c>
      <c r="AC917" t="s">
        <v>35</v>
      </c>
      <c r="AD917">
        <v>0.18666666746139499</v>
      </c>
      <c r="AE917" t="s">
        <v>27</v>
      </c>
      <c r="AF917" t="s">
        <v>27</v>
      </c>
      <c r="AG917">
        <v>12411000</v>
      </c>
      <c r="AH917">
        <v>0.946106016635895</v>
      </c>
      <c r="AI917">
        <v>1.8978290557861299</v>
      </c>
    </row>
    <row r="918" spans="1:35">
      <c r="A918">
        <f t="shared" si="114"/>
        <v>0</v>
      </c>
      <c r="B918">
        <f t="shared" si="115"/>
        <v>0</v>
      </c>
      <c r="C918">
        <f t="shared" si="116"/>
        <v>1</v>
      </c>
      <c r="D918">
        <f t="shared" si="117"/>
        <v>1</v>
      </c>
      <c r="E918">
        <f t="shared" si="118"/>
        <v>0</v>
      </c>
      <c r="F918">
        <f t="shared" si="119"/>
        <v>1</v>
      </c>
      <c r="G918">
        <f t="shared" si="120"/>
        <v>0</v>
      </c>
      <c r="H918">
        <v>1</v>
      </c>
      <c r="I918">
        <f t="shared" si="121"/>
        <v>0</v>
      </c>
      <c r="J918">
        <f t="shared" si="113"/>
        <v>29.402450084686322</v>
      </c>
      <c r="K918" t="s">
        <v>3803</v>
      </c>
      <c r="L918" t="s">
        <v>3804</v>
      </c>
      <c r="M918" t="s">
        <v>27</v>
      </c>
      <c r="N918" t="s">
        <v>27</v>
      </c>
      <c r="O918">
        <v>25.69</v>
      </c>
      <c r="P918">
        <v>30.442001342773398</v>
      </c>
      <c r="Q918">
        <v>23.854291915893601</v>
      </c>
      <c r="R918">
        <v>28.069999694824201</v>
      </c>
      <c r="S918">
        <v>21.1875</v>
      </c>
      <c r="T918">
        <v>15.814816474914601</v>
      </c>
      <c r="U918">
        <v>57.422275543212898</v>
      </c>
      <c r="V918">
        <v>10307000</v>
      </c>
      <c r="W918">
        <v>23.241590499877901</v>
      </c>
      <c r="X918">
        <v>0.10000000149011599</v>
      </c>
      <c r="Y918">
        <v>6.4299068450927699</v>
      </c>
      <c r="Z918">
        <v>5.5481581687927202</v>
      </c>
      <c r="AA918">
        <v>15434000</v>
      </c>
      <c r="AB918" t="s">
        <v>194</v>
      </c>
      <c r="AC918" t="s">
        <v>741</v>
      </c>
      <c r="AD918">
        <v>0.28000000119209301</v>
      </c>
      <c r="AE918">
        <v>50.354988098144503</v>
      </c>
      <c r="AF918">
        <v>11.534539319127401</v>
      </c>
      <c r="AG918">
        <v>15724000</v>
      </c>
      <c r="AH918">
        <v>47.753059387207003</v>
      </c>
      <c r="AI918">
        <v>12.638380050659199</v>
      </c>
    </row>
    <row r="919" spans="1:35">
      <c r="A919">
        <f t="shared" si="114"/>
        <v>1</v>
      </c>
      <c r="B919">
        <f t="shared" si="115"/>
        <v>0</v>
      </c>
      <c r="C919">
        <f t="shared" si="116"/>
        <v>1</v>
      </c>
      <c r="D919">
        <f t="shared" si="117"/>
        <v>1</v>
      </c>
      <c r="E919">
        <f t="shared" si="118"/>
        <v>0</v>
      </c>
      <c r="F919">
        <f t="shared" si="119"/>
        <v>1</v>
      </c>
      <c r="G919">
        <f t="shared" si="120"/>
        <v>0</v>
      </c>
      <c r="H919">
        <v>1</v>
      </c>
      <c r="I919">
        <f t="shared" si="121"/>
        <v>0</v>
      </c>
      <c r="J919">
        <f t="shared" si="113"/>
        <v>29.1781005859375</v>
      </c>
      <c r="K919" t="s">
        <v>1512</v>
      </c>
      <c r="L919" t="s">
        <v>1513</v>
      </c>
      <c r="M919" t="s">
        <v>27</v>
      </c>
      <c r="N919" t="s">
        <v>27</v>
      </c>
      <c r="O919">
        <v>18.350000000000001</v>
      </c>
      <c r="P919">
        <v>9.0777711868286097</v>
      </c>
      <c r="Q919">
        <v>13.8447675704956</v>
      </c>
      <c r="R919">
        <v>19.4799995422363</v>
      </c>
      <c r="S919">
        <v>15.449999809265099</v>
      </c>
      <c r="T919">
        <v>20.446903228759801</v>
      </c>
      <c r="U919" t="s">
        <v>27</v>
      </c>
      <c r="V919">
        <v>9862000</v>
      </c>
      <c r="W919">
        <v>5.7542982101440403</v>
      </c>
      <c r="X919">
        <v>0.15999999642372101</v>
      </c>
      <c r="Y919">
        <v>5.3043479919433603</v>
      </c>
      <c r="Z919">
        <v>15.3333330154419</v>
      </c>
      <c r="AA919">
        <v>12567000</v>
      </c>
      <c r="AB919" t="s">
        <v>83</v>
      </c>
      <c r="AC919" t="s">
        <v>84</v>
      </c>
      <c r="AD919">
        <v>2.1099998950958301</v>
      </c>
      <c r="AE919" t="s">
        <v>27</v>
      </c>
      <c r="AF919">
        <v>63.3460044085231</v>
      </c>
      <c r="AG919">
        <v>21416000</v>
      </c>
      <c r="AH919">
        <v>0.63141298294067405</v>
      </c>
      <c r="AI919">
        <v>4.2886710166931197</v>
      </c>
    </row>
    <row r="920" spans="1:35">
      <c r="A920">
        <f t="shared" si="114"/>
        <v>0</v>
      </c>
      <c r="B920">
        <f t="shared" si="115"/>
        <v>0</v>
      </c>
      <c r="C920">
        <f t="shared" si="116"/>
        <v>1</v>
      </c>
      <c r="D920">
        <f t="shared" si="117"/>
        <v>1</v>
      </c>
      <c r="E920">
        <f t="shared" si="118"/>
        <v>0</v>
      </c>
      <c r="F920">
        <f t="shared" si="119"/>
        <v>1</v>
      </c>
      <c r="G920">
        <f t="shared" si="120"/>
        <v>1</v>
      </c>
      <c r="H920">
        <v>1</v>
      </c>
      <c r="I920">
        <f t="shared" si="121"/>
        <v>0</v>
      </c>
      <c r="J920">
        <f t="shared" si="113"/>
        <v>29.101871490478519</v>
      </c>
      <c r="K920" t="s">
        <v>719</v>
      </c>
      <c r="L920" t="s">
        <v>720</v>
      </c>
      <c r="M920" t="s">
        <v>27</v>
      </c>
      <c r="N920" t="s">
        <v>27</v>
      </c>
      <c r="O920">
        <v>30.99</v>
      </c>
      <c r="P920" t="s">
        <v>27</v>
      </c>
      <c r="Q920">
        <v>26.916288375854499</v>
      </c>
      <c r="R920">
        <v>32.189998626708999</v>
      </c>
      <c r="S920">
        <v>33</v>
      </c>
      <c r="T920">
        <v>0</v>
      </c>
      <c r="U920">
        <v>63.925212860107401</v>
      </c>
      <c r="V920">
        <v>3290900</v>
      </c>
      <c r="W920">
        <v>20.2705593109131</v>
      </c>
      <c r="X920">
        <v>0.129999995231628</v>
      </c>
      <c r="Y920" t="s">
        <v>27</v>
      </c>
      <c r="Z920">
        <v>2.1855831146240199</v>
      </c>
      <c r="AA920">
        <v>30950000</v>
      </c>
      <c r="AB920" t="s">
        <v>61</v>
      </c>
      <c r="AC920" t="s">
        <v>80</v>
      </c>
      <c r="AD920">
        <v>0.17000000178813901</v>
      </c>
      <c r="AE920">
        <v>66.246742248535199</v>
      </c>
      <c r="AF920">
        <v>23.968183487835699</v>
      </c>
      <c r="AG920">
        <v>34756000</v>
      </c>
      <c r="AH920">
        <v>0</v>
      </c>
      <c r="AI920">
        <v>12.7380924224854</v>
      </c>
    </row>
    <row r="921" spans="1:35">
      <c r="A921">
        <f t="shared" si="114"/>
        <v>1</v>
      </c>
      <c r="B921">
        <f t="shared" si="115"/>
        <v>0</v>
      </c>
      <c r="C921">
        <f t="shared" si="116"/>
        <v>0</v>
      </c>
      <c r="D921">
        <f t="shared" si="117"/>
        <v>1</v>
      </c>
      <c r="E921">
        <f t="shared" si="118"/>
        <v>0</v>
      </c>
      <c r="F921">
        <f t="shared" si="119"/>
        <v>0</v>
      </c>
      <c r="G921">
        <f t="shared" si="120"/>
        <v>1</v>
      </c>
      <c r="H921">
        <v>1</v>
      </c>
      <c r="I921">
        <f t="shared" si="121"/>
        <v>1</v>
      </c>
      <c r="J921">
        <f t="shared" si="113"/>
        <v>28.8991022109985</v>
      </c>
      <c r="K921" t="s">
        <v>3252</v>
      </c>
      <c r="L921" t="s">
        <v>3253</v>
      </c>
      <c r="M921" t="s">
        <v>27</v>
      </c>
      <c r="N921" t="s">
        <v>27</v>
      </c>
      <c r="O921">
        <v>11.13</v>
      </c>
      <c r="P921" t="s">
        <v>27</v>
      </c>
      <c r="Q921">
        <v>13.770896911621101</v>
      </c>
      <c r="R921">
        <v>7.5</v>
      </c>
      <c r="S921">
        <v>2.5</v>
      </c>
      <c r="T921">
        <v>28.809490203857401</v>
      </c>
      <c r="U921">
        <v>7.3088870048522896</v>
      </c>
      <c r="V921">
        <v>-354000</v>
      </c>
      <c r="W921">
        <v>-1.1189990043640099</v>
      </c>
      <c r="X921">
        <v>-0.87999999523162797</v>
      </c>
      <c r="Y921">
        <v>5.7600002288818404</v>
      </c>
      <c r="Z921">
        <v>15.128205299377401</v>
      </c>
      <c r="AA921">
        <v>11288000</v>
      </c>
      <c r="AB921" t="s">
        <v>30</v>
      </c>
      <c r="AC921" t="s">
        <v>1457</v>
      </c>
      <c r="AD921">
        <v>0.15000000596046401</v>
      </c>
      <c r="AE921">
        <v>16.775083541870099</v>
      </c>
      <c r="AF921">
        <v>6.9356754581543303</v>
      </c>
      <c r="AG921">
        <v>10526000</v>
      </c>
      <c r="AH921">
        <v>14.586320877075201</v>
      </c>
      <c r="AI921">
        <v>-5.0768542289733896</v>
      </c>
    </row>
    <row r="922" spans="1:35">
      <c r="A922">
        <f t="shared" si="114"/>
        <v>0</v>
      </c>
      <c r="B922">
        <f t="shared" si="115"/>
        <v>0</v>
      </c>
      <c r="C922">
        <f t="shared" si="116"/>
        <v>1</v>
      </c>
      <c r="D922">
        <f t="shared" si="117"/>
        <v>1</v>
      </c>
      <c r="E922">
        <f t="shared" si="118"/>
        <v>0</v>
      </c>
      <c r="F922">
        <f t="shared" si="119"/>
        <v>1</v>
      </c>
      <c r="G922">
        <f t="shared" si="120"/>
        <v>0</v>
      </c>
      <c r="H922">
        <v>1</v>
      </c>
      <c r="I922">
        <f t="shared" si="121"/>
        <v>0</v>
      </c>
      <c r="J922">
        <f t="shared" si="113"/>
        <v>28.878865718841517</v>
      </c>
      <c r="K922" t="s">
        <v>1420</v>
      </c>
      <c r="L922" t="s">
        <v>1421</v>
      </c>
      <c r="M922" t="s">
        <v>27</v>
      </c>
      <c r="N922" t="s">
        <v>27</v>
      </c>
      <c r="O922">
        <v>8.5299999999999994</v>
      </c>
      <c r="P922">
        <v>25.485404968261701</v>
      </c>
      <c r="Q922">
        <v>21.233516693115199</v>
      </c>
      <c r="R922">
        <v>24.209999084472699</v>
      </c>
      <c r="S922">
        <v>41.200000762939503</v>
      </c>
      <c r="T922">
        <v>17.750883102416999</v>
      </c>
      <c r="U922">
        <v>32.575504302978501</v>
      </c>
      <c r="V922">
        <v>27599998</v>
      </c>
      <c r="W922">
        <v>10.1417999267578</v>
      </c>
      <c r="X922">
        <v>0.77999997138977095</v>
      </c>
      <c r="Y922">
        <v>7.6691727638244602</v>
      </c>
      <c r="Z922">
        <v>7.6453490257263201</v>
      </c>
      <c r="AA922">
        <v>19507000</v>
      </c>
      <c r="AB922" t="s">
        <v>27</v>
      </c>
      <c r="AC922" t="s">
        <v>27</v>
      </c>
      <c r="AD922">
        <v>0.80000001192092896</v>
      </c>
      <c r="AE922">
        <v>31.679508209228501</v>
      </c>
      <c r="AF922" t="s">
        <v>27</v>
      </c>
      <c r="AG922">
        <v>19903000</v>
      </c>
      <c r="AH922">
        <v>24.5681972503662</v>
      </c>
      <c r="AI922">
        <v>8.7163581848144496</v>
      </c>
    </row>
    <row r="923" spans="1:35">
      <c r="A923">
        <f t="shared" si="114"/>
        <v>1</v>
      </c>
      <c r="B923">
        <f t="shared" si="115"/>
        <v>1</v>
      </c>
      <c r="C923">
        <f t="shared" si="116"/>
        <v>1</v>
      </c>
      <c r="D923">
        <f t="shared" si="117"/>
        <v>1</v>
      </c>
      <c r="E923">
        <f t="shared" si="118"/>
        <v>0</v>
      </c>
      <c r="F923">
        <f t="shared" si="119"/>
        <v>1</v>
      </c>
      <c r="G923">
        <f t="shared" si="120"/>
        <v>0</v>
      </c>
      <c r="H923">
        <v>1</v>
      </c>
      <c r="I923">
        <f t="shared" si="121"/>
        <v>1</v>
      </c>
      <c r="J923">
        <f t="shared" si="113"/>
        <v>28.775529384613019</v>
      </c>
      <c r="K923" t="s">
        <v>943</v>
      </c>
      <c r="L923" t="s">
        <v>944</v>
      </c>
      <c r="M923" t="s">
        <v>27</v>
      </c>
      <c r="N923" t="s">
        <v>27</v>
      </c>
      <c r="O923">
        <v>36.450000000000003</v>
      </c>
      <c r="P923">
        <v>21.743087768554702</v>
      </c>
      <c r="Q923">
        <v>25.067430496215799</v>
      </c>
      <c r="R923">
        <v>21.940000534057599</v>
      </c>
      <c r="S923">
        <v>19.84375</v>
      </c>
      <c r="T923">
        <v>2.2465889453887899</v>
      </c>
      <c r="U923">
        <v>46.220531463622997</v>
      </c>
      <c r="V923">
        <v>10542000</v>
      </c>
      <c r="W923">
        <v>18.241172790527301</v>
      </c>
      <c r="X923">
        <v>0.104999996721745</v>
      </c>
      <c r="Y923">
        <v>2.1355929374694802</v>
      </c>
      <c r="Z923">
        <v>3.7080988883972199</v>
      </c>
      <c r="AA923">
        <v>41400000</v>
      </c>
      <c r="AB923" t="s">
        <v>30</v>
      </c>
      <c r="AC923" t="s">
        <v>945</v>
      </c>
      <c r="AD923">
        <v>0.15000000596046401</v>
      </c>
      <c r="AE923">
        <v>45.879016876220703</v>
      </c>
      <c r="AF923">
        <v>19.0058545340145</v>
      </c>
      <c r="AG923">
        <v>42488000</v>
      </c>
      <c r="AH923">
        <v>2.0528199672699001</v>
      </c>
      <c r="AI923">
        <v>22.0046272277832</v>
      </c>
    </row>
    <row r="924" spans="1:35">
      <c r="A924">
        <f t="shared" si="114"/>
        <v>1</v>
      </c>
      <c r="B924">
        <f t="shared" si="115"/>
        <v>1</v>
      </c>
      <c r="C924">
        <f t="shared" si="116"/>
        <v>0</v>
      </c>
      <c r="D924">
        <f t="shared" si="117"/>
        <v>0</v>
      </c>
      <c r="E924">
        <f t="shared" si="118"/>
        <v>0</v>
      </c>
      <c r="F924">
        <f t="shared" si="119"/>
        <v>1</v>
      </c>
      <c r="G924">
        <f t="shared" si="120"/>
        <v>1</v>
      </c>
      <c r="H924">
        <v>1</v>
      </c>
      <c r="I924">
        <f t="shared" si="121"/>
        <v>0</v>
      </c>
      <c r="J924">
        <f t="shared" si="113"/>
        <v>28.445388793945341</v>
      </c>
      <c r="K924" t="s">
        <v>2748</v>
      </c>
      <c r="L924" t="s">
        <v>2749</v>
      </c>
      <c r="M924" t="s">
        <v>27</v>
      </c>
      <c r="N924" t="s">
        <v>27</v>
      </c>
      <c r="O924">
        <v>21.11</v>
      </c>
      <c r="P924">
        <v>6.3273820877075204</v>
      </c>
      <c r="Q924">
        <v>9.0483245849609393</v>
      </c>
      <c r="R924">
        <v>27.0100002288818</v>
      </c>
      <c r="S924">
        <v>24.700000762939499</v>
      </c>
      <c r="T924">
        <v>34.159976959228501</v>
      </c>
      <c r="U924">
        <v>30.0522365570068</v>
      </c>
      <c r="V924">
        <v>-9806999</v>
      </c>
      <c r="W924">
        <v>3.0844581127166699</v>
      </c>
      <c r="X924">
        <v>1.1900000572204601</v>
      </c>
      <c r="Y924">
        <v>9.2683563232421893</v>
      </c>
      <c r="Z924">
        <v>19.3970642089844</v>
      </c>
      <c r="AA924">
        <v>39082600</v>
      </c>
      <c r="AB924" t="s">
        <v>254</v>
      </c>
      <c r="AC924" t="s">
        <v>848</v>
      </c>
      <c r="AD924">
        <v>0.82999998331069902</v>
      </c>
      <c r="AE924">
        <v>30.862125396728501</v>
      </c>
      <c r="AF924">
        <v>7.7553082643320499</v>
      </c>
      <c r="AG924">
        <v>39118000</v>
      </c>
      <c r="AH924">
        <v>31.5583896636963</v>
      </c>
      <c r="AI924">
        <v>3.5967459678649898</v>
      </c>
    </row>
    <row r="925" spans="1:35">
      <c r="A925">
        <f t="shared" si="114"/>
        <v>0</v>
      </c>
      <c r="B925">
        <f t="shared" si="115"/>
        <v>1</v>
      </c>
      <c r="C925">
        <f t="shared" si="116"/>
        <v>1</v>
      </c>
      <c r="D925">
        <f t="shared" si="117"/>
        <v>0</v>
      </c>
      <c r="E925">
        <f t="shared" si="118"/>
        <v>0</v>
      </c>
      <c r="F925">
        <f t="shared" si="119"/>
        <v>1</v>
      </c>
      <c r="G925">
        <f t="shared" si="120"/>
        <v>0</v>
      </c>
      <c r="H925">
        <v>1</v>
      </c>
      <c r="I925">
        <f t="shared" si="121"/>
        <v>0</v>
      </c>
      <c r="J925">
        <f t="shared" si="113"/>
        <v>28.4153347015381</v>
      </c>
      <c r="K925" t="s">
        <v>2080</v>
      </c>
      <c r="L925" t="s">
        <v>2081</v>
      </c>
      <c r="M925" t="s">
        <v>27</v>
      </c>
      <c r="N925" t="s">
        <v>27</v>
      </c>
      <c r="O925">
        <v>14.85</v>
      </c>
      <c r="P925">
        <v>13.180272102356</v>
      </c>
      <c r="Q925">
        <v>13.1733999252319</v>
      </c>
      <c r="R925">
        <v>15.050000190734901</v>
      </c>
      <c r="S925">
        <v>37.599998474121101</v>
      </c>
      <c r="T925">
        <v>24.004024505615199</v>
      </c>
      <c r="U925">
        <v>13.278491020202599</v>
      </c>
      <c r="V925">
        <v>12599999</v>
      </c>
      <c r="W925">
        <v>-1.83432805538177</v>
      </c>
      <c r="X925">
        <v>0.43999999761581399</v>
      </c>
      <c r="Y925">
        <v>2.64355397224426</v>
      </c>
      <c r="Z925">
        <v>15.2419347763062</v>
      </c>
      <c r="AA925">
        <v>23630000</v>
      </c>
      <c r="AB925" t="s">
        <v>27</v>
      </c>
      <c r="AC925" t="s">
        <v>27</v>
      </c>
      <c r="AD925">
        <v>0.129999995231628</v>
      </c>
      <c r="AE925">
        <v>9.6506738662719709</v>
      </c>
      <c r="AF925" t="s">
        <v>27</v>
      </c>
      <c r="AG925">
        <v>25198000</v>
      </c>
      <c r="AH925">
        <v>24.4857997894287</v>
      </c>
      <c r="AI925">
        <v>8.9104337692260707</v>
      </c>
    </row>
    <row r="926" spans="1:35">
      <c r="A926">
        <f t="shared" si="114"/>
        <v>1</v>
      </c>
      <c r="B926">
        <f t="shared" si="115"/>
        <v>1</v>
      </c>
      <c r="C926">
        <f t="shared" si="116"/>
        <v>1</v>
      </c>
      <c r="D926">
        <f t="shared" si="117"/>
        <v>0</v>
      </c>
      <c r="E926">
        <f t="shared" si="118"/>
        <v>0</v>
      </c>
      <c r="F926">
        <f t="shared" si="119"/>
        <v>1</v>
      </c>
      <c r="G926">
        <f t="shared" si="120"/>
        <v>0</v>
      </c>
      <c r="H926">
        <v>1</v>
      </c>
      <c r="I926">
        <f t="shared" si="121"/>
        <v>1</v>
      </c>
      <c r="J926">
        <f t="shared" si="113"/>
        <v>28.409889221191399</v>
      </c>
      <c r="K926" t="s">
        <v>81</v>
      </c>
      <c r="L926" t="s">
        <v>82</v>
      </c>
      <c r="M926" t="s">
        <v>27</v>
      </c>
      <c r="N926" t="s">
        <v>27</v>
      </c>
      <c r="O926">
        <v>7.92</v>
      </c>
      <c r="P926" t="s">
        <v>27</v>
      </c>
      <c r="Q926">
        <v>10.844402313232401</v>
      </c>
      <c r="R926">
        <v>6.5</v>
      </c>
      <c r="S926">
        <v>6.6500000953674299</v>
      </c>
      <c r="T926">
        <v>56.663665771484403</v>
      </c>
      <c r="U926" t="s">
        <v>27</v>
      </c>
      <c r="V926">
        <v>4846000</v>
      </c>
      <c r="W926">
        <v>1.3089970350265501</v>
      </c>
      <c r="X926">
        <v>3.9999999105930301E-2</v>
      </c>
      <c r="Y926">
        <v>5.3333330154418901</v>
      </c>
      <c r="Z926">
        <v>17.565486907958999</v>
      </c>
      <c r="AA926">
        <v>28345000</v>
      </c>
      <c r="AB926" t="s">
        <v>83</v>
      </c>
      <c r="AC926" t="s">
        <v>84</v>
      </c>
      <c r="AD926">
        <v>-0.33000001311302202</v>
      </c>
      <c r="AE926" t="s">
        <v>27</v>
      </c>
      <c r="AF926">
        <v>7.0357159700835901</v>
      </c>
      <c r="AG926">
        <v>28449000</v>
      </c>
      <c r="AH926">
        <v>52.663852691650398</v>
      </c>
      <c r="AI926">
        <v>3.63792896270752</v>
      </c>
    </row>
    <row r="927" spans="1:35">
      <c r="A927">
        <f t="shared" si="114"/>
        <v>0</v>
      </c>
      <c r="B927">
        <f t="shared" si="115"/>
        <v>0</v>
      </c>
      <c r="C927">
        <f t="shared" si="116"/>
        <v>1</v>
      </c>
      <c r="D927">
        <f t="shared" si="117"/>
        <v>1</v>
      </c>
      <c r="E927">
        <f t="shared" si="118"/>
        <v>0</v>
      </c>
      <c r="F927">
        <f t="shared" si="119"/>
        <v>1</v>
      </c>
      <c r="G927">
        <f t="shared" si="120"/>
        <v>1</v>
      </c>
      <c r="H927">
        <v>1</v>
      </c>
      <c r="I927">
        <f t="shared" si="121"/>
        <v>1</v>
      </c>
      <c r="J927">
        <f t="shared" si="113"/>
        <v>28.402853965759228</v>
      </c>
      <c r="K927" t="s">
        <v>3422</v>
      </c>
      <c r="L927" t="s">
        <v>3423</v>
      </c>
      <c r="M927" t="s">
        <v>27</v>
      </c>
      <c r="N927" t="s">
        <v>27</v>
      </c>
      <c r="O927">
        <v>22.719000000000001</v>
      </c>
      <c r="P927">
        <v>30.125467300415</v>
      </c>
      <c r="Q927">
        <v>20.719926834106399</v>
      </c>
      <c r="R927">
        <v>14.7399997711182</v>
      </c>
      <c r="S927">
        <v>6.9375</v>
      </c>
      <c r="T927">
        <v>0</v>
      </c>
      <c r="U927">
        <v>36.744922637939503</v>
      </c>
      <c r="V927">
        <v>8837000</v>
      </c>
      <c r="W927">
        <v>18.926965713501001</v>
      </c>
      <c r="X927">
        <v>0.140000000596046</v>
      </c>
      <c r="Y927">
        <v>7.0259480476379403</v>
      </c>
      <c r="Z927">
        <v>7.6829271316528303</v>
      </c>
      <c r="AA927">
        <v>38381000</v>
      </c>
      <c r="AB927" t="s">
        <v>38</v>
      </c>
      <c r="AC927" t="s">
        <v>628</v>
      </c>
      <c r="AD927">
        <v>0.15999999642372101</v>
      </c>
      <c r="AE927">
        <v>38.215778350830099</v>
      </c>
      <c r="AF927">
        <v>22.077162263268601</v>
      </c>
      <c r="AG927">
        <v>38306000</v>
      </c>
      <c r="AH927">
        <v>0</v>
      </c>
      <c r="AI927">
        <v>6.2537689208984402</v>
      </c>
    </row>
    <row r="928" spans="1:35">
      <c r="A928">
        <f t="shared" si="114"/>
        <v>1</v>
      </c>
      <c r="B928">
        <f t="shared" si="115"/>
        <v>1</v>
      </c>
      <c r="C928">
        <f t="shared" si="116"/>
        <v>1</v>
      </c>
      <c r="D928">
        <f t="shared" si="117"/>
        <v>1</v>
      </c>
      <c r="E928">
        <f t="shared" si="118"/>
        <v>0</v>
      </c>
      <c r="F928">
        <f t="shared" si="119"/>
        <v>1</v>
      </c>
      <c r="G928">
        <f t="shared" si="120"/>
        <v>1</v>
      </c>
      <c r="H928">
        <v>1</v>
      </c>
      <c r="I928">
        <f t="shared" si="121"/>
        <v>0</v>
      </c>
      <c r="J928">
        <f t="shared" ref="J928:J991" si="122">Z928+Q928</f>
        <v>28.230328559875499</v>
      </c>
      <c r="K928" t="s">
        <v>3059</v>
      </c>
      <c r="L928" t="s">
        <v>3060</v>
      </c>
      <c r="M928" t="s">
        <v>27</v>
      </c>
      <c r="N928" t="s">
        <v>27</v>
      </c>
      <c r="O928">
        <v>19.63</v>
      </c>
      <c r="P928" t="s">
        <v>27</v>
      </c>
      <c r="Q928">
        <v>13.0064477920532</v>
      </c>
      <c r="R928">
        <v>22.090000152587901</v>
      </c>
      <c r="S928">
        <v>9.5</v>
      </c>
      <c r="T928">
        <v>39.576591491699197</v>
      </c>
      <c r="U928">
        <v>10.8195657730103</v>
      </c>
      <c r="V928">
        <v>23770000</v>
      </c>
      <c r="W928">
        <v>-1.9707590341568</v>
      </c>
      <c r="X928">
        <v>0.43999999761581399</v>
      </c>
      <c r="Y928">
        <v>-4.57142877578735</v>
      </c>
      <c r="Z928">
        <v>15.223880767822299</v>
      </c>
      <c r="AA928">
        <v>13633000</v>
      </c>
      <c r="AB928" t="s">
        <v>194</v>
      </c>
      <c r="AC928" t="s">
        <v>195</v>
      </c>
      <c r="AD928">
        <v>0.93999999761581399</v>
      </c>
      <c r="AE928">
        <v>15.6180152893066</v>
      </c>
      <c r="AF928">
        <v>4.0059678392750504</v>
      </c>
      <c r="AG928">
        <v>13565000</v>
      </c>
      <c r="AH928">
        <v>27.819398880004901</v>
      </c>
      <c r="AI928">
        <v>9.7346477508544904</v>
      </c>
    </row>
    <row r="929" spans="1:35">
      <c r="A929">
        <f t="shared" ref="A929:A992" si="123">IF(AH929&lt;T929,1,0)</f>
        <v>0</v>
      </c>
      <c r="B929">
        <f t="shared" ref="B929:B992" si="124">IF(AI929&gt;W929,1,0)</f>
        <v>1</v>
      </c>
      <c r="C929">
        <f t="shared" ref="C929:C992" si="125">IF(V929&gt;0,1,0)</f>
        <v>0</v>
      </c>
      <c r="D929">
        <f t="shared" ref="D929:D992" si="126">IF(AD929&gt;X929,1,0)</f>
        <v>1</v>
      </c>
      <c r="E929">
        <f t="shared" ref="E929:E992" si="127">IF(AA929=AG929,1,0)</f>
        <v>0</v>
      </c>
      <c r="F929">
        <f t="shared" ref="F929:F992" si="128">IF(AI929&gt;0,1,0)</f>
        <v>1</v>
      </c>
      <c r="G929">
        <f t="shared" ref="G929:G992" si="129">IF(AE929&gt;U929,1,0)</f>
        <v>1</v>
      </c>
      <c r="H929">
        <v>1</v>
      </c>
      <c r="I929">
        <f t="shared" ref="I929:I992" si="130">IF(((O929-R929)/R929)&gt;0.075,1,0)</f>
        <v>0</v>
      </c>
      <c r="J929">
        <f t="shared" si="122"/>
        <v>28.203186988830598</v>
      </c>
      <c r="K929" t="s">
        <v>705</v>
      </c>
      <c r="L929" t="s">
        <v>706</v>
      </c>
      <c r="M929" t="s">
        <v>27</v>
      </c>
      <c r="N929" t="s">
        <v>27</v>
      </c>
      <c r="O929">
        <v>17.8</v>
      </c>
      <c r="P929">
        <v>18.328037261962901</v>
      </c>
      <c r="Q929">
        <v>18.801988601684599</v>
      </c>
      <c r="R929">
        <v>21.340000152587901</v>
      </c>
      <c r="S929">
        <v>17.75</v>
      </c>
      <c r="T929">
        <v>0</v>
      </c>
      <c r="U929">
        <v>31.203922271728501</v>
      </c>
      <c r="V929">
        <v>-4097999.75</v>
      </c>
      <c r="W929">
        <v>12.4677114486694</v>
      </c>
      <c r="X929">
        <v>0.18000000715255701</v>
      </c>
      <c r="Y929">
        <v>13.1073446273804</v>
      </c>
      <c r="Z929">
        <v>9.4011983871459996</v>
      </c>
      <c r="AA929">
        <v>24902000</v>
      </c>
      <c r="AB929" t="s">
        <v>30</v>
      </c>
      <c r="AC929" t="s">
        <v>68</v>
      </c>
      <c r="AD929">
        <v>0.20000000298023199</v>
      </c>
      <c r="AE929">
        <v>33.444324493408203</v>
      </c>
      <c r="AF929">
        <v>4.2790232438836702</v>
      </c>
      <c r="AG929">
        <v>24944000</v>
      </c>
      <c r="AH929">
        <v>0</v>
      </c>
      <c r="AI929">
        <v>13.0846509933472</v>
      </c>
    </row>
    <row r="930" spans="1:35">
      <c r="A930">
        <f t="shared" si="123"/>
        <v>1</v>
      </c>
      <c r="B930">
        <f t="shared" si="124"/>
        <v>1</v>
      </c>
      <c r="C930">
        <f t="shared" si="125"/>
        <v>1</v>
      </c>
      <c r="D930">
        <f t="shared" si="126"/>
        <v>1</v>
      </c>
      <c r="E930">
        <f t="shared" si="127"/>
        <v>0</v>
      </c>
      <c r="F930">
        <f t="shared" si="128"/>
        <v>1</v>
      </c>
      <c r="G930">
        <f t="shared" si="129"/>
        <v>1</v>
      </c>
      <c r="H930">
        <v>1</v>
      </c>
      <c r="I930">
        <f t="shared" si="130"/>
        <v>0</v>
      </c>
      <c r="J930">
        <f t="shared" si="122"/>
        <v>28.100806236267129</v>
      </c>
      <c r="K930" t="s">
        <v>2242</v>
      </c>
      <c r="L930" t="s">
        <v>2243</v>
      </c>
      <c r="M930" t="s">
        <v>27</v>
      </c>
      <c r="N930" t="s">
        <v>27</v>
      </c>
      <c r="O930">
        <v>5.28</v>
      </c>
      <c r="P930">
        <v>12.764920234680201</v>
      </c>
      <c r="Q930">
        <v>23.44850730896</v>
      </c>
      <c r="R930">
        <v>24.450000762939499</v>
      </c>
      <c r="S930">
        <v>23</v>
      </c>
      <c r="T930">
        <v>44.692222595214801</v>
      </c>
      <c r="U930">
        <v>37.422298431396499</v>
      </c>
      <c r="V930">
        <v>1849999.875</v>
      </c>
      <c r="W930">
        <v>3.7451119422912602</v>
      </c>
      <c r="X930">
        <v>0.15999999642372101</v>
      </c>
      <c r="Y930">
        <v>3.9603960514068599</v>
      </c>
      <c r="Z930">
        <v>4.6522989273071298</v>
      </c>
      <c r="AA930">
        <v>17515500</v>
      </c>
      <c r="AB930" t="s">
        <v>61</v>
      </c>
      <c r="AC930" t="s">
        <v>77</v>
      </c>
      <c r="AD930">
        <v>0.31000000238418601</v>
      </c>
      <c r="AE930">
        <v>42.179798126220703</v>
      </c>
      <c r="AF930">
        <v>1.25079188428434</v>
      </c>
      <c r="AG930">
        <v>24246000</v>
      </c>
      <c r="AH930">
        <v>0</v>
      </c>
      <c r="AI930">
        <v>11.6133108139038</v>
      </c>
    </row>
    <row r="931" spans="1:35">
      <c r="A931">
        <f t="shared" si="123"/>
        <v>1</v>
      </c>
      <c r="B931">
        <f t="shared" si="124"/>
        <v>1</v>
      </c>
      <c r="C931">
        <f t="shared" si="125"/>
        <v>1</v>
      </c>
      <c r="D931">
        <f t="shared" si="126"/>
        <v>0</v>
      </c>
      <c r="E931">
        <f t="shared" si="127"/>
        <v>0</v>
      </c>
      <c r="F931">
        <f t="shared" si="128"/>
        <v>1</v>
      </c>
      <c r="G931">
        <f t="shared" si="129"/>
        <v>1</v>
      </c>
      <c r="H931">
        <v>1</v>
      </c>
      <c r="I931">
        <f t="shared" si="130"/>
        <v>0</v>
      </c>
      <c r="J931">
        <f t="shared" si="122"/>
        <v>27.90171718597416</v>
      </c>
      <c r="K931" t="s">
        <v>2789</v>
      </c>
      <c r="L931" t="s">
        <v>2790</v>
      </c>
      <c r="M931" t="s">
        <v>27</v>
      </c>
      <c r="N931" t="s">
        <v>27</v>
      </c>
      <c r="O931">
        <v>17.98</v>
      </c>
      <c r="P931">
        <v>14.276822090148899</v>
      </c>
      <c r="Q931">
        <v>21.289188385009801</v>
      </c>
      <c r="R931">
        <v>20.920000076293899</v>
      </c>
      <c r="S931">
        <v>20.139999389648398</v>
      </c>
      <c r="T931">
        <v>0.125034004449844</v>
      </c>
      <c r="U931">
        <v>71.711166381835895</v>
      </c>
      <c r="V931">
        <v>10221000</v>
      </c>
      <c r="W931">
        <v>7.1112980842590297</v>
      </c>
      <c r="X931">
        <v>0.33000001311302202</v>
      </c>
      <c r="Y931">
        <v>3.4661509990692099</v>
      </c>
      <c r="Z931">
        <v>6.6125288009643599</v>
      </c>
      <c r="AA931">
        <v>22506000</v>
      </c>
      <c r="AB931" t="s">
        <v>27</v>
      </c>
      <c r="AC931" t="s">
        <v>27</v>
      </c>
      <c r="AD931">
        <v>0.31999999284744302</v>
      </c>
      <c r="AE931" t="s">
        <v>27</v>
      </c>
      <c r="AF931">
        <v>5.1602660412757997</v>
      </c>
      <c r="AG931">
        <v>21354000</v>
      </c>
      <c r="AH931">
        <v>2.7259999886155101E-2</v>
      </c>
      <c r="AI931">
        <v>15.0909080505371</v>
      </c>
    </row>
    <row r="932" spans="1:35">
      <c r="A932">
        <f t="shared" si="123"/>
        <v>1</v>
      </c>
      <c r="B932">
        <f t="shared" si="124"/>
        <v>1</v>
      </c>
      <c r="C932">
        <f t="shared" si="125"/>
        <v>0</v>
      </c>
      <c r="D932">
        <f t="shared" si="126"/>
        <v>1</v>
      </c>
      <c r="E932">
        <f t="shared" si="127"/>
        <v>0</v>
      </c>
      <c r="F932">
        <f t="shared" si="128"/>
        <v>0</v>
      </c>
      <c r="G932">
        <f t="shared" si="129"/>
        <v>1</v>
      </c>
      <c r="H932">
        <v>1</v>
      </c>
      <c r="I932">
        <f t="shared" si="130"/>
        <v>0</v>
      </c>
      <c r="J932">
        <f t="shared" si="122"/>
        <v>27.829819679260304</v>
      </c>
      <c r="K932" t="s">
        <v>3775</v>
      </c>
      <c r="L932" t="s">
        <v>3776</v>
      </c>
      <c r="M932" t="s">
        <v>27</v>
      </c>
      <c r="N932" t="s">
        <v>27</v>
      </c>
      <c r="O932">
        <v>15.5</v>
      </c>
      <c r="P932" t="s">
        <v>27</v>
      </c>
      <c r="Q932">
        <v>17.374628067016602</v>
      </c>
      <c r="R932">
        <v>17.909999847412099</v>
      </c>
      <c r="S932">
        <v>18.0625</v>
      </c>
      <c r="T932">
        <v>98.2322998046875</v>
      </c>
      <c r="U932">
        <v>38.270408630371101</v>
      </c>
      <c r="V932">
        <v>-1770999.875</v>
      </c>
      <c r="W932">
        <v>-9.3891792297363299</v>
      </c>
      <c r="X932">
        <v>0.270000010728836</v>
      </c>
      <c r="Y932" t="s">
        <v>27</v>
      </c>
      <c r="Z932">
        <v>10.4551916122437</v>
      </c>
      <c r="AA932">
        <v>9075000</v>
      </c>
      <c r="AB932" t="s">
        <v>27</v>
      </c>
      <c r="AC932" t="s">
        <v>27</v>
      </c>
      <c r="AD932">
        <v>0.479999989271164</v>
      </c>
      <c r="AE932">
        <v>40.7575073242188</v>
      </c>
      <c r="AF932">
        <v>7.4908170320870404</v>
      </c>
      <c r="AG932">
        <v>25758000</v>
      </c>
      <c r="AH932">
        <v>32.993614196777301</v>
      </c>
      <c r="AI932">
        <v>-0.32465499639511097</v>
      </c>
    </row>
    <row r="933" spans="1:35">
      <c r="A933">
        <f t="shared" si="123"/>
        <v>0</v>
      </c>
      <c r="B933">
        <f t="shared" si="124"/>
        <v>1</v>
      </c>
      <c r="C933">
        <f t="shared" si="125"/>
        <v>1</v>
      </c>
      <c r="D933">
        <f t="shared" si="126"/>
        <v>1</v>
      </c>
      <c r="E933">
        <f t="shared" si="127"/>
        <v>0</v>
      </c>
      <c r="F933">
        <f t="shared" si="128"/>
        <v>1</v>
      </c>
      <c r="G933">
        <f t="shared" si="129"/>
        <v>1</v>
      </c>
      <c r="H933">
        <v>1</v>
      </c>
      <c r="I933">
        <f t="shared" si="130"/>
        <v>1</v>
      </c>
      <c r="J933">
        <f t="shared" si="122"/>
        <v>27.7526998519897</v>
      </c>
      <c r="K933" t="s">
        <v>869</v>
      </c>
      <c r="L933" t="s">
        <v>870</v>
      </c>
      <c r="M933" t="s">
        <v>27</v>
      </c>
      <c r="N933" t="s">
        <v>27</v>
      </c>
      <c r="O933">
        <v>60.29</v>
      </c>
      <c r="P933">
        <v>22.766563415527301</v>
      </c>
      <c r="Q933">
        <v>22.663414001464801</v>
      </c>
      <c r="R933">
        <v>36.709999084472699</v>
      </c>
      <c r="S933">
        <v>49.25</v>
      </c>
      <c r="T933">
        <v>0</v>
      </c>
      <c r="U933">
        <v>48.500278472900398</v>
      </c>
      <c r="V933">
        <v>10367000</v>
      </c>
      <c r="W933">
        <v>18.613975524902301</v>
      </c>
      <c r="X933">
        <v>0.259999990463257</v>
      </c>
      <c r="Y933">
        <v>1.9615379571914699</v>
      </c>
      <c r="Z933">
        <v>5.0892858505248997</v>
      </c>
      <c r="AA933">
        <v>18619000</v>
      </c>
      <c r="AB933" t="s">
        <v>38</v>
      </c>
      <c r="AC933" t="s">
        <v>628</v>
      </c>
      <c r="AD933">
        <v>0.31999999284744302</v>
      </c>
      <c r="AE933">
        <v>49.213222503662102</v>
      </c>
      <c r="AF933">
        <v>22.507715617908001</v>
      </c>
      <c r="AG933">
        <v>19252000</v>
      </c>
      <c r="AH933">
        <v>0</v>
      </c>
      <c r="AI933">
        <v>19.8055629730225</v>
      </c>
    </row>
    <row r="934" spans="1:35">
      <c r="A934">
        <f t="shared" si="123"/>
        <v>1</v>
      </c>
      <c r="B934">
        <f t="shared" si="124"/>
        <v>0</v>
      </c>
      <c r="C934">
        <f t="shared" si="125"/>
        <v>0</v>
      </c>
      <c r="D934">
        <f t="shared" si="126"/>
        <v>1</v>
      </c>
      <c r="E934">
        <f t="shared" si="127"/>
        <v>0</v>
      </c>
      <c r="F934">
        <f t="shared" si="128"/>
        <v>1</v>
      </c>
      <c r="G934">
        <f t="shared" si="129"/>
        <v>1</v>
      </c>
      <c r="H934">
        <v>1</v>
      </c>
      <c r="I934">
        <f t="shared" si="130"/>
        <v>1</v>
      </c>
      <c r="J934">
        <f t="shared" si="122"/>
        <v>27.725425720214801</v>
      </c>
      <c r="K934" t="s">
        <v>2638</v>
      </c>
      <c r="L934" t="s">
        <v>2639</v>
      </c>
      <c r="M934" t="s">
        <v>27</v>
      </c>
      <c r="N934" t="s">
        <v>27</v>
      </c>
      <c r="O934">
        <v>12.44</v>
      </c>
      <c r="P934" t="s">
        <v>27</v>
      </c>
      <c r="Q934">
        <v>18.662925720214801</v>
      </c>
      <c r="R934">
        <v>10</v>
      </c>
      <c r="S934">
        <v>3.2000000476837198</v>
      </c>
      <c r="T934">
        <v>29.32834815979</v>
      </c>
      <c r="U934">
        <v>30.748672485351602</v>
      </c>
      <c r="V934">
        <v>-7703000</v>
      </c>
      <c r="W934" t="s">
        <v>27</v>
      </c>
      <c r="X934">
        <v>-0.18000000715255701</v>
      </c>
      <c r="Y934">
        <v>29.400001525878899</v>
      </c>
      <c r="Z934">
        <v>9.0625</v>
      </c>
      <c r="AA934">
        <v>12722000</v>
      </c>
      <c r="AB934" t="s">
        <v>27</v>
      </c>
      <c r="AC934" t="s">
        <v>27</v>
      </c>
      <c r="AD934">
        <v>-0.140000000596046</v>
      </c>
      <c r="AE934">
        <v>31.661218643188501</v>
      </c>
      <c r="AF934">
        <v>5.0889269822050203</v>
      </c>
      <c r="AG934">
        <v>13155000</v>
      </c>
      <c r="AH934">
        <v>18.621992111206101</v>
      </c>
      <c r="AI934">
        <v>7.2860140800476101</v>
      </c>
    </row>
    <row r="935" spans="1:35">
      <c r="A935">
        <f t="shared" si="123"/>
        <v>0</v>
      </c>
      <c r="B935">
        <f t="shared" si="124"/>
        <v>1</v>
      </c>
      <c r="C935">
        <f t="shared" si="125"/>
        <v>0</v>
      </c>
      <c r="D935">
        <f t="shared" si="126"/>
        <v>1</v>
      </c>
      <c r="E935">
        <f t="shared" si="127"/>
        <v>0</v>
      </c>
      <c r="F935">
        <f t="shared" si="128"/>
        <v>1</v>
      </c>
      <c r="G935">
        <f t="shared" si="129"/>
        <v>0</v>
      </c>
      <c r="H935">
        <v>1</v>
      </c>
      <c r="I935">
        <f t="shared" si="130"/>
        <v>0</v>
      </c>
      <c r="J935">
        <f t="shared" si="122"/>
        <v>27.502874374389609</v>
      </c>
      <c r="K935" t="s">
        <v>3266</v>
      </c>
      <c r="L935" t="s">
        <v>3267</v>
      </c>
      <c r="M935" t="s">
        <v>27</v>
      </c>
      <c r="N935" t="s">
        <v>27</v>
      </c>
      <c r="O935">
        <v>19.87</v>
      </c>
      <c r="P935">
        <v>8.43743801116943</v>
      </c>
      <c r="Q935">
        <v>19.19309425354</v>
      </c>
      <c r="R935">
        <v>36.9799995422363</v>
      </c>
      <c r="S935">
        <v>39.900001525878899</v>
      </c>
      <c r="T935">
        <v>0</v>
      </c>
      <c r="U935">
        <v>51.379600524902301</v>
      </c>
      <c r="V935">
        <v>-30136006</v>
      </c>
      <c r="W935">
        <v>-0.914744973182678</v>
      </c>
      <c r="X935">
        <v>0.34999999403953602</v>
      </c>
      <c r="Y935">
        <v>2.52329802513123</v>
      </c>
      <c r="Z935">
        <v>8.3097801208496094</v>
      </c>
      <c r="AA935">
        <v>26273000</v>
      </c>
      <c r="AB935" t="s">
        <v>27</v>
      </c>
      <c r="AC935" t="s">
        <v>27</v>
      </c>
      <c r="AD935">
        <v>0.40000000596046398</v>
      </c>
      <c r="AE935">
        <v>41.2780570983887</v>
      </c>
      <c r="AF935">
        <v>4.6525392855542096</v>
      </c>
      <c r="AG935">
        <v>27186000</v>
      </c>
      <c r="AH935">
        <v>0</v>
      </c>
      <c r="AI935">
        <v>12.199469566345201</v>
      </c>
    </row>
    <row r="936" spans="1:35">
      <c r="A936">
        <f t="shared" si="123"/>
        <v>0</v>
      </c>
      <c r="B936">
        <f t="shared" si="124"/>
        <v>0</v>
      </c>
      <c r="C936">
        <f t="shared" si="125"/>
        <v>0</v>
      </c>
      <c r="D936">
        <f t="shared" si="126"/>
        <v>0</v>
      </c>
      <c r="E936">
        <f t="shared" si="127"/>
        <v>0</v>
      </c>
      <c r="F936">
        <f t="shared" si="128"/>
        <v>1</v>
      </c>
      <c r="G936">
        <f t="shared" si="129"/>
        <v>0</v>
      </c>
      <c r="H936">
        <v>1</v>
      </c>
      <c r="I936">
        <f t="shared" si="130"/>
        <v>1</v>
      </c>
      <c r="J936">
        <f t="shared" si="122"/>
        <v>27.501369476318391</v>
      </c>
      <c r="K936" t="s">
        <v>1427</v>
      </c>
      <c r="L936" t="s">
        <v>1428</v>
      </c>
      <c r="M936" t="s">
        <v>27</v>
      </c>
      <c r="N936" t="s">
        <v>27</v>
      </c>
      <c r="O936">
        <v>18.5</v>
      </c>
      <c r="P936">
        <v>28.0132541656494</v>
      </c>
      <c r="Q936">
        <v>18.593498229980501</v>
      </c>
      <c r="R936">
        <v>15.613333384196</v>
      </c>
      <c r="S936">
        <v>12.875</v>
      </c>
      <c r="T936">
        <v>1.5447289943695099</v>
      </c>
      <c r="U936">
        <v>49.733722686767599</v>
      </c>
      <c r="V936">
        <v>-36202000</v>
      </c>
      <c r="W936">
        <v>22.365688323974599</v>
      </c>
      <c r="X936">
        <v>0.27999999125798503</v>
      </c>
      <c r="Y936">
        <v>12.7699527740479</v>
      </c>
      <c r="Z936">
        <v>8.9078712463378906</v>
      </c>
      <c r="AA936">
        <v>45934500</v>
      </c>
      <c r="AB936" t="s">
        <v>30</v>
      </c>
      <c r="AC936" t="s">
        <v>542</v>
      </c>
      <c r="AD936">
        <v>0.240000009536743</v>
      </c>
      <c r="AE936">
        <v>48.420204162597699</v>
      </c>
      <c r="AF936">
        <v>7.6869860799545497</v>
      </c>
      <c r="AG936">
        <v>45303000</v>
      </c>
      <c r="AH936">
        <v>5.6349282264709499</v>
      </c>
      <c r="AI936">
        <v>19.371700286865199</v>
      </c>
    </row>
    <row r="937" spans="1:35">
      <c r="A937">
        <f t="shared" si="123"/>
        <v>1</v>
      </c>
      <c r="B937">
        <f t="shared" si="124"/>
        <v>0</v>
      </c>
      <c r="C937">
        <f t="shared" si="125"/>
        <v>1</v>
      </c>
      <c r="D937">
        <f t="shared" si="126"/>
        <v>0</v>
      </c>
      <c r="E937">
        <f t="shared" si="127"/>
        <v>0</v>
      </c>
      <c r="F937">
        <f t="shared" si="128"/>
        <v>1</v>
      </c>
      <c r="G937">
        <f t="shared" si="129"/>
        <v>0</v>
      </c>
      <c r="H937">
        <v>1</v>
      </c>
      <c r="I937">
        <f t="shared" si="130"/>
        <v>0</v>
      </c>
      <c r="J937">
        <f t="shared" si="122"/>
        <v>27.445898056030288</v>
      </c>
      <c r="K937" t="s">
        <v>1947</v>
      </c>
      <c r="L937" t="s">
        <v>1948</v>
      </c>
      <c r="M937" t="s">
        <v>27</v>
      </c>
      <c r="N937" t="s">
        <v>27</v>
      </c>
      <c r="O937">
        <v>11.1</v>
      </c>
      <c r="P937">
        <v>35.946743011474602</v>
      </c>
      <c r="Q937">
        <v>20.059139251708999</v>
      </c>
      <c r="R937">
        <v>20.850000381469702</v>
      </c>
      <c r="S937">
        <v>63.849998474121101</v>
      </c>
      <c r="T937">
        <v>2.8708009719848602</v>
      </c>
      <c r="U937">
        <v>60.569728851318402</v>
      </c>
      <c r="V937">
        <v>11178000</v>
      </c>
      <c r="W937">
        <v>22.497314453125</v>
      </c>
      <c r="X937">
        <v>0.44999998807907099</v>
      </c>
      <c r="Y937">
        <v>1.8014179468154901</v>
      </c>
      <c r="Z937">
        <v>7.38675880432129</v>
      </c>
      <c r="AA937">
        <v>15901000</v>
      </c>
      <c r="AB937" t="s">
        <v>27</v>
      </c>
      <c r="AC937" t="s">
        <v>27</v>
      </c>
      <c r="AD937">
        <v>7.9999998211860698E-2</v>
      </c>
      <c r="AE937">
        <v>54.003337860107401</v>
      </c>
      <c r="AF937" t="s">
        <v>27</v>
      </c>
      <c r="AG937">
        <v>15911000</v>
      </c>
      <c r="AH937">
        <v>2.42718410491943</v>
      </c>
      <c r="AI937">
        <v>14.742856979370099</v>
      </c>
    </row>
    <row r="938" spans="1:35">
      <c r="A938">
        <f t="shared" si="123"/>
        <v>1</v>
      </c>
      <c r="B938">
        <f t="shared" si="124"/>
        <v>0</v>
      </c>
      <c r="C938">
        <f t="shared" si="125"/>
        <v>0</v>
      </c>
      <c r="D938">
        <f t="shared" si="126"/>
        <v>0</v>
      </c>
      <c r="E938">
        <f t="shared" si="127"/>
        <v>0</v>
      </c>
      <c r="F938">
        <f t="shared" si="128"/>
        <v>0</v>
      </c>
      <c r="G938">
        <f t="shared" si="129"/>
        <v>1</v>
      </c>
      <c r="H938">
        <v>1</v>
      </c>
      <c r="I938">
        <f t="shared" si="130"/>
        <v>0</v>
      </c>
      <c r="J938">
        <f t="shared" si="122"/>
        <v>27.339986801147401</v>
      </c>
      <c r="K938" t="s">
        <v>1484</v>
      </c>
      <c r="L938" t="s">
        <v>1485</v>
      </c>
      <c r="M938" t="s">
        <v>27</v>
      </c>
      <c r="N938" t="s">
        <v>27</v>
      </c>
      <c r="O938">
        <v>3.91</v>
      </c>
      <c r="P938" t="s">
        <v>27</v>
      </c>
      <c r="Q938">
        <v>11.7054691314697</v>
      </c>
      <c r="R938">
        <v>13.5</v>
      </c>
      <c r="S938">
        <v>10.560000419616699</v>
      </c>
      <c r="T938">
        <v>49.7010498046875</v>
      </c>
      <c r="U938">
        <v>12.659370422363301</v>
      </c>
      <c r="V938">
        <v>-53500000</v>
      </c>
      <c r="W938">
        <v>3.0820529460907</v>
      </c>
      <c r="X938">
        <v>-0.730000019073486</v>
      </c>
      <c r="Y938">
        <v>18.115701675415</v>
      </c>
      <c r="Z938">
        <v>15.634517669677701</v>
      </c>
      <c r="AA938">
        <v>33349000</v>
      </c>
      <c r="AB938" t="s">
        <v>61</v>
      </c>
      <c r="AC938" t="s">
        <v>106</v>
      </c>
      <c r="AD938">
        <v>-0.980000019073486</v>
      </c>
      <c r="AE938">
        <v>15.2246437072754</v>
      </c>
      <c r="AF938">
        <v>6.3384428322981403</v>
      </c>
      <c r="AG938">
        <v>32828000</v>
      </c>
      <c r="AH938">
        <v>45.209823608398402</v>
      </c>
      <c r="AI938">
        <v>-1.8285709619522099</v>
      </c>
    </row>
    <row r="939" spans="1:35">
      <c r="A939">
        <f t="shared" si="123"/>
        <v>0</v>
      </c>
      <c r="B939">
        <f t="shared" si="124"/>
        <v>1</v>
      </c>
      <c r="C939">
        <f t="shared" si="125"/>
        <v>1</v>
      </c>
      <c r="D939">
        <f t="shared" si="126"/>
        <v>1</v>
      </c>
      <c r="E939">
        <f t="shared" si="127"/>
        <v>0</v>
      </c>
      <c r="F939">
        <f t="shared" si="128"/>
        <v>1</v>
      </c>
      <c r="G939">
        <f t="shared" si="129"/>
        <v>0</v>
      </c>
      <c r="H939">
        <v>1</v>
      </c>
      <c r="I939">
        <f t="shared" si="130"/>
        <v>0</v>
      </c>
      <c r="J939">
        <f t="shared" si="122"/>
        <v>27.334010124206543</v>
      </c>
      <c r="K939" t="s">
        <v>954</v>
      </c>
      <c r="L939" t="s">
        <v>955</v>
      </c>
      <c r="M939" t="s">
        <v>27</v>
      </c>
      <c r="N939" t="s">
        <v>27</v>
      </c>
      <c r="O939">
        <v>33.409999999999997</v>
      </c>
      <c r="P939">
        <v>20.952396392822301</v>
      </c>
      <c r="Q939">
        <v>22.720575332641602</v>
      </c>
      <c r="R939">
        <v>32</v>
      </c>
      <c r="S939">
        <v>23.5833333333333</v>
      </c>
      <c r="T939">
        <v>0</v>
      </c>
      <c r="U939">
        <v>18.0940036773682</v>
      </c>
      <c r="V939">
        <v>1847000.125</v>
      </c>
      <c r="W939">
        <v>17.1049995422363</v>
      </c>
      <c r="X939">
        <v>0.28666667143503799</v>
      </c>
      <c r="Y939">
        <v>5.7168540954589799</v>
      </c>
      <c r="Z939">
        <v>4.6134347915649396</v>
      </c>
      <c r="AA939">
        <v>11418000</v>
      </c>
      <c r="AB939" t="s">
        <v>73</v>
      </c>
      <c r="AC939" t="s">
        <v>210</v>
      </c>
      <c r="AD939">
        <v>0.33000001311302202</v>
      </c>
      <c r="AE939">
        <v>17.945247650146499</v>
      </c>
      <c r="AF939">
        <v>9.8200186366550408</v>
      </c>
      <c r="AG939">
        <v>11030000</v>
      </c>
      <c r="AH939">
        <v>0</v>
      </c>
      <c r="AI939">
        <v>17.7772407531738</v>
      </c>
    </row>
    <row r="940" spans="1:35">
      <c r="A940">
        <f t="shared" si="123"/>
        <v>0</v>
      </c>
      <c r="B940">
        <f t="shared" si="124"/>
        <v>1</v>
      </c>
      <c r="C940">
        <f t="shared" si="125"/>
        <v>0</v>
      </c>
      <c r="D940">
        <f t="shared" si="126"/>
        <v>0</v>
      </c>
      <c r="E940">
        <f t="shared" si="127"/>
        <v>0</v>
      </c>
      <c r="F940">
        <f t="shared" si="128"/>
        <v>1</v>
      </c>
      <c r="G940">
        <f t="shared" si="129"/>
        <v>0</v>
      </c>
      <c r="H940">
        <v>1</v>
      </c>
      <c r="I940">
        <f t="shared" si="130"/>
        <v>0</v>
      </c>
      <c r="J940">
        <f t="shared" si="122"/>
        <v>27.274788379669189</v>
      </c>
      <c r="K940" t="s">
        <v>2494</v>
      </c>
      <c r="L940" t="s">
        <v>2495</v>
      </c>
      <c r="M940" t="s">
        <v>27</v>
      </c>
      <c r="N940" t="s">
        <v>27</v>
      </c>
      <c r="O940">
        <v>10.08</v>
      </c>
      <c r="P940">
        <v>18.108081817626999</v>
      </c>
      <c r="Q940">
        <v>21.219011306762699</v>
      </c>
      <c r="R940">
        <v>17.299999237060501</v>
      </c>
      <c r="S940">
        <v>20.040000915527301</v>
      </c>
      <c r="T940">
        <v>9.9267883300781303</v>
      </c>
      <c r="U940">
        <v>60.8460083007813</v>
      </c>
      <c r="V940">
        <v>-14852000</v>
      </c>
      <c r="W940">
        <v>8.5311660766601598</v>
      </c>
      <c r="X940">
        <v>0.25</v>
      </c>
      <c r="Y940">
        <v>3.8718860149383501</v>
      </c>
      <c r="Z940">
        <v>6.0557770729064897</v>
      </c>
      <c r="AA940">
        <v>68877000</v>
      </c>
      <c r="AB940" t="s">
        <v>27</v>
      </c>
      <c r="AC940" t="s">
        <v>27</v>
      </c>
      <c r="AD940">
        <v>0.20999999344348899</v>
      </c>
      <c r="AE940">
        <v>58.584873199462898</v>
      </c>
      <c r="AF940">
        <v>7.3545596192121003</v>
      </c>
      <c r="AG940">
        <v>68803000</v>
      </c>
      <c r="AH940">
        <v>15.0584497451782</v>
      </c>
      <c r="AI940">
        <v>18.826705932617202</v>
      </c>
    </row>
    <row r="941" spans="1:35">
      <c r="A941">
        <f t="shared" si="123"/>
        <v>0</v>
      </c>
      <c r="B941">
        <f t="shared" si="124"/>
        <v>1</v>
      </c>
      <c r="C941">
        <f t="shared" si="125"/>
        <v>1</v>
      </c>
      <c r="D941">
        <f t="shared" si="126"/>
        <v>0</v>
      </c>
      <c r="E941">
        <f t="shared" si="127"/>
        <v>0</v>
      </c>
      <c r="F941">
        <f t="shared" si="128"/>
        <v>1</v>
      </c>
      <c r="G941">
        <f t="shared" si="129"/>
        <v>1</v>
      </c>
      <c r="H941">
        <v>1</v>
      </c>
      <c r="I941">
        <f t="shared" si="130"/>
        <v>1</v>
      </c>
      <c r="J941">
        <f t="shared" si="122"/>
        <v>27.271864414215091</v>
      </c>
      <c r="K941" t="s">
        <v>3356</v>
      </c>
      <c r="L941" t="s">
        <v>3357</v>
      </c>
      <c r="M941" t="s">
        <v>27</v>
      </c>
      <c r="N941" t="s">
        <v>27</v>
      </c>
      <c r="O941">
        <v>56.18</v>
      </c>
      <c r="P941">
        <v>21.6574611663818</v>
      </c>
      <c r="Q941">
        <v>24.130609512329102</v>
      </c>
      <c r="R941">
        <v>45.2700004577637</v>
      </c>
      <c r="S941">
        <v>27.5625</v>
      </c>
      <c r="T941">
        <v>0</v>
      </c>
      <c r="U941">
        <v>54.053501129150398</v>
      </c>
      <c r="V941">
        <v>2035000.125</v>
      </c>
      <c r="W941">
        <v>19.796970367431602</v>
      </c>
      <c r="X941">
        <v>0.140000000596046</v>
      </c>
      <c r="Y941">
        <v>6.2171430587768599</v>
      </c>
      <c r="Z941">
        <v>3.1412549018859899</v>
      </c>
      <c r="AA941">
        <v>15352400</v>
      </c>
      <c r="AB941" t="s">
        <v>30</v>
      </c>
      <c r="AC941" t="s">
        <v>945</v>
      </c>
      <c r="AD941">
        <v>0</v>
      </c>
      <c r="AE941">
        <v>55.784217834472699</v>
      </c>
      <c r="AF941">
        <v>16.519798038112501</v>
      </c>
      <c r="AG941">
        <v>8352000</v>
      </c>
      <c r="AH941">
        <v>0</v>
      </c>
      <c r="AI941">
        <v>19.986650466918899</v>
      </c>
    </row>
    <row r="942" spans="1:35">
      <c r="A942">
        <f t="shared" si="123"/>
        <v>0</v>
      </c>
      <c r="B942">
        <f t="shared" si="124"/>
        <v>0</v>
      </c>
      <c r="C942">
        <f t="shared" si="125"/>
        <v>1</v>
      </c>
      <c r="D942">
        <f t="shared" si="126"/>
        <v>1</v>
      </c>
      <c r="E942">
        <f t="shared" si="127"/>
        <v>0</v>
      </c>
      <c r="F942">
        <f t="shared" si="128"/>
        <v>1</v>
      </c>
      <c r="G942">
        <f t="shared" si="129"/>
        <v>0</v>
      </c>
      <c r="H942">
        <v>1</v>
      </c>
      <c r="I942">
        <f t="shared" si="130"/>
        <v>0</v>
      </c>
      <c r="J942">
        <f t="shared" si="122"/>
        <v>27.155784606933551</v>
      </c>
      <c r="K942" t="s">
        <v>190</v>
      </c>
      <c r="L942" t="s">
        <v>191</v>
      </c>
      <c r="M942" t="s">
        <v>27</v>
      </c>
      <c r="N942" t="s">
        <v>27</v>
      </c>
      <c r="O942">
        <v>11.97</v>
      </c>
      <c r="P942">
        <v>23.2264614105225</v>
      </c>
      <c r="Q942">
        <v>19.7735385894775</v>
      </c>
      <c r="R942">
        <v>11.900500297546399</v>
      </c>
      <c r="S942">
        <v>9.15625</v>
      </c>
      <c r="T942">
        <v>9.9411182403564506</v>
      </c>
      <c r="U942" t="s">
        <v>27</v>
      </c>
      <c r="V942" t="s">
        <v>27</v>
      </c>
      <c r="W942">
        <v>5.0005297660827601</v>
      </c>
      <c r="X942">
        <v>0.17499999701976801</v>
      </c>
      <c r="Y942">
        <v>9.1756267547607404</v>
      </c>
      <c r="Z942">
        <v>7.3822460174560502</v>
      </c>
      <c r="AA942">
        <v>78134000</v>
      </c>
      <c r="AB942" t="s">
        <v>27</v>
      </c>
      <c r="AC942" t="s">
        <v>27</v>
      </c>
      <c r="AD942">
        <v>0.234999999403954</v>
      </c>
      <c r="AE942" t="s">
        <v>27</v>
      </c>
      <c r="AF942" t="s">
        <v>27</v>
      </c>
      <c r="AG942">
        <v>78288000</v>
      </c>
      <c r="AH942">
        <v>10.578859329223601</v>
      </c>
      <c r="AI942">
        <v>4.6376900672912598</v>
      </c>
    </row>
    <row r="943" spans="1:35">
      <c r="A943">
        <f t="shared" si="123"/>
        <v>1</v>
      </c>
      <c r="B943">
        <f t="shared" si="124"/>
        <v>1</v>
      </c>
      <c r="C943">
        <f t="shared" si="125"/>
        <v>1</v>
      </c>
      <c r="D943">
        <f t="shared" si="126"/>
        <v>1</v>
      </c>
      <c r="E943">
        <f t="shared" si="127"/>
        <v>0</v>
      </c>
      <c r="F943">
        <f t="shared" si="128"/>
        <v>1</v>
      </c>
      <c r="G943">
        <f t="shared" si="129"/>
        <v>1</v>
      </c>
      <c r="H943">
        <v>1</v>
      </c>
      <c r="I943">
        <f t="shared" si="130"/>
        <v>0</v>
      </c>
      <c r="J943">
        <f t="shared" si="122"/>
        <v>27.14580774307252</v>
      </c>
      <c r="K943" t="s">
        <v>3907</v>
      </c>
      <c r="L943" t="s">
        <v>3908</v>
      </c>
      <c r="M943" t="s">
        <v>27</v>
      </c>
      <c r="N943" t="s">
        <v>27</v>
      </c>
      <c r="O943">
        <v>16.23</v>
      </c>
      <c r="P943">
        <v>39.100746154785199</v>
      </c>
      <c r="Q943">
        <v>22.525924682617202</v>
      </c>
      <c r="R943">
        <v>20.549999237060501</v>
      </c>
      <c r="S943">
        <v>16.170000076293899</v>
      </c>
      <c r="T943">
        <v>64.312019348144503</v>
      </c>
      <c r="U943">
        <v>52.861499786377003</v>
      </c>
      <c r="V943">
        <v>2174000.25</v>
      </c>
      <c r="W943">
        <v>11.082928657531699</v>
      </c>
      <c r="X943">
        <v>0.129999995231628</v>
      </c>
      <c r="Y943">
        <v>3.5776400566101101</v>
      </c>
      <c r="Z943">
        <v>4.6198830604553196</v>
      </c>
      <c r="AA943">
        <v>54514000</v>
      </c>
      <c r="AB943" t="s">
        <v>27</v>
      </c>
      <c r="AC943" t="s">
        <v>27</v>
      </c>
      <c r="AD943">
        <v>0.15999999642372101</v>
      </c>
      <c r="AE943">
        <v>53.013339996337898</v>
      </c>
      <c r="AF943">
        <v>8.3146913465361596</v>
      </c>
      <c r="AG943">
        <v>54244000</v>
      </c>
      <c r="AH943">
        <v>52.105632781982401</v>
      </c>
      <c r="AI943">
        <v>14.560873985290501</v>
      </c>
    </row>
    <row r="944" spans="1:35">
      <c r="A944">
        <f t="shared" si="123"/>
        <v>0</v>
      </c>
      <c r="B944">
        <f t="shared" si="124"/>
        <v>1</v>
      </c>
      <c r="C944">
        <f t="shared" si="125"/>
        <v>0</v>
      </c>
      <c r="D944">
        <f t="shared" si="126"/>
        <v>0</v>
      </c>
      <c r="E944">
        <f t="shared" si="127"/>
        <v>0</v>
      </c>
      <c r="F944">
        <f t="shared" si="128"/>
        <v>1</v>
      </c>
      <c r="G944">
        <f t="shared" si="129"/>
        <v>0</v>
      </c>
      <c r="H944">
        <v>1</v>
      </c>
      <c r="I944">
        <f t="shared" si="130"/>
        <v>1</v>
      </c>
      <c r="J944">
        <f t="shared" si="122"/>
        <v>27.125327110290542</v>
      </c>
      <c r="K944" t="s">
        <v>1957</v>
      </c>
      <c r="L944" t="s">
        <v>1958</v>
      </c>
      <c r="M944" t="s">
        <v>27</v>
      </c>
      <c r="N944" t="s">
        <v>27</v>
      </c>
      <c r="O944">
        <v>24.28</v>
      </c>
      <c r="P944">
        <v>27.190185546875</v>
      </c>
      <c r="Q944">
        <v>17.5601100921631</v>
      </c>
      <c r="R944">
        <v>17.120000839233398</v>
      </c>
      <c r="S944">
        <v>39.25</v>
      </c>
      <c r="T944">
        <v>0</v>
      </c>
      <c r="U944">
        <v>47.561111450195298</v>
      </c>
      <c r="V944">
        <v>-8607000</v>
      </c>
      <c r="W944">
        <v>18.2262859344482</v>
      </c>
      <c r="X944">
        <v>0.62999999523162797</v>
      </c>
      <c r="Y944">
        <v>4.5876097679138201</v>
      </c>
      <c r="Z944">
        <v>9.5652170181274396</v>
      </c>
      <c r="AA944">
        <v>20471000</v>
      </c>
      <c r="AB944" t="s">
        <v>27</v>
      </c>
      <c r="AC944" t="s">
        <v>27</v>
      </c>
      <c r="AD944">
        <v>0.30000001192092901</v>
      </c>
      <c r="AE944">
        <v>43.807479858398402</v>
      </c>
      <c r="AF944">
        <v>9.5818166283876902</v>
      </c>
      <c r="AG944">
        <v>19723000</v>
      </c>
      <c r="AH944">
        <v>0</v>
      </c>
      <c r="AI944">
        <v>19.7261772155762</v>
      </c>
    </row>
    <row r="945" spans="1:35">
      <c r="A945">
        <f t="shared" si="123"/>
        <v>1</v>
      </c>
      <c r="B945">
        <f t="shared" si="124"/>
        <v>0</v>
      </c>
      <c r="C945">
        <f t="shared" si="125"/>
        <v>1</v>
      </c>
      <c r="D945">
        <f t="shared" si="126"/>
        <v>1</v>
      </c>
      <c r="E945">
        <f t="shared" si="127"/>
        <v>0</v>
      </c>
      <c r="F945">
        <f t="shared" si="128"/>
        <v>1</v>
      </c>
      <c r="G945">
        <f t="shared" si="129"/>
        <v>0</v>
      </c>
      <c r="H945">
        <v>1</v>
      </c>
      <c r="I945">
        <f t="shared" si="130"/>
        <v>0</v>
      </c>
      <c r="J945">
        <f t="shared" si="122"/>
        <v>26.958615779876673</v>
      </c>
      <c r="K945" t="s">
        <v>484</v>
      </c>
      <c r="L945" t="s">
        <v>485</v>
      </c>
      <c r="M945" t="s">
        <v>27</v>
      </c>
      <c r="N945" t="s">
        <v>27</v>
      </c>
      <c r="O945">
        <v>15.99</v>
      </c>
      <c r="P945">
        <v>25.132745742797901</v>
      </c>
      <c r="Q945">
        <v>19.455295562744102</v>
      </c>
      <c r="R945">
        <v>23.690000534057599</v>
      </c>
      <c r="S945">
        <v>27.125</v>
      </c>
      <c r="T945">
        <v>9.1320000588893904E-2</v>
      </c>
      <c r="U945">
        <v>47.872749328613303</v>
      </c>
      <c r="V945">
        <v>6228999.5</v>
      </c>
      <c r="W945">
        <v>24.001338958740199</v>
      </c>
      <c r="X945">
        <v>0.239999994635582</v>
      </c>
      <c r="Y945">
        <v>7.39495801925659</v>
      </c>
      <c r="Z945">
        <v>7.5033202171325701</v>
      </c>
      <c r="AA945">
        <v>24641000</v>
      </c>
      <c r="AB945" t="s">
        <v>30</v>
      </c>
      <c r="AC945" t="s">
        <v>68</v>
      </c>
      <c r="AD945">
        <v>0.259999990463257</v>
      </c>
      <c r="AE945">
        <v>46.534046173095703</v>
      </c>
      <c r="AF945">
        <v>5.7445378014559401</v>
      </c>
      <c r="AG945">
        <v>25324000</v>
      </c>
      <c r="AH945">
        <v>0</v>
      </c>
      <c r="AI945">
        <v>17.8026313781738</v>
      </c>
    </row>
    <row r="946" spans="1:35">
      <c r="A946">
        <f t="shared" si="123"/>
        <v>0</v>
      </c>
      <c r="B946">
        <f t="shared" si="124"/>
        <v>1</v>
      </c>
      <c r="C946">
        <f t="shared" si="125"/>
        <v>1</v>
      </c>
      <c r="D946">
        <f t="shared" si="126"/>
        <v>1</v>
      </c>
      <c r="E946">
        <f t="shared" si="127"/>
        <v>0</v>
      </c>
      <c r="F946">
        <f t="shared" si="128"/>
        <v>1</v>
      </c>
      <c r="G946">
        <f t="shared" si="129"/>
        <v>0</v>
      </c>
      <c r="H946">
        <v>1</v>
      </c>
      <c r="I946">
        <f t="shared" si="130"/>
        <v>1</v>
      </c>
      <c r="J946">
        <f t="shared" si="122"/>
        <v>26.95080709457401</v>
      </c>
      <c r="K946" t="s">
        <v>3362</v>
      </c>
      <c r="L946" t="s">
        <v>3363</v>
      </c>
      <c r="M946" t="s">
        <v>27</v>
      </c>
      <c r="N946" t="s">
        <v>27</v>
      </c>
      <c r="O946">
        <v>31.95</v>
      </c>
      <c r="P946">
        <v>18.746091842651399</v>
      </c>
      <c r="Q946">
        <v>19.96559715271</v>
      </c>
      <c r="R946">
        <v>28.700000762939499</v>
      </c>
      <c r="S946">
        <v>15.875</v>
      </c>
      <c r="T946">
        <v>0</v>
      </c>
      <c r="U946" t="s">
        <v>27</v>
      </c>
      <c r="V946">
        <v>14093000</v>
      </c>
      <c r="W946">
        <v>1.3891420364379901</v>
      </c>
      <c r="X946">
        <v>0.354999989271164</v>
      </c>
      <c r="Y946">
        <v>9.2265453338622994</v>
      </c>
      <c r="Z946">
        <v>6.9852099418640101</v>
      </c>
      <c r="AA946">
        <v>11990000</v>
      </c>
      <c r="AB946" t="s">
        <v>34</v>
      </c>
      <c r="AC946" t="s">
        <v>35</v>
      </c>
      <c r="AD946">
        <v>0.40000000596046398</v>
      </c>
      <c r="AE946" t="s">
        <v>27</v>
      </c>
      <c r="AF946" t="s">
        <v>27</v>
      </c>
      <c r="AG946">
        <v>11772000</v>
      </c>
      <c r="AH946">
        <v>0</v>
      </c>
      <c r="AI946">
        <v>1.5990129709243801</v>
      </c>
    </row>
    <row r="947" spans="1:35">
      <c r="A947">
        <f t="shared" si="123"/>
        <v>1</v>
      </c>
      <c r="B947">
        <f t="shared" si="124"/>
        <v>0</v>
      </c>
      <c r="C947">
        <f t="shared" si="125"/>
        <v>1</v>
      </c>
      <c r="D947">
        <f t="shared" si="126"/>
        <v>1</v>
      </c>
      <c r="E947">
        <f t="shared" si="127"/>
        <v>0</v>
      </c>
      <c r="F947">
        <f t="shared" si="128"/>
        <v>1</v>
      </c>
      <c r="G947">
        <f t="shared" si="129"/>
        <v>0</v>
      </c>
      <c r="H947">
        <v>1</v>
      </c>
      <c r="I947">
        <f t="shared" si="130"/>
        <v>1</v>
      </c>
      <c r="J947">
        <f t="shared" si="122"/>
        <v>26.934477806091301</v>
      </c>
      <c r="K947" t="s">
        <v>1876</v>
      </c>
      <c r="L947" t="s">
        <v>1877</v>
      </c>
      <c r="M947" t="s">
        <v>27</v>
      </c>
      <c r="N947" t="s">
        <v>27</v>
      </c>
      <c r="O947">
        <v>17.87</v>
      </c>
      <c r="P947">
        <v>6.6105699539184597</v>
      </c>
      <c r="Q947">
        <v>11.2406978607178</v>
      </c>
      <c r="R947">
        <v>16</v>
      </c>
      <c r="S947">
        <v>22.8125</v>
      </c>
      <c r="T947">
        <v>21.949172973632798</v>
      </c>
      <c r="U947" t="s">
        <v>27</v>
      </c>
      <c r="V947">
        <v>345484992</v>
      </c>
      <c r="W947">
        <v>1.82827496528625</v>
      </c>
      <c r="X947">
        <v>0.43000000715255698</v>
      </c>
      <c r="Y947">
        <v>10.809160232543899</v>
      </c>
      <c r="Z947">
        <v>15.6937799453735</v>
      </c>
      <c r="AA947">
        <v>21004000</v>
      </c>
      <c r="AB947" t="s">
        <v>27</v>
      </c>
      <c r="AC947" t="s">
        <v>27</v>
      </c>
      <c r="AD947">
        <v>0.54000002145767201</v>
      </c>
      <c r="AE947" t="s">
        <v>27</v>
      </c>
      <c r="AF947" t="s">
        <v>27</v>
      </c>
      <c r="AG947">
        <v>21276000</v>
      </c>
      <c r="AH947">
        <v>10.4543008804321</v>
      </c>
      <c r="AI947">
        <v>1.7384159564971899</v>
      </c>
    </row>
    <row r="948" spans="1:35">
      <c r="A948">
        <f t="shared" si="123"/>
        <v>0</v>
      </c>
      <c r="B948">
        <f t="shared" si="124"/>
        <v>0</v>
      </c>
      <c r="C948">
        <f t="shared" si="125"/>
        <v>0</v>
      </c>
      <c r="D948">
        <f t="shared" si="126"/>
        <v>1</v>
      </c>
      <c r="E948">
        <f t="shared" si="127"/>
        <v>0</v>
      </c>
      <c r="F948">
        <f t="shared" si="128"/>
        <v>1</v>
      </c>
      <c r="G948">
        <f t="shared" si="129"/>
        <v>0</v>
      </c>
      <c r="H948">
        <v>1</v>
      </c>
      <c r="I948">
        <f t="shared" si="130"/>
        <v>0</v>
      </c>
      <c r="J948">
        <f t="shared" si="122"/>
        <v>26.7523498535156</v>
      </c>
      <c r="K948" t="s">
        <v>1598</v>
      </c>
      <c r="L948" t="s">
        <v>1599</v>
      </c>
      <c r="M948" t="s">
        <v>27</v>
      </c>
      <c r="N948" t="s">
        <v>27</v>
      </c>
      <c r="O948">
        <v>11.95</v>
      </c>
      <c r="P948">
        <v>15.3157844543457</v>
      </c>
      <c r="Q948">
        <v>13.1690168380737</v>
      </c>
      <c r="R948">
        <v>11.8800001144409</v>
      </c>
      <c r="S948">
        <v>8.8800001144409197</v>
      </c>
      <c r="T948">
        <v>8.5837383270263707</v>
      </c>
      <c r="U948">
        <v>26.6548557281494</v>
      </c>
      <c r="V948">
        <v>-38316000</v>
      </c>
      <c r="W948">
        <v>7.6717629432678196</v>
      </c>
      <c r="X948">
        <v>0.50999999046325695</v>
      </c>
      <c r="Y948">
        <v>14.2893075942993</v>
      </c>
      <c r="Z948">
        <v>13.5833330154419</v>
      </c>
      <c r="AA948">
        <v>27364000</v>
      </c>
      <c r="AB948" t="s">
        <v>27</v>
      </c>
      <c r="AC948" t="s">
        <v>27</v>
      </c>
      <c r="AD948">
        <v>0.58999997377395597</v>
      </c>
      <c r="AE948">
        <v>24.342456817626999</v>
      </c>
      <c r="AF948">
        <v>4.59730728054513</v>
      </c>
      <c r="AG948">
        <v>26669000</v>
      </c>
      <c r="AH948">
        <v>20.877113342285199</v>
      </c>
      <c r="AI948">
        <v>7.5707659721374503</v>
      </c>
    </row>
    <row r="949" spans="1:35">
      <c r="A949">
        <f t="shared" si="123"/>
        <v>0</v>
      </c>
      <c r="B949">
        <f t="shared" si="124"/>
        <v>1</v>
      </c>
      <c r="C949">
        <f t="shared" si="125"/>
        <v>1</v>
      </c>
      <c r="D949">
        <f t="shared" si="126"/>
        <v>1</v>
      </c>
      <c r="E949">
        <f t="shared" si="127"/>
        <v>0</v>
      </c>
      <c r="F949">
        <f t="shared" si="128"/>
        <v>1</v>
      </c>
      <c r="G949">
        <f t="shared" si="129"/>
        <v>1</v>
      </c>
      <c r="H949">
        <v>1</v>
      </c>
      <c r="I949">
        <f t="shared" si="130"/>
        <v>0</v>
      </c>
      <c r="J949">
        <f t="shared" si="122"/>
        <v>26.748041391372659</v>
      </c>
      <c r="K949" t="s">
        <v>2943</v>
      </c>
      <c r="L949" t="s">
        <v>2944</v>
      </c>
      <c r="M949" t="s">
        <v>27</v>
      </c>
      <c r="N949" t="s">
        <v>27</v>
      </c>
      <c r="O949">
        <v>17.690000000000001</v>
      </c>
      <c r="P949">
        <v>22.799867630004901</v>
      </c>
      <c r="Q949">
        <v>24.226011276245099</v>
      </c>
      <c r="R949">
        <v>35.650001525878899</v>
      </c>
      <c r="S949">
        <v>30</v>
      </c>
      <c r="T949">
        <v>0</v>
      </c>
      <c r="U949">
        <v>80.108062744140597</v>
      </c>
      <c r="V949">
        <v>12662000</v>
      </c>
      <c r="W949">
        <v>21.8839931488037</v>
      </c>
      <c r="X949">
        <v>0.20999999344348899</v>
      </c>
      <c r="Y949">
        <v>1.6827089786529501</v>
      </c>
      <c r="Z949">
        <v>2.5220301151275599</v>
      </c>
      <c r="AA949">
        <v>34253000</v>
      </c>
      <c r="AB949" t="s">
        <v>27</v>
      </c>
      <c r="AC949" t="s">
        <v>27</v>
      </c>
      <c r="AD949">
        <v>0.28000000119209301</v>
      </c>
      <c r="AE949">
        <v>81.762466430664105</v>
      </c>
      <c r="AF949">
        <v>9.2583142660490694</v>
      </c>
      <c r="AG949">
        <v>34582000</v>
      </c>
      <c r="AH949">
        <v>0</v>
      </c>
      <c r="AI949">
        <v>22.196090698242202</v>
      </c>
    </row>
    <row r="950" spans="1:35">
      <c r="A950">
        <f t="shared" si="123"/>
        <v>0</v>
      </c>
      <c r="B950">
        <f t="shared" si="124"/>
        <v>1</v>
      </c>
      <c r="C950">
        <f t="shared" si="125"/>
        <v>1</v>
      </c>
      <c r="D950">
        <f t="shared" si="126"/>
        <v>0</v>
      </c>
      <c r="E950">
        <f t="shared" si="127"/>
        <v>0</v>
      </c>
      <c r="F950">
        <f t="shared" si="128"/>
        <v>1</v>
      </c>
      <c r="G950">
        <f t="shared" si="129"/>
        <v>0</v>
      </c>
      <c r="H950">
        <v>1</v>
      </c>
      <c r="I950">
        <f t="shared" si="130"/>
        <v>0</v>
      </c>
      <c r="J950">
        <f t="shared" si="122"/>
        <v>26.715862274169901</v>
      </c>
      <c r="K950" t="s">
        <v>612</v>
      </c>
      <c r="L950" t="s">
        <v>613</v>
      </c>
      <c r="M950" t="s">
        <v>27</v>
      </c>
      <c r="N950" t="s">
        <v>27</v>
      </c>
      <c r="O950">
        <v>17.350000000000001</v>
      </c>
      <c r="P950">
        <v>19.6598720550537</v>
      </c>
      <c r="Q950">
        <v>17.642503738403299</v>
      </c>
      <c r="R950">
        <v>20.899999618530298</v>
      </c>
      <c r="S950">
        <v>55.5</v>
      </c>
      <c r="T950">
        <v>19.8327732086182</v>
      </c>
      <c r="U950">
        <v>28.0449829101563</v>
      </c>
      <c r="V950">
        <v>12937000</v>
      </c>
      <c r="W950">
        <v>11.057567596435501</v>
      </c>
      <c r="X950">
        <v>0.56000000238418601</v>
      </c>
      <c r="Y950">
        <v>3.0274839401245099</v>
      </c>
      <c r="Z950">
        <v>9.0733585357665998</v>
      </c>
      <c r="AA950">
        <v>26324000</v>
      </c>
      <c r="AB950" t="s">
        <v>27</v>
      </c>
      <c r="AC950" t="s">
        <v>27</v>
      </c>
      <c r="AD950">
        <v>7.0000000298023196E-2</v>
      </c>
      <c r="AE950">
        <v>21.5696811676025</v>
      </c>
      <c r="AF950">
        <v>8.1226012437983108</v>
      </c>
      <c r="AG950">
        <v>26187000</v>
      </c>
      <c r="AH950">
        <v>20.725593566894499</v>
      </c>
      <c r="AI950">
        <v>13.8074741363525</v>
      </c>
    </row>
    <row r="951" spans="1:35">
      <c r="A951">
        <f t="shared" si="123"/>
        <v>0</v>
      </c>
      <c r="B951">
        <f t="shared" si="124"/>
        <v>1</v>
      </c>
      <c r="C951">
        <f t="shared" si="125"/>
        <v>0</v>
      </c>
      <c r="D951">
        <f t="shared" si="126"/>
        <v>0</v>
      </c>
      <c r="E951">
        <f t="shared" si="127"/>
        <v>0</v>
      </c>
      <c r="F951">
        <f t="shared" si="128"/>
        <v>1</v>
      </c>
      <c r="G951">
        <f t="shared" si="129"/>
        <v>0</v>
      </c>
      <c r="H951">
        <v>1</v>
      </c>
      <c r="I951">
        <f t="shared" si="130"/>
        <v>0</v>
      </c>
      <c r="J951">
        <f t="shared" si="122"/>
        <v>26.67522954940797</v>
      </c>
      <c r="K951" t="s">
        <v>424</v>
      </c>
      <c r="L951" t="s">
        <v>425</v>
      </c>
      <c r="M951" t="s">
        <v>27</v>
      </c>
      <c r="N951" t="s">
        <v>27</v>
      </c>
      <c r="O951">
        <v>10.9</v>
      </c>
      <c r="P951" t="s">
        <v>27</v>
      </c>
      <c r="Q951">
        <v>7.4105238914489702</v>
      </c>
      <c r="R951">
        <v>13.689999580383301</v>
      </c>
      <c r="S951">
        <v>17.25</v>
      </c>
      <c r="T951">
        <v>13.7038984298706</v>
      </c>
      <c r="U951">
        <v>87.709831237792997</v>
      </c>
      <c r="V951">
        <v>-326323008</v>
      </c>
      <c r="W951">
        <v>0.74725198745727495</v>
      </c>
      <c r="X951">
        <v>0.72000002861022905</v>
      </c>
      <c r="Y951">
        <v>-0.44405800104141202</v>
      </c>
      <c r="Z951">
        <v>19.264705657958999</v>
      </c>
      <c r="AA951">
        <v>47158908</v>
      </c>
      <c r="AB951" t="s">
        <v>254</v>
      </c>
      <c r="AC951" t="s">
        <v>426</v>
      </c>
      <c r="AD951">
        <v>-0.68999999761581399</v>
      </c>
      <c r="AE951">
        <v>57.271244049072301</v>
      </c>
      <c r="AF951">
        <v>7.7715248798409604</v>
      </c>
      <c r="AG951">
        <v>47537000</v>
      </c>
      <c r="AH951">
        <v>27.143318176269499</v>
      </c>
      <c r="AI951">
        <v>1.1255470514297501</v>
      </c>
    </row>
    <row r="952" spans="1:35">
      <c r="A952">
        <f t="shared" si="123"/>
        <v>1</v>
      </c>
      <c r="B952">
        <f t="shared" si="124"/>
        <v>1</v>
      </c>
      <c r="C952">
        <f t="shared" si="125"/>
        <v>0</v>
      </c>
      <c r="D952">
        <f t="shared" si="126"/>
        <v>1</v>
      </c>
      <c r="E952">
        <f t="shared" si="127"/>
        <v>0</v>
      </c>
      <c r="F952">
        <f t="shared" si="128"/>
        <v>1</v>
      </c>
      <c r="G952">
        <f t="shared" si="129"/>
        <v>1</v>
      </c>
      <c r="H952">
        <v>1</v>
      </c>
      <c r="I952">
        <f t="shared" si="130"/>
        <v>0</v>
      </c>
      <c r="J952">
        <f t="shared" si="122"/>
        <v>26.594173431396449</v>
      </c>
      <c r="K952" t="s">
        <v>260</v>
      </c>
      <c r="L952" t="s">
        <v>261</v>
      </c>
      <c r="M952" t="s">
        <v>27</v>
      </c>
      <c r="N952" t="s">
        <v>27</v>
      </c>
      <c r="O952">
        <v>34.75</v>
      </c>
      <c r="P952">
        <v>13.232786178588899</v>
      </c>
      <c r="Q952">
        <v>20.563600540161101</v>
      </c>
      <c r="R952">
        <v>59.529998779296903</v>
      </c>
      <c r="S952">
        <v>20.125</v>
      </c>
      <c r="T952">
        <v>14.992882728576699</v>
      </c>
      <c r="U952">
        <v>20.717006683349599</v>
      </c>
      <c r="V952">
        <v>-1140000.375</v>
      </c>
      <c r="W952">
        <v>9.41662693023682</v>
      </c>
      <c r="X952">
        <v>0.41999998688697798</v>
      </c>
      <c r="Y952">
        <v>10.086956024169901</v>
      </c>
      <c r="Z952">
        <v>6.0305728912353498</v>
      </c>
      <c r="AA952">
        <v>8090999.5</v>
      </c>
      <c r="AB952" t="s">
        <v>61</v>
      </c>
      <c r="AC952" t="s">
        <v>62</v>
      </c>
      <c r="AD952">
        <v>0.93999999761581399</v>
      </c>
      <c r="AE952">
        <v>25.752395629882798</v>
      </c>
      <c r="AF952">
        <v>3.50612721763413</v>
      </c>
      <c r="AG952">
        <v>8203000</v>
      </c>
      <c r="AH952">
        <v>8.1678800582885707</v>
      </c>
      <c r="AI952">
        <v>10.0396509170532</v>
      </c>
    </row>
    <row r="953" spans="1:35">
      <c r="A953">
        <f t="shared" si="123"/>
        <v>1</v>
      </c>
      <c r="B953">
        <f t="shared" si="124"/>
        <v>1</v>
      </c>
      <c r="C953">
        <f t="shared" si="125"/>
        <v>1</v>
      </c>
      <c r="D953">
        <f t="shared" si="126"/>
        <v>0</v>
      </c>
      <c r="E953">
        <f t="shared" si="127"/>
        <v>0</v>
      </c>
      <c r="F953">
        <f t="shared" si="128"/>
        <v>1</v>
      </c>
      <c r="G953">
        <f t="shared" si="129"/>
        <v>0</v>
      </c>
      <c r="H953">
        <v>1</v>
      </c>
      <c r="I953">
        <f t="shared" si="130"/>
        <v>0</v>
      </c>
      <c r="J953">
        <f t="shared" si="122"/>
        <v>26.568138360977169</v>
      </c>
      <c r="K953" t="s">
        <v>844</v>
      </c>
      <c r="L953" t="s">
        <v>845</v>
      </c>
      <c r="M953" t="s">
        <v>27</v>
      </c>
      <c r="N953" t="s">
        <v>27</v>
      </c>
      <c r="O953">
        <v>1.42</v>
      </c>
      <c r="P953">
        <v>33.220603942871101</v>
      </c>
      <c r="Q953">
        <v>23.1540412902832</v>
      </c>
      <c r="R953">
        <v>17.149999618530298</v>
      </c>
      <c r="S953">
        <v>14.625</v>
      </c>
      <c r="T953">
        <v>1.7744879722595199</v>
      </c>
      <c r="U953">
        <v>59.6485595703125</v>
      </c>
      <c r="V953">
        <v>984000</v>
      </c>
      <c r="W953">
        <v>25.6567993164063</v>
      </c>
      <c r="X953">
        <v>0.18000000715255701</v>
      </c>
      <c r="Y953">
        <v>4.5482230186462402</v>
      </c>
      <c r="Z953">
        <v>3.4140970706939702</v>
      </c>
      <c r="AA953">
        <v>8563000</v>
      </c>
      <c r="AB953" t="s">
        <v>38</v>
      </c>
      <c r="AC953" t="s">
        <v>113</v>
      </c>
      <c r="AD953">
        <v>0.15999999642372101</v>
      </c>
      <c r="AE953">
        <v>59.1622123718262</v>
      </c>
      <c r="AF953">
        <v>1.0441652028644299</v>
      </c>
      <c r="AG953">
        <v>8631000</v>
      </c>
      <c r="AH953">
        <v>0.55835998058319103</v>
      </c>
      <c r="AI953">
        <v>32.1195678710938</v>
      </c>
    </row>
    <row r="954" spans="1:35">
      <c r="A954">
        <f t="shared" si="123"/>
        <v>1</v>
      </c>
      <c r="B954">
        <f t="shared" si="124"/>
        <v>0</v>
      </c>
      <c r="C954">
        <f t="shared" si="125"/>
        <v>1</v>
      </c>
      <c r="D954">
        <f t="shared" si="126"/>
        <v>1</v>
      </c>
      <c r="E954">
        <f t="shared" si="127"/>
        <v>1</v>
      </c>
      <c r="F954">
        <f t="shared" si="128"/>
        <v>0</v>
      </c>
      <c r="G954">
        <f t="shared" si="129"/>
        <v>0</v>
      </c>
      <c r="H954">
        <v>1</v>
      </c>
      <c r="I954">
        <f t="shared" si="130"/>
        <v>0</v>
      </c>
      <c r="J954">
        <f t="shared" si="122"/>
        <v>26.550977706909201</v>
      </c>
      <c r="K954" t="s">
        <v>303</v>
      </c>
      <c r="L954" t="s">
        <v>304</v>
      </c>
      <c r="M954" t="s">
        <v>27</v>
      </c>
      <c r="N954" t="s">
        <v>27</v>
      </c>
      <c r="O954">
        <v>5.87</v>
      </c>
      <c r="P954" t="s">
        <v>27</v>
      </c>
      <c r="Q954">
        <v>6.7432861328125</v>
      </c>
      <c r="R954">
        <v>10.960000038146999</v>
      </c>
      <c r="S954">
        <v>8.2299995422363299</v>
      </c>
      <c r="T954">
        <v>90.649818420410199</v>
      </c>
      <c r="U954" t="s">
        <v>27</v>
      </c>
      <c r="V954">
        <v>23719000</v>
      </c>
      <c r="W954">
        <v>1.38793897628784</v>
      </c>
      <c r="X954">
        <v>-4.9400000572204599</v>
      </c>
      <c r="Y954">
        <v>-68.904113769531307</v>
      </c>
      <c r="Z954">
        <v>19.807691574096701</v>
      </c>
      <c r="AA954">
        <v>5753000</v>
      </c>
      <c r="AB954" t="s">
        <v>27</v>
      </c>
      <c r="AC954" t="s">
        <v>27</v>
      </c>
      <c r="AD954">
        <v>1.3600000143051101</v>
      </c>
      <c r="AE954" t="s">
        <v>27</v>
      </c>
      <c r="AF954">
        <v>23.277101776083999</v>
      </c>
      <c r="AG954">
        <v>5753000</v>
      </c>
      <c r="AH954">
        <v>88.937950134277301</v>
      </c>
      <c r="AI954">
        <v>-4.1847119331359899</v>
      </c>
    </row>
    <row r="955" spans="1:35">
      <c r="A955">
        <f t="shared" si="123"/>
        <v>1</v>
      </c>
      <c r="B955">
        <f t="shared" si="124"/>
        <v>0</v>
      </c>
      <c r="C955">
        <f t="shared" si="125"/>
        <v>1</v>
      </c>
      <c r="D955">
        <f t="shared" si="126"/>
        <v>0</v>
      </c>
      <c r="E955">
        <f t="shared" si="127"/>
        <v>0</v>
      </c>
      <c r="F955">
        <f t="shared" si="128"/>
        <v>1</v>
      </c>
      <c r="G955">
        <f t="shared" si="129"/>
        <v>0</v>
      </c>
      <c r="H955">
        <v>1</v>
      </c>
      <c r="I955">
        <f t="shared" si="130"/>
        <v>0</v>
      </c>
      <c r="J955">
        <f t="shared" si="122"/>
        <v>26.517622947692871</v>
      </c>
      <c r="K955" t="s">
        <v>1048</v>
      </c>
      <c r="L955" t="s">
        <v>1049</v>
      </c>
      <c r="M955" t="s">
        <v>27</v>
      </c>
      <c r="N955" t="s">
        <v>27</v>
      </c>
      <c r="O955">
        <v>20</v>
      </c>
      <c r="P955">
        <v>17.144527435302699</v>
      </c>
      <c r="Q955">
        <v>18.2607421875</v>
      </c>
      <c r="R955">
        <v>26.75</v>
      </c>
      <c r="S955">
        <v>15.9375</v>
      </c>
      <c r="T955">
        <v>0.532307028770447</v>
      </c>
      <c r="U955">
        <v>28.365280151367202</v>
      </c>
      <c r="V955">
        <v>4503000</v>
      </c>
      <c r="W955">
        <v>18.303236007690401</v>
      </c>
      <c r="X955">
        <v>0.28999999165535001</v>
      </c>
      <c r="Y955">
        <v>13.654450416564901</v>
      </c>
      <c r="Z955">
        <v>8.2568807601928693</v>
      </c>
      <c r="AA955">
        <v>13386000</v>
      </c>
      <c r="AB955" t="s">
        <v>27</v>
      </c>
      <c r="AC955" t="s">
        <v>27</v>
      </c>
      <c r="AD955">
        <v>-1.9999999552965199E-2</v>
      </c>
      <c r="AE955">
        <v>28.022117614746101</v>
      </c>
      <c r="AF955">
        <v>2.80202011584384</v>
      </c>
      <c r="AG955">
        <v>13555000</v>
      </c>
      <c r="AH955">
        <v>0.23849999904632599</v>
      </c>
      <c r="AI955">
        <v>15.468198776245099</v>
      </c>
    </row>
    <row r="956" spans="1:35">
      <c r="A956">
        <f t="shared" si="123"/>
        <v>1</v>
      </c>
      <c r="B956">
        <f t="shared" si="124"/>
        <v>0</v>
      </c>
      <c r="C956">
        <f t="shared" si="125"/>
        <v>0</v>
      </c>
      <c r="D956">
        <f t="shared" si="126"/>
        <v>0</v>
      </c>
      <c r="E956">
        <f t="shared" si="127"/>
        <v>0</v>
      </c>
      <c r="F956">
        <f t="shared" si="128"/>
        <v>1</v>
      </c>
      <c r="G956">
        <f t="shared" si="129"/>
        <v>0</v>
      </c>
      <c r="H956">
        <v>1</v>
      </c>
      <c r="I956">
        <f t="shared" si="130"/>
        <v>1</v>
      </c>
      <c r="J956">
        <f t="shared" si="122"/>
        <v>26.236615180969221</v>
      </c>
      <c r="K956" t="s">
        <v>99</v>
      </c>
      <c r="L956" t="s">
        <v>100</v>
      </c>
      <c r="M956" t="s">
        <v>27</v>
      </c>
      <c r="N956" t="s">
        <v>27</v>
      </c>
      <c r="O956">
        <v>40.200000000000003</v>
      </c>
      <c r="P956">
        <v>7.1568341255187997</v>
      </c>
      <c r="Q956">
        <v>19.1398410797119</v>
      </c>
      <c r="R956">
        <v>30.75</v>
      </c>
      <c r="S956">
        <v>18</v>
      </c>
      <c r="T956">
        <v>112.25896453857401</v>
      </c>
      <c r="U956">
        <v>34.917690277099602</v>
      </c>
      <c r="V956">
        <v>-5832000</v>
      </c>
      <c r="W956">
        <v>9.0853996276855504</v>
      </c>
      <c r="X956">
        <v>0.54999999701976798</v>
      </c>
      <c r="Y956">
        <v>21.6827583312988</v>
      </c>
      <c r="Z956">
        <v>7.0967741012573198</v>
      </c>
      <c r="AA956">
        <v>7928600</v>
      </c>
      <c r="AB956" t="s">
        <v>61</v>
      </c>
      <c r="AC956" t="s">
        <v>101</v>
      </c>
      <c r="AD956">
        <v>-0.31999999284744302</v>
      </c>
      <c r="AE956">
        <v>33.615871429443402</v>
      </c>
      <c r="AF956">
        <v>7.9552115756233199</v>
      </c>
      <c r="AG956">
        <v>8049000</v>
      </c>
      <c r="AH956">
        <v>99.939834594726605</v>
      </c>
      <c r="AI956">
        <v>6.2061581611633301</v>
      </c>
    </row>
    <row r="957" spans="1:35">
      <c r="A957">
        <f t="shared" si="123"/>
        <v>1</v>
      </c>
      <c r="B957">
        <f t="shared" si="124"/>
        <v>1</v>
      </c>
      <c r="C957">
        <f t="shared" si="125"/>
        <v>1</v>
      </c>
      <c r="D957">
        <f t="shared" si="126"/>
        <v>1</v>
      </c>
      <c r="E957">
        <f t="shared" si="127"/>
        <v>0</v>
      </c>
      <c r="F957">
        <f t="shared" si="128"/>
        <v>1</v>
      </c>
      <c r="G957">
        <f t="shared" si="129"/>
        <v>1</v>
      </c>
      <c r="H957">
        <v>1</v>
      </c>
      <c r="I957">
        <f t="shared" si="130"/>
        <v>0</v>
      </c>
      <c r="J957">
        <f t="shared" si="122"/>
        <v>26.199993610382069</v>
      </c>
      <c r="K957" t="s">
        <v>3519</v>
      </c>
      <c r="L957" t="s">
        <v>3520</v>
      </c>
      <c r="M957" t="s">
        <v>27</v>
      </c>
      <c r="N957" t="s">
        <v>27</v>
      </c>
      <c r="O957">
        <v>11.04</v>
      </c>
      <c r="P957" t="s">
        <v>27</v>
      </c>
      <c r="Q957">
        <v>7.8017239570617702</v>
      </c>
      <c r="R957">
        <v>16.809999465942401</v>
      </c>
      <c r="S957">
        <v>1.9375</v>
      </c>
      <c r="T957">
        <v>41.616828918457003</v>
      </c>
      <c r="U957">
        <v>48.019931793212898</v>
      </c>
      <c r="V957">
        <v>92000</v>
      </c>
      <c r="W957">
        <v>0.24522900581359899</v>
      </c>
      <c r="X957">
        <v>0.34000000357627902</v>
      </c>
      <c r="Y957">
        <v>25.777778625488299</v>
      </c>
      <c r="Z957">
        <v>18.398269653320298</v>
      </c>
      <c r="AA957">
        <v>14662000</v>
      </c>
      <c r="AB957" t="s">
        <v>27</v>
      </c>
      <c r="AC957" t="s">
        <v>27</v>
      </c>
      <c r="AD957">
        <v>0.5</v>
      </c>
      <c r="AE957">
        <v>53.148788452148402</v>
      </c>
      <c r="AF957">
        <v>3.7805467099110599</v>
      </c>
      <c r="AG957">
        <v>14611000</v>
      </c>
      <c r="AH957">
        <v>30.571287155151399</v>
      </c>
      <c r="AI957">
        <v>2.2306449413299601</v>
      </c>
    </row>
    <row r="958" spans="1:35">
      <c r="A958">
        <f t="shared" si="123"/>
        <v>0</v>
      </c>
      <c r="B958">
        <f t="shared" si="124"/>
        <v>1</v>
      </c>
      <c r="C958">
        <f t="shared" si="125"/>
        <v>1</v>
      </c>
      <c r="D958">
        <f t="shared" si="126"/>
        <v>1</v>
      </c>
      <c r="E958">
        <f t="shared" si="127"/>
        <v>0</v>
      </c>
      <c r="F958">
        <f t="shared" si="128"/>
        <v>1</v>
      </c>
      <c r="G958">
        <f t="shared" si="129"/>
        <v>1</v>
      </c>
      <c r="H958">
        <v>1</v>
      </c>
      <c r="I958">
        <f t="shared" si="130"/>
        <v>0</v>
      </c>
      <c r="J958">
        <f t="shared" si="122"/>
        <v>26.136886596679719</v>
      </c>
      <c r="K958" t="s">
        <v>2758</v>
      </c>
      <c r="L958" t="s">
        <v>2759</v>
      </c>
      <c r="M958" t="s">
        <v>27</v>
      </c>
      <c r="N958" t="s">
        <v>27</v>
      </c>
      <c r="O958">
        <v>27.73</v>
      </c>
      <c r="P958">
        <v>18.461961746215799</v>
      </c>
      <c r="Q958">
        <v>19.6575736999512</v>
      </c>
      <c r="R958">
        <v>28.379999160766602</v>
      </c>
      <c r="S958">
        <v>22.375</v>
      </c>
      <c r="T958">
        <v>19.6246242523193</v>
      </c>
      <c r="U958">
        <v>24.3600673675537</v>
      </c>
      <c r="V958">
        <v>41650000</v>
      </c>
      <c r="W958">
        <v>11.777753829956101</v>
      </c>
      <c r="X958">
        <v>0.37999999523162797</v>
      </c>
      <c r="Y958">
        <v>5.29957818984985</v>
      </c>
      <c r="Z958">
        <v>6.4793128967285201</v>
      </c>
      <c r="AA958">
        <v>25479000</v>
      </c>
      <c r="AB958" t="s">
        <v>30</v>
      </c>
      <c r="AC958" t="s">
        <v>2760</v>
      </c>
      <c r="AD958">
        <v>0.5</v>
      </c>
      <c r="AE958">
        <v>26.1552925109863</v>
      </c>
      <c r="AF958" t="s">
        <v>27</v>
      </c>
      <c r="AG958">
        <v>25031000</v>
      </c>
      <c r="AH958">
        <v>20.867435455322301</v>
      </c>
      <c r="AI958">
        <v>12.588835716247599</v>
      </c>
    </row>
    <row r="959" spans="1:35">
      <c r="A959">
        <f t="shared" si="123"/>
        <v>0</v>
      </c>
      <c r="B959">
        <f t="shared" si="124"/>
        <v>0</v>
      </c>
      <c r="C959">
        <f t="shared" si="125"/>
        <v>0</v>
      </c>
      <c r="D959">
        <f t="shared" si="126"/>
        <v>1</v>
      </c>
      <c r="E959">
        <f t="shared" si="127"/>
        <v>0</v>
      </c>
      <c r="F959">
        <f t="shared" si="128"/>
        <v>1</v>
      </c>
      <c r="G959">
        <f t="shared" si="129"/>
        <v>0</v>
      </c>
      <c r="H959">
        <v>1</v>
      </c>
      <c r="I959">
        <f t="shared" si="130"/>
        <v>0</v>
      </c>
      <c r="J959">
        <f t="shared" si="122"/>
        <v>26.073820114135799</v>
      </c>
      <c r="K959" t="s">
        <v>391</v>
      </c>
      <c r="L959" t="s">
        <v>392</v>
      </c>
      <c r="M959" t="s">
        <v>27</v>
      </c>
      <c r="N959" t="s">
        <v>27</v>
      </c>
      <c r="O959">
        <v>6.05</v>
      </c>
      <c r="P959" t="s">
        <v>27</v>
      </c>
      <c r="Q959">
        <v>12.8662729263306</v>
      </c>
      <c r="R959">
        <v>9.75</v>
      </c>
      <c r="S959">
        <v>10.625</v>
      </c>
      <c r="T959">
        <v>9.7909145355224592</v>
      </c>
      <c r="U959">
        <v>14.787920951843301</v>
      </c>
      <c r="V959">
        <v>-377999.78125</v>
      </c>
      <c r="W959">
        <v>15.3972930908203</v>
      </c>
      <c r="X959">
        <v>0.21999999880790699</v>
      </c>
      <c r="Y959">
        <v>7.4666671752929696</v>
      </c>
      <c r="Z959">
        <v>13.207547187805201</v>
      </c>
      <c r="AA959">
        <v>12888000</v>
      </c>
      <c r="AB959" t="s">
        <v>27</v>
      </c>
      <c r="AC959" t="s">
        <v>27</v>
      </c>
      <c r="AD959">
        <v>0.270000010728836</v>
      </c>
      <c r="AE959">
        <v>12.520998954772899</v>
      </c>
      <c r="AF959">
        <v>4.3864227032554997</v>
      </c>
      <c r="AG959">
        <v>12976000</v>
      </c>
      <c r="AH959">
        <v>14.004555702209499</v>
      </c>
      <c r="AI959">
        <v>5.8730669021606401</v>
      </c>
    </row>
    <row r="960" spans="1:35">
      <c r="A960">
        <f t="shared" si="123"/>
        <v>0</v>
      </c>
      <c r="B960">
        <f t="shared" si="124"/>
        <v>1</v>
      </c>
      <c r="C960">
        <f t="shared" si="125"/>
        <v>0</v>
      </c>
      <c r="D960">
        <f t="shared" si="126"/>
        <v>0</v>
      </c>
      <c r="E960">
        <f t="shared" si="127"/>
        <v>0</v>
      </c>
      <c r="F960">
        <f t="shared" si="128"/>
        <v>1</v>
      </c>
      <c r="G960">
        <f t="shared" si="129"/>
        <v>0</v>
      </c>
      <c r="H960">
        <v>1</v>
      </c>
      <c r="I960">
        <f t="shared" si="130"/>
        <v>0</v>
      </c>
      <c r="J960">
        <f t="shared" si="122"/>
        <v>25.837338924407909</v>
      </c>
      <c r="K960" t="s">
        <v>2226</v>
      </c>
      <c r="L960" t="s">
        <v>2227</v>
      </c>
      <c r="M960" t="s">
        <v>27</v>
      </c>
      <c r="N960" t="s">
        <v>27</v>
      </c>
      <c r="O960">
        <v>5.7</v>
      </c>
      <c r="P960">
        <v>7.9901652336120597</v>
      </c>
      <c r="Q960">
        <v>7.6382861137390101</v>
      </c>
      <c r="R960">
        <v>14.1000003814697</v>
      </c>
      <c r="S960">
        <v>21.899999618530298</v>
      </c>
      <c r="T960">
        <v>53.263912200927699</v>
      </c>
      <c r="U960" t="s">
        <v>27</v>
      </c>
      <c r="V960">
        <v>-3370999.75</v>
      </c>
      <c r="W960">
        <v>3.2486300468444802</v>
      </c>
      <c r="X960">
        <v>0.88999998569488503</v>
      </c>
      <c r="Y960">
        <v>10.8148145675659</v>
      </c>
      <c r="Z960">
        <v>18.199052810668899</v>
      </c>
      <c r="AA960">
        <v>48417000</v>
      </c>
      <c r="AB960" t="s">
        <v>27</v>
      </c>
      <c r="AC960" t="s">
        <v>27</v>
      </c>
      <c r="AD960">
        <v>-0.38999998569488498</v>
      </c>
      <c r="AE960" t="s">
        <v>27</v>
      </c>
      <c r="AF960">
        <v>8.4557966043969106</v>
      </c>
      <c r="AG960">
        <v>44512000</v>
      </c>
      <c r="AH960">
        <v>55.522106170654297</v>
      </c>
      <c r="AI960">
        <v>3.4667549133300799</v>
      </c>
    </row>
    <row r="961" spans="1:35">
      <c r="A961">
        <f t="shared" si="123"/>
        <v>0</v>
      </c>
      <c r="B961">
        <f t="shared" si="124"/>
        <v>1</v>
      </c>
      <c r="C961">
        <f t="shared" si="125"/>
        <v>1</v>
      </c>
      <c r="D961">
        <f t="shared" si="126"/>
        <v>0</v>
      </c>
      <c r="E961">
        <f t="shared" si="127"/>
        <v>0</v>
      </c>
      <c r="F961">
        <f t="shared" si="128"/>
        <v>1</v>
      </c>
      <c r="G961">
        <f t="shared" si="129"/>
        <v>0</v>
      </c>
      <c r="H961">
        <v>1</v>
      </c>
      <c r="I961">
        <f t="shared" si="130"/>
        <v>0</v>
      </c>
      <c r="J961">
        <f t="shared" si="122"/>
        <v>25.78293323516851</v>
      </c>
      <c r="K961" t="s">
        <v>1424</v>
      </c>
      <c r="L961" t="s">
        <v>1425</v>
      </c>
      <c r="M961" t="s">
        <v>27</v>
      </c>
      <c r="N961" t="s">
        <v>27</v>
      </c>
      <c r="O961">
        <v>19.690000000000001</v>
      </c>
      <c r="P961">
        <v>30.839990615844702</v>
      </c>
      <c r="Q961">
        <v>21.534845352172901</v>
      </c>
      <c r="R961">
        <v>29</v>
      </c>
      <c r="S961">
        <v>40</v>
      </c>
      <c r="T961">
        <v>4.1141657829284703</v>
      </c>
      <c r="U961">
        <v>28.214439392089801</v>
      </c>
      <c r="V961">
        <v>7902999.5</v>
      </c>
      <c r="W961">
        <v>23.514753341674801</v>
      </c>
      <c r="X961">
        <v>0.28999999165535001</v>
      </c>
      <c r="Y961">
        <v>2.8987569808960001</v>
      </c>
      <c r="Z961">
        <v>4.2480878829956099</v>
      </c>
      <c r="AA961">
        <v>21201000</v>
      </c>
      <c r="AB961" t="s">
        <v>61</v>
      </c>
      <c r="AC961" t="s">
        <v>1426</v>
      </c>
      <c r="AD961">
        <v>0.18999999761581399</v>
      </c>
      <c r="AE961">
        <v>24.4953804016113</v>
      </c>
      <c r="AF961">
        <v>9.5741490464344903</v>
      </c>
      <c r="AG961">
        <v>21589000</v>
      </c>
      <c r="AH961">
        <v>4.3043861389160201</v>
      </c>
      <c r="AI961">
        <v>23.9742317199707</v>
      </c>
    </row>
    <row r="962" spans="1:35">
      <c r="A962">
        <f t="shared" si="123"/>
        <v>0</v>
      </c>
      <c r="B962">
        <f t="shared" si="124"/>
        <v>1</v>
      </c>
      <c r="C962">
        <f t="shared" si="125"/>
        <v>0</v>
      </c>
      <c r="D962">
        <f t="shared" si="126"/>
        <v>1</v>
      </c>
      <c r="E962">
        <f t="shared" si="127"/>
        <v>0</v>
      </c>
      <c r="F962">
        <f t="shared" si="128"/>
        <v>1</v>
      </c>
      <c r="G962">
        <f t="shared" si="129"/>
        <v>0</v>
      </c>
      <c r="H962">
        <v>1</v>
      </c>
      <c r="I962">
        <f t="shared" si="130"/>
        <v>1</v>
      </c>
      <c r="J962">
        <f t="shared" si="122"/>
        <v>25.727912902832067</v>
      </c>
      <c r="K962" t="s">
        <v>1604</v>
      </c>
      <c r="L962" t="s">
        <v>1605</v>
      </c>
      <c r="M962" t="s">
        <v>27</v>
      </c>
      <c r="N962" t="s">
        <v>27</v>
      </c>
      <c r="O962">
        <v>17.07</v>
      </c>
      <c r="P962" t="s">
        <v>27</v>
      </c>
      <c r="Q962">
        <v>16.357814788818398</v>
      </c>
      <c r="R962">
        <v>14.4954130190228</v>
      </c>
      <c r="S962">
        <v>10.3757099169943</v>
      </c>
      <c r="T962">
        <v>0.41084599494934099</v>
      </c>
      <c r="U962" t="s">
        <v>27</v>
      </c>
      <c r="V962">
        <v>-442000</v>
      </c>
      <c r="W962">
        <v>1.7262099981307999</v>
      </c>
      <c r="X962">
        <v>0.28396678731242497</v>
      </c>
      <c r="Y962" t="s">
        <v>27</v>
      </c>
      <c r="Z962">
        <v>9.3700981140136701</v>
      </c>
      <c r="AA962">
        <v>13613140.800000001</v>
      </c>
      <c r="AB962" t="s">
        <v>34</v>
      </c>
      <c r="AC962" t="s">
        <v>35</v>
      </c>
      <c r="AD962">
        <v>0.32110091196287699</v>
      </c>
      <c r="AE962" t="s">
        <v>27</v>
      </c>
      <c r="AF962" t="s">
        <v>27</v>
      </c>
      <c r="AG962">
        <v>13677320</v>
      </c>
      <c r="AH962">
        <v>0.78987598419189498</v>
      </c>
      <c r="AI962">
        <v>1.74931204319</v>
      </c>
    </row>
    <row r="963" spans="1:35">
      <c r="A963">
        <f t="shared" si="123"/>
        <v>1</v>
      </c>
      <c r="B963">
        <f t="shared" si="124"/>
        <v>0</v>
      </c>
      <c r="C963">
        <f t="shared" si="125"/>
        <v>1</v>
      </c>
      <c r="D963">
        <f t="shared" si="126"/>
        <v>0</v>
      </c>
      <c r="E963">
        <f t="shared" si="127"/>
        <v>0</v>
      </c>
      <c r="F963">
        <f t="shared" si="128"/>
        <v>1</v>
      </c>
      <c r="G963">
        <f t="shared" si="129"/>
        <v>0</v>
      </c>
      <c r="H963">
        <v>1</v>
      </c>
      <c r="I963">
        <f t="shared" si="130"/>
        <v>1</v>
      </c>
      <c r="J963">
        <f t="shared" si="122"/>
        <v>25.671956062316802</v>
      </c>
      <c r="K963" t="s">
        <v>2444</v>
      </c>
      <c r="L963" t="s">
        <v>2445</v>
      </c>
      <c r="M963" t="s">
        <v>27</v>
      </c>
      <c r="N963" t="s">
        <v>27</v>
      </c>
      <c r="O963">
        <v>17.329999999999998</v>
      </c>
      <c r="P963">
        <v>14.9166927337646</v>
      </c>
      <c r="Q963">
        <v>13.330394744873001</v>
      </c>
      <c r="R963">
        <v>14.1599998474121</v>
      </c>
      <c r="S963">
        <v>20.799999237060501</v>
      </c>
      <c r="T963">
        <v>25.146186828613299</v>
      </c>
      <c r="U963">
        <v>34.372642517089801</v>
      </c>
      <c r="V963">
        <v>32476998</v>
      </c>
      <c r="W963">
        <v>14.447029113769499</v>
      </c>
      <c r="X963">
        <v>0.60000002384185802</v>
      </c>
      <c r="Y963">
        <v>9.9115047454834002</v>
      </c>
      <c r="Z963">
        <v>12.3415613174438</v>
      </c>
      <c r="AA963">
        <v>50043000</v>
      </c>
      <c r="AB963" t="s">
        <v>61</v>
      </c>
      <c r="AC963" t="s">
        <v>77</v>
      </c>
      <c r="AD963">
        <v>0.40999999642372098</v>
      </c>
      <c r="AE963">
        <v>29.4788112640381</v>
      </c>
      <c r="AF963">
        <v>9.9459987101133294</v>
      </c>
      <c r="AG963">
        <v>49400000</v>
      </c>
      <c r="AH963">
        <v>21.877017974853501</v>
      </c>
      <c r="AI963">
        <v>14.2041130065918</v>
      </c>
    </row>
    <row r="964" spans="1:35">
      <c r="A964">
        <f t="shared" si="123"/>
        <v>1</v>
      </c>
      <c r="B964">
        <f t="shared" si="124"/>
        <v>1</v>
      </c>
      <c r="C964">
        <f t="shared" si="125"/>
        <v>1</v>
      </c>
      <c r="D964">
        <f t="shared" si="126"/>
        <v>0</v>
      </c>
      <c r="E964">
        <f t="shared" si="127"/>
        <v>0</v>
      </c>
      <c r="F964">
        <f t="shared" si="128"/>
        <v>1</v>
      </c>
      <c r="G964">
        <f t="shared" si="129"/>
        <v>0</v>
      </c>
      <c r="H964">
        <v>1</v>
      </c>
      <c r="I964">
        <f t="shared" si="130"/>
        <v>0</v>
      </c>
      <c r="J964">
        <f t="shared" si="122"/>
        <v>25.669230461120648</v>
      </c>
      <c r="K964" t="s">
        <v>504</v>
      </c>
      <c r="L964" t="s">
        <v>505</v>
      </c>
      <c r="M964" t="s">
        <v>27</v>
      </c>
      <c r="N964" t="s">
        <v>27</v>
      </c>
      <c r="O964">
        <v>16.149999999999999</v>
      </c>
      <c r="P964" t="s">
        <v>27</v>
      </c>
      <c r="Q964">
        <v>16.2193927764893</v>
      </c>
      <c r="R964">
        <v>15.1000003814697</v>
      </c>
      <c r="S964">
        <v>12.6000003814697</v>
      </c>
      <c r="T964">
        <v>14.5338592529297</v>
      </c>
      <c r="U964" t="s">
        <v>27</v>
      </c>
      <c r="V964">
        <v>24152000</v>
      </c>
      <c r="W964">
        <v>9.4407444000244105</v>
      </c>
      <c r="X964" t="s">
        <v>27</v>
      </c>
      <c r="Y964" t="s">
        <v>27</v>
      </c>
      <c r="Z964">
        <v>9.4498376846313494</v>
      </c>
      <c r="AA964">
        <v>22034000</v>
      </c>
      <c r="AB964" t="s">
        <v>27</v>
      </c>
      <c r="AC964" t="s">
        <v>27</v>
      </c>
      <c r="AD964">
        <v>0.270000010728836</v>
      </c>
      <c r="AE964">
        <v>27.5511798858643</v>
      </c>
      <c r="AF964">
        <v>7.7081181237135699</v>
      </c>
      <c r="AG964">
        <v>21994000</v>
      </c>
      <c r="AH964">
        <v>13.284008026123001</v>
      </c>
      <c r="AI964">
        <v>16.673692703247099</v>
      </c>
    </row>
    <row r="965" spans="1:35">
      <c r="A965">
        <f t="shared" si="123"/>
        <v>1</v>
      </c>
      <c r="B965">
        <f t="shared" si="124"/>
        <v>1</v>
      </c>
      <c r="C965">
        <f t="shared" si="125"/>
        <v>0</v>
      </c>
      <c r="D965">
        <f t="shared" si="126"/>
        <v>1</v>
      </c>
      <c r="E965">
        <f t="shared" si="127"/>
        <v>0</v>
      </c>
      <c r="F965">
        <f t="shared" si="128"/>
        <v>1</v>
      </c>
      <c r="G965">
        <f t="shared" si="129"/>
        <v>1</v>
      </c>
      <c r="H965">
        <v>1</v>
      </c>
      <c r="I965">
        <f t="shared" si="130"/>
        <v>1</v>
      </c>
      <c r="J965">
        <f t="shared" si="122"/>
        <v>25.4260416030884</v>
      </c>
      <c r="K965" t="s">
        <v>620</v>
      </c>
      <c r="L965" t="s">
        <v>621</v>
      </c>
      <c r="M965" t="s">
        <v>27</v>
      </c>
      <c r="N965" t="s">
        <v>27</v>
      </c>
      <c r="O965">
        <v>23.51</v>
      </c>
      <c r="P965">
        <v>6.2424502372741699</v>
      </c>
      <c r="Q965">
        <v>11.7919569015503</v>
      </c>
      <c r="R965">
        <v>20.049999237060501</v>
      </c>
      <c r="S965">
        <v>28.0200004577637</v>
      </c>
      <c r="T965">
        <v>39.577327728271499</v>
      </c>
      <c r="U965">
        <v>37.427894592285199</v>
      </c>
      <c r="V965">
        <v>-179776992</v>
      </c>
      <c r="W965">
        <v>1.24944996833801</v>
      </c>
      <c r="X965">
        <v>0.20999999344348899</v>
      </c>
      <c r="Y965">
        <v>2.6503069400787398</v>
      </c>
      <c r="Z965">
        <v>13.6340847015381</v>
      </c>
      <c r="AA965">
        <v>29011000</v>
      </c>
      <c r="AB965" t="s">
        <v>328</v>
      </c>
      <c r="AC965" t="s">
        <v>329</v>
      </c>
      <c r="AD965">
        <v>0.33000001311302202</v>
      </c>
      <c r="AE965">
        <v>46.120563507080099</v>
      </c>
      <c r="AF965">
        <v>10.4346296666514</v>
      </c>
      <c r="AG965">
        <v>31602000</v>
      </c>
      <c r="AH965">
        <v>33.574329376220703</v>
      </c>
      <c r="AI965">
        <v>3.6516010761261</v>
      </c>
    </row>
    <row r="966" spans="1:35">
      <c r="A966">
        <f t="shared" si="123"/>
        <v>1</v>
      </c>
      <c r="B966">
        <f t="shared" si="124"/>
        <v>0</v>
      </c>
      <c r="C966">
        <f t="shared" si="125"/>
        <v>0</v>
      </c>
      <c r="D966">
        <f t="shared" si="126"/>
        <v>0</v>
      </c>
      <c r="E966">
        <f t="shared" si="127"/>
        <v>0</v>
      </c>
      <c r="F966">
        <f t="shared" si="128"/>
        <v>1</v>
      </c>
      <c r="G966">
        <f t="shared" si="129"/>
        <v>0</v>
      </c>
      <c r="H966">
        <v>1</v>
      </c>
      <c r="I966">
        <f t="shared" si="130"/>
        <v>0</v>
      </c>
      <c r="J966">
        <f t="shared" si="122"/>
        <v>25.371601104736371</v>
      </c>
      <c r="K966" t="s">
        <v>2380</v>
      </c>
      <c r="L966" t="s">
        <v>2381</v>
      </c>
      <c r="M966" t="s">
        <v>27</v>
      </c>
      <c r="N966" t="s">
        <v>27</v>
      </c>
      <c r="O966">
        <v>8.59</v>
      </c>
      <c r="P966">
        <v>20.422777175903299</v>
      </c>
      <c r="Q966">
        <v>16.812648773193398</v>
      </c>
      <c r="R966">
        <v>13.1499996185303</v>
      </c>
      <c r="S966">
        <v>7</v>
      </c>
      <c r="T966">
        <v>0.44908499717712402</v>
      </c>
      <c r="U966">
        <v>82.246421813964801</v>
      </c>
      <c r="V966">
        <v>-2680000</v>
      </c>
      <c r="W966">
        <v>16.8574619293213</v>
      </c>
      <c r="X966">
        <v>0.270000010728836</v>
      </c>
      <c r="Y966">
        <v>14.117647171020501</v>
      </c>
      <c r="Z966">
        <v>8.5589523315429705</v>
      </c>
      <c r="AA966">
        <v>16697001</v>
      </c>
      <c r="AB966" t="s">
        <v>194</v>
      </c>
      <c r="AC966" t="s">
        <v>1176</v>
      </c>
      <c r="AD966">
        <v>0.259999990463257</v>
      </c>
      <c r="AE966">
        <v>81.85107421875</v>
      </c>
      <c r="AF966">
        <v>4.4720506970849199</v>
      </c>
      <c r="AG966">
        <v>16287001</v>
      </c>
      <c r="AH966">
        <v>0</v>
      </c>
      <c r="AI966">
        <v>15.1680297851563</v>
      </c>
    </row>
    <row r="967" spans="1:35">
      <c r="A967">
        <f t="shared" si="123"/>
        <v>0</v>
      </c>
      <c r="B967">
        <f t="shared" si="124"/>
        <v>1</v>
      </c>
      <c r="C967">
        <f t="shared" si="125"/>
        <v>1</v>
      </c>
      <c r="D967">
        <f t="shared" si="126"/>
        <v>0</v>
      </c>
      <c r="E967">
        <f t="shared" si="127"/>
        <v>0</v>
      </c>
      <c r="F967">
        <f t="shared" si="128"/>
        <v>1</v>
      </c>
      <c r="G967">
        <f t="shared" si="129"/>
        <v>0</v>
      </c>
      <c r="H967">
        <v>1</v>
      </c>
      <c r="I967">
        <f t="shared" si="130"/>
        <v>0</v>
      </c>
      <c r="J967">
        <f t="shared" si="122"/>
        <v>25.36976528167725</v>
      </c>
      <c r="K967" t="s">
        <v>808</v>
      </c>
      <c r="L967" t="s">
        <v>809</v>
      </c>
      <c r="M967" t="s">
        <v>27</v>
      </c>
      <c r="N967" t="s">
        <v>27</v>
      </c>
      <c r="O967">
        <v>21.07</v>
      </c>
      <c r="P967">
        <v>14.9227304458618</v>
      </c>
      <c r="Q967">
        <v>17.8546142578125</v>
      </c>
      <c r="R967">
        <v>21.700000762939499</v>
      </c>
      <c r="S967">
        <v>14.8999996185303</v>
      </c>
      <c r="T967">
        <v>62.202434539794901</v>
      </c>
      <c r="U967">
        <v>99.815414428710895</v>
      </c>
      <c r="V967">
        <v>28904000</v>
      </c>
      <c r="W967">
        <v>13.2474508285522</v>
      </c>
      <c r="X967">
        <v>0.37000000476837203</v>
      </c>
      <c r="Y967">
        <v>9.9090909957885707</v>
      </c>
      <c r="Z967">
        <v>7.5151510238647496</v>
      </c>
      <c r="AA967">
        <v>52465000</v>
      </c>
      <c r="AB967" t="s">
        <v>30</v>
      </c>
      <c r="AC967" t="s">
        <v>223</v>
      </c>
      <c r="AD967">
        <v>0.28999999165535001</v>
      </c>
      <c r="AE967">
        <v>99.250869750976605</v>
      </c>
      <c r="AF967" t="s">
        <v>27</v>
      </c>
      <c r="AG967">
        <v>42540000</v>
      </c>
      <c r="AH967">
        <v>81.235733032226605</v>
      </c>
      <c r="AI967" t="s">
        <v>27</v>
      </c>
    </row>
    <row r="968" spans="1:35">
      <c r="A968">
        <f t="shared" si="123"/>
        <v>1</v>
      </c>
      <c r="B968">
        <f t="shared" si="124"/>
        <v>1</v>
      </c>
      <c r="C968">
        <f t="shared" si="125"/>
        <v>0</v>
      </c>
      <c r="D968">
        <f t="shared" si="126"/>
        <v>0</v>
      </c>
      <c r="E968">
        <f t="shared" si="127"/>
        <v>0</v>
      </c>
      <c r="F968">
        <f t="shared" si="128"/>
        <v>1</v>
      </c>
      <c r="G968">
        <f t="shared" si="129"/>
        <v>0</v>
      </c>
      <c r="H968">
        <v>1</v>
      </c>
      <c r="I968">
        <f t="shared" si="130"/>
        <v>0</v>
      </c>
      <c r="J968">
        <f t="shared" si="122"/>
        <v>25.366441726684599</v>
      </c>
      <c r="K968" t="s">
        <v>3515</v>
      </c>
      <c r="L968" t="s">
        <v>3516</v>
      </c>
      <c r="M968" t="s">
        <v>27</v>
      </c>
      <c r="N968" t="s">
        <v>27</v>
      </c>
      <c r="O968">
        <v>24.98</v>
      </c>
      <c r="P968">
        <v>9.6438140869140607</v>
      </c>
      <c r="Q968">
        <v>14.648738861084</v>
      </c>
      <c r="R968">
        <v>24.649999618530298</v>
      </c>
      <c r="S968">
        <v>31.4375</v>
      </c>
      <c r="T968">
        <v>11.6910486221313</v>
      </c>
      <c r="U968">
        <v>53.317909240722699</v>
      </c>
      <c r="V968">
        <v>-21097000</v>
      </c>
      <c r="W968">
        <v>1.3815439939498899</v>
      </c>
      <c r="X968">
        <v>0.46000000834464999</v>
      </c>
      <c r="Y968">
        <v>8.0714292526245099</v>
      </c>
      <c r="Z968">
        <v>10.7177028656006</v>
      </c>
      <c r="AA968">
        <v>37772000</v>
      </c>
      <c r="AB968" t="s">
        <v>27</v>
      </c>
      <c r="AC968" t="s">
        <v>27</v>
      </c>
      <c r="AD968">
        <v>0.15000000596046401</v>
      </c>
      <c r="AE968">
        <v>46.844638824462898</v>
      </c>
      <c r="AF968">
        <v>10.836446418310199</v>
      </c>
      <c r="AG968">
        <v>39076000</v>
      </c>
      <c r="AH968">
        <v>11.617596626281699</v>
      </c>
      <c r="AI968">
        <v>11.4215240478516</v>
      </c>
    </row>
    <row r="969" spans="1:35">
      <c r="A969">
        <f t="shared" si="123"/>
        <v>1</v>
      </c>
      <c r="B969">
        <f t="shared" si="124"/>
        <v>0</v>
      </c>
      <c r="C969">
        <f t="shared" si="125"/>
        <v>1</v>
      </c>
      <c r="D969">
        <f t="shared" si="126"/>
        <v>0</v>
      </c>
      <c r="E969">
        <f t="shared" si="127"/>
        <v>0</v>
      </c>
      <c r="F969">
        <f t="shared" si="128"/>
        <v>1</v>
      </c>
      <c r="G969">
        <f t="shared" si="129"/>
        <v>0</v>
      </c>
      <c r="H969">
        <v>1</v>
      </c>
      <c r="I969">
        <f t="shared" si="130"/>
        <v>0</v>
      </c>
      <c r="J969">
        <f t="shared" si="122"/>
        <v>25.339195251464893</v>
      </c>
      <c r="K969" t="s">
        <v>2863</v>
      </c>
      <c r="L969" t="s">
        <v>2864</v>
      </c>
      <c r="M969" t="s">
        <v>27</v>
      </c>
      <c r="N969" t="s">
        <v>27</v>
      </c>
      <c r="O969">
        <v>19.5</v>
      </c>
      <c r="P969">
        <v>15.9674234390259</v>
      </c>
      <c r="Q969">
        <v>15.366743087768601</v>
      </c>
      <c r="R969">
        <v>22</v>
      </c>
      <c r="S969">
        <v>16.579999923706101</v>
      </c>
      <c r="T969">
        <v>14.1806240081787</v>
      </c>
      <c r="U969">
        <v>41.077423095703097</v>
      </c>
      <c r="V969">
        <v>5756000</v>
      </c>
      <c r="W969" t="s">
        <v>27</v>
      </c>
      <c r="X969">
        <v>0.52999997138977095</v>
      </c>
      <c r="Y969">
        <v>12</v>
      </c>
      <c r="Z969">
        <v>9.9724521636962908</v>
      </c>
      <c r="AA969">
        <v>8826000</v>
      </c>
      <c r="AB969" t="s">
        <v>52</v>
      </c>
      <c r="AC969" t="s">
        <v>53</v>
      </c>
      <c r="AD969">
        <v>0.119999997317791</v>
      </c>
      <c r="AE969">
        <v>39.586551666259801</v>
      </c>
      <c r="AF969" t="s">
        <v>27</v>
      </c>
      <c r="AG969">
        <v>9123000</v>
      </c>
      <c r="AH969">
        <v>13.537798881530801</v>
      </c>
      <c r="AI969" t="s">
        <v>27</v>
      </c>
    </row>
    <row r="970" spans="1:35">
      <c r="A970">
        <f t="shared" si="123"/>
        <v>1</v>
      </c>
      <c r="B970">
        <f t="shared" si="124"/>
        <v>0</v>
      </c>
      <c r="C970">
        <f t="shared" si="125"/>
        <v>0</v>
      </c>
      <c r="D970">
        <f t="shared" si="126"/>
        <v>0</v>
      </c>
      <c r="E970">
        <f t="shared" si="127"/>
        <v>0</v>
      </c>
      <c r="F970">
        <f t="shared" si="128"/>
        <v>1</v>
      </c>
      <c r="G970">
        <f t="shared" si="129"/>
        <v>1</v>
      </c>
      <c r="H970">
        <v>1</v>
      </c>
      <c r="I970">
        <f t="shared" si="130"/>
        <v>0</v>
      </c>
      <c r="J970">
        <f t="shared" si="122"/>
        <v>25.267140388488798</v>
      </c>
      <c r="K970" t="s">
        <v>498</v>
      </c>
      <c r="L970" t="s">
        <v>499</v>
      </c>
      <c r="M970" t="s">
        <v>27</v>
      </c>
      <c r="N970" t="s">
        <v>27</v>
      </c>
      <c r="O970">
        <v>12.12</v>
      </c>
      <c r="P970">
        <v>19.8591194152832</v>
      </c>
      <c r="Q970">
        <v>13.2427320480347</v>
      </c>
      <c r="R970">
        <v>14.2608692335046</v>
      </c>
      <c r="S970">
        <v>9.1304347826087007</v>
      </c>
      <c r="T970">
        <v>23.444189071655298</v>
      </c>
      <c r="U970">
        <v>73.041389465332003</v>
      </c>
      <c r="V970">
        <v>-2758000</v>
      </c>
      <c r="W970">
        <v>12.813158035278301</v>
      </c>
      <c r="X970">
        <v>0.22161690096275499</v>
      </c>
      <c r="Y970">
        <v>12.4608697891235</v>
      </c>
      <c r="Z970">
        <v>12.0244083404541</v>
      </c>
      <c r="AA970">
        <v>7236270.9441861603</v>
      </c>
      <c r="AB970" t="s">
        <v>27</v>
      </c>
      <c r="AC970" t="s">
        <v>27</v>
      </c>
      <c r="AD970">
        <v>5.1142362493405702E-2</v>
      </c>
      <c r="AE970">
        <v>74.497146606445298</v>
      </c>
      <c r="AF970">
        <v>5.17390566778655</v>
      </c>
      <c r="AG970">
        <v>7375881.2299121898</v>
      </c>
      <c r="AH970">
        <v>21.773715972900401</v>
      </c>
      <c r="AI970">
        <v>11.2669944763184</v>
      </c>
    </row>
    <row r="971" spans="1:35">
      <c r="A971">
        <f t="shared" si="123"/>
        <v>0</v>
      </c>
      <c r="B971">
        <f t="shared" si="124"/>
        <v>1</v>
      </c>
      <c r="C971">
        <f t="shared" si="125"/>
        <v>0</v>
      </c>
      <c r="D971">
        <f t="shared" si="126"/>
        <v>0</v>
      </c>
      <c r="E971">
        <f t="shared" si="127"/>
        <v>0</v>
      </c>
      <c r="F971">
        <f t="shared" si="128"/>
        <v>1</v>
      </c>
      <c r="G971">
        <f t="shared" si="129"/>
        <v>1</v>
      </c>
      <c r="H971">
        <v>1</v>
      </c>
      <c r="I971">
        <f t="shared" si="130"/>
        <v>0</v>
      </c>
      <c r="J971">
        <f t="shared" si="122"/>
        <v>25.21461486816407</v>
      </c>
      <c r="K971" t="s">
        <v>119</v>
      </c>
      <c r="L971" t="s">
        <v>120</v>
      </c>
      <c r="M971" t="s">
        <v>27</v>
      </c>
      <c r="N971" t="s">
        <v>27</v>
      </c>
      <c r="O971">
        <v>11</v>
      </c>
      <c r="P971">
        <v>17.506675720214801</v>
      </c>
      <c r="Q971">
        <v>18.243930816650401</v>
      </c>
      <c r="R971">
        <v>21.399999618530298</v>
      </c>
      <c r="S971">
        <v>13</v>
      </c>
      <c r="T971">
        <v>0</v>
      </c>
      <c r="U971">
        <v>12.3124294281006</v>
      </c>
      <c r="V971">
        <v>-2047999.875</v>
      </c>
      <c r="W971">
        <v>6.6512818336486799</v>
      </c>
      <c r="X971">
        <v>0.18999999761581399</v>
      </c>
      <c r="Y971">
        <v>8.4597702026367205</v>
      </c>
      <c r="Z971">
        <v>6.9706840515136701</v>
      </c>
      <c r="AA971">
        <v>19213500</v>
      </c>
      <c r="AB971" t="s">
        <v>27</v>
      </c>
      <c r="AC971" t="s">
        <v>27</v>
      </c>
      <c r="AD971">
        <v>0.18999999761581399</v>
      </c>
      <c r="AE971">
        <v>15.4159593582153</v>
      </c>
      <c r="AF971">
        <v>5.7382473158089597</v>
      </c>
      <c r="AG971">
        <v>19090000</v>
      </c>
      <c r="AH971">
        <v>0</v>
      </c>
      <c r="AI971">
        <v>7.20328617095947</v>
      </c>
    </row>
    <row r="972" spans="1:35">
      <c r="A972">
        <f t="shared" si="123"/>
        <v>1</v>
      </c>
      <c r="B972">
        <f t="shared" si="124"/>
        <v>1</v>
      </c>
      <c r="C972">
        <f t="shared" si="125"/>
        <v>0</v>
      </c>
      <c r="D972">
        <f t="shared" si="126"/>
        <v>1</v>
      </c>
      <c r="E972">
        <f t="shared" si="127"/>
        <v>0</v>
      </c>
      <c r="F972">
        <f t="shared" si="128"/>
        <v>1</v>
      </c>
      <c r="G972">
        <f t="shared" si="129"/>
        <v>1</v>
      </c>
      <c r="H972">
        <v>1</v>
      </c>
      <c r="I972">
        <f t="shared" si="130"/>
        <v>0</v>
      </c>
      <c r="J972">
        <f t="shared" si="122"/>
        <v>25.198859214782701</v>
      </c>
      <c r="K972" t="s">
        <v>2334</v>
      </c>
      <c r="L972" t="s">
        <v>2335</v>
      </c>
      <c r="M972" t="s">
        <v>27</v>
      </c>
      <c r="N972" t="s">
        <v>27</v>
      </c>
      <c r="O972">
        <v>6.93</v>
      </c>
      <c r="P972">
        <v>18.8327522277832</v>
      </c>
      <c r="Q972">
        <v>17.5397434234619</v>
      </c>
      <c r="R972">
        <v>16.549999237060501</v>
      </c>
      <c r="S972">
        <v>6.4375</v>
      </c>
      <c r="T972">
        <v>53.479763031005902</v>
      </c>
      <c r="U972">
        <v>35.712551116943402</v>
      </c>
      <c r="V972">
        <v>-2278000</v>
      </c>
      <c r="W972">
        <v>9.6507244110107404</v>
      </c>
      <c r="X972">
        <v>0.230000004172325</v>
      </c>
      <c r="Y972">
        <v>6.7692308425903303</v>
      </c>
      <c r="Z972">
        <v>7.6591157913207999</v>
      </c>
      <c r="AA972">
        <v>22084000</v>
      </c>
      <c r="AB972" t="s">
        <v>30</v>
      </c>
      <c r="AC972" t="s">
        <v>223</v>
      </c>
      <c r="AD972">
        <v>0.270000010728836</v>
      </c>
      <c r="AE972">
        <v>36.53955078125</v>
      </c>
      <c r="AF972">
        <v>6.2356650666666704</v>
      </c>
      <c r="AG972">
        <v>25814980</v>
      </c>
      <c r="AH972">
        <v>48.409519195556598</v>
      </c>
      <c r="AI972">
        <v>16.260715484619102</v>
      </c>
    </row>
    <row r="973" spans="1:35">
      <c r="A973">
        <f t="shared" si="123"/>
        <v>0</v>
      </c>
      <c r="B973">
        <f t="shared" si="124"/>
        <v>0</v>
      </c>
      <c r="C973">
        <f t="shared" si="125"/>
        <v>0</v>
      </c>
      <c r="D973">
        <f t="shared" si="126"/>
        <v>0</v>
      </c>
      <c r="E973">
        <f t="shared" si="127"/>
        <v>0</v>
      </c>
      <c r="F973">
        <f t="shared" si="128"/>
        <v>1</v>
      </c>
      <c r="G973">
        <f t="shared" si="129"/>
        <v>0</v>
      </c>
      <c r="H973">
        <v>1</v>
      </c>
      <c r="I973">
        <f t="shared" si="130"/>
        <v>0</v>
      </c>
      <c r="J973">
        <f t="shared" si="122"/>
        <v>25.197129249572711</v>
      </c>
      <c r="K973" t="s">
        <v>3597</v>
      </c>
      <c r="L973" t="s">
        <v>3598</v>
      </c>
      <c r="M973" t="s">
        <v>27</v>
      </c>
      <c r="N973" t="s">
        <v>27</v>
      </c>
      <c r="O973">
        <v>15.46</v>
      </c>
      <c r="P973">
        <v>21.6059246063232</v>
      </c>
      <c r="Q973">
        <v>16.872154235839801</v>
      </c>
      <c r="R973">
        <v>19</v>
      </c>
      <c r="S973">
        <v>21.059999465942401</v>
      </c>
      <c r="T973">
        <v>46.460006713867202</v>
      </c>
      <c r="U973">
        <v>66.770324707031307</v>
      </c>
      <c r="V973">
        <v>-40300000</v>
      </c>
      <c r="W973">
        <v>9.7560977935790998</v>
      </c>
      <c r="X973">
        <v>9.00000035762787E-2</v>
      </c>
      <c r="Y973">
        <v>9.7777776718139595</v>
      </c>
      <c r="Z973">
        <v>8.3249750137329102</v>
      </c>
      <c r="AA973">
        <v>57755000</v>
      </c>
      <c r="AB973" t="s">
        <v>30</v>
      </c>
      <c r="AC973" t="s">
        <v>410</v>
      </c>
      <c r="AD973">
        <v>-0.20999999344348899</v>
      </c>
      <c r="AE973">
        <v>65.632858276367202</v>
      </c>
      <c r="AF973">
        <v>7.3057920371445197</v>
      </c>
      <c r="AG973">
        <v>58116000</v>
      </c>
      <c r="AH973">
        <v>52.0796928405762</v>
      </c>
      <c r="AI973">
        <v>9.1036157608032209</v>
      </c>
    </row>
    <row r="974" spans="1:35">
      <c r="A974">
        <f t="shared" si="123"/>
        <v>1</v>
      </c>
      <c r="B974">
        <f t="shared" si="124"/>
        <v>1</v>
      </c>
      <c r="C974">
        <f t="shared" si="125"/>
        <v>0</v>
      </c>
      <c r="D974">
        <f t="shared" si="126"/>
        <v>1</v>
      </c>
      <c r="E974">
        <f t="shared" si="127"/>
        <v>0</v>
      </c>
      <c r="F974">
        <f t="shared" si="128"/>
        <v>1</v>
      </c>
      <c r="G974">
        <f t="shared" si="129"/>
        <v>1</v>
      </c>
      <c r="H974">
        <v>1</v>
      </c>
      <c r="I974">
        <f t="shared" si="130"/>
        <v>0</v>
      </c>
      <c r="J974">
        <f t="shared" si="122"/>
        <v>25.153458595275801</v>
      </c>
      <c r="K974" t="s">
        <v>3665</v>
      </c>
      <c r="L974" t="s">
        <v>3666</v>
      </c>
      <c r="M974" t="s">
        <v>27</v>
      </c>
      <c r="N974" t="s">
        <v>27</v>
      </c>
      <c r="O974">
        <v>36.93</v>
      </c>
      <c r="P974">
        <v>11.6775560379028</v>
      </c>
      <c r="Q974">
        <v>11.848094940185501</v>
      </c>
      <c r="R974">
        <v>36.580001831054702</v>
      </c>
      <c r="S974">
        <v>31.5</v>
      </c>
      <c r="T974">
        <v>40.745315551757798</v>
      </c>
      <c r="U974">
        <v>18.683088302612301</v>
      </c>
      <c r="V974">
        <v>-93240000</v>
      </c>
      <c r="W974">
        <v>6.3712310791015598</v>
      </c>
      <c r="X974">
        <v>0.88999998569488503</v>
      </c>
      <c r="Y974">
        <v>13.4468078613281</v>
      </c>
      <c r="Z974">
        <v>13.3053636550903</v>
      </c>
      <c r="AA974">
        <v>27738000</v>
      </c>
      <c r="AB974" t="s">
        <v>194</v>
      </c>
      <c r="AC974" t="s">
        <v>213</v>
      </c>
      <c r="AD974">
        <v>1.03999996185303</v>
      </c>
      <c r="AE974">
        <v>18.8952541351318</v>
      </c>
      <c r="AF974">
        <v>6.50401263670964</v>
      </c>
      <c r="AG974">
        <v>26979000</v>
      </c>
      <c r="AH974">
        <v>39.310905456542997</v>
      </c>
      <c r="AI974">
        <v>6.3826498985290501</v>
      </c>
    </row>
    <row r="975" spans="1:35">
      <c r="A975">
        <f t="shared" si="123"/>
        <v>1</v>
      </c>
      <c r="B975">
        <f t="shared" si="124"/>
        <v>0</v>
      </c>
      <c r="C975">
        <f t="shared" si="125"/>
        <v>1</v>
      </c>
      <c r="D975">
        <f t="shared" si="126"/>
        <v>0</v>
      </c>
      <c r="E975">
        <f t="shared" si="127"/>
        <v>0</v>
      </c>
      <c r="F975">
        <f t="shared" si="128"/>
        <v>1</v>
      </c>
      <c r="G975">
        <f t="shared" si="129"/>
        <v>0</v>
      </c>
      <c r="H975">
        <v>1</v>
      </c>
      <c r="I975">
        <f t="shared" si="130"/>
        <v>1</v>
      </c>
      <c r="J975">
        <f t="shared" si="122"/>
        <v>25.127919197082484</v>
      </c>
      <c r="K975" t="s">
        <v>1754</v>
      </c>
      <c r="L975" t="s">
        <v>1755</v>
      </c>
      <c r="M975" t="s">
        <v>27</v>
      </c>
      <c r="N975" t="s">
        <v>27</v>
      </c>
      <c r="O975">
        <v>19.600000000000001</v>
      </c>
      <c r="P975">
        <v>116.503692626953</v>
      </c>
      <c r="Q975">
        <v>16.061252593994102</v>
      </c>
      <c r="R975">
        <v>17.5</v>
      </c>
      <c r="S975">
        <v>13</v>
      </c>
      <c r="T975">
        <v>2.1552178859710698</v>
      </c>
      <c r="U975" t="s">
        <v>27</v>
      </c>
      <c r="V975" t="s">
        <v>27</v>
      </c>
      <c r="W975">
        <v>1.78515696525574</v>
      </c>
      <c r="X975">
        <v>0.41999998688697798</v>
      </c>
      <c r="Y975">
        <v>22.6708469390869</v>
      </c>
      <c r="Z975">
        <v>9.0666666030883807</v>
      </c>
      <c r="AA975">
        <v>7898000</v>
      </c>
      <c r="AB975" t="s">
        <v>34</v>
      </c>
      <c r="AC975" t="s">
        <v>447</v>
      </c>
      <c r="AD975">
        <v>0.37999999523162797</v>
      </c>
      <c r="AE975" t="s">
        <v>27</v>
      </c>
      <c r="AF975" t="s">
        <v>27</v>
      </c>
      <c r="AG975">
        <v>7786000</v>
      </c>
      <c r="AH975">
        <v>1.93336594104767</v>
      </c>
      <c r="AI975">
        <v>1.63346600532532</v>
      </c>
    </row>
    <row r="976" spans="1:35">
      <c r="A976">
        <f t="shared" si="123"/>
        <v>0</v>
      </c>
      <c r="B976">
        <f t="shared" si="124"/>
        <v>0</v>
      </c>
      <c r="C976">
        <f t="shared" si="125"/>
        <v>1</v>
      </c>
      <c r="D976">
        <f t="shared" si="126"/>
        <v>0</v>
      </c>
      <c r="E976">
        <f t="shared" si="127"/>
        <v>0</v>
      </c>
      <c r="F976">
        <f t="shared" si="128"/>
        <v>1</v>
      </c>
      <c r="G976">
        <f t="shared" si="129"/>
        <v>0</v>
      </c>
      <c r="H976">
        <v>1</v>
      </c>
      <c r="I976">
        <f t="shared" si="130"/>
        <v>0</v>
      </c>
      <c r="J976">
        <f t="shared" si="122"/>
        <v>25.049214363098152</v>
      </c>
      <c r="K976" t="s">
        <v>2036</v>
      </c>
      <c r="L976" t="s">
        <v>2037</v>
      </c>
      <c r="M976" t="s">
        <v>27</v>
      </c>
      <c r="N976" t="s">
        <v>27</v>
      </c>
      <c r="O976">
        <v>14.14</v>
      </c>
      <c r="P976">
        <v>29.9393005371094</v>
      </c>
      <c r="Q976">
        <v>19.285667419433601</v>
      </c>
      <c r="R976">
        <v>25.100000381469702</v>
      </c>
      <c r="S976">
        <v>49.4375</v>
      </c>
      <c r="T976">
        <v>0</v>
      </c>
      <c r="U976">
        <v>63.287704467773402</v>
      </c>
      <c r="V976">
        <v>11715000</v>
      </c>
      <c r="W976">
        <v>19.990085601806602</v>
      </c>
      <c r="X976">
        <v>0.40999999642372098</v>
      </c>
      <c r="Y976">
        <v>3.46456694602966</v>
      </c>
      <c r="Z976">
        <v>5.7635469436645499</v>
      </c>
      <c r="AA976">
        <v>22119000</v>
      </c>
      <c r="AB976" t="s">
        <v>30</v>
      </c>
      <c r="AC976" t="s">
        <v>945</v>
      </c>
      <c r="AD976">
        <v>0.140000000596046</v>
      </c>
      <c r="AE976">
        <v>57.186618804931598</v>
      </c>
      <c r="AF976">
        <v>8.2815943962641807</v>
      </c>
      <c r="AG976">
        <v>18929000</v>
      </c>
      <c r="AH976">
        <v>0</v>
      </c>
      <c r="AI976">
        <v>12.6431722640991</v>
      </c>
    </row>
    <row r="977" spans="1:35">
      <c r="A977">
        <f t="shared" si="123"/>
        <v>1</v>
      </c>
      <c r="B977">
        <f t="shared" si="124"/>
        <v>0</v>
      </c>
      <c r="C977">
        <f t="shared" si="125"/>
        <v>0</v>
      </c>
      <c r="D977">
        <f t="shared" si="126"/>
        <v>1</v>
      </c>
      <c r="E977">
        <f t="shared" si="127"/>
        <v>0</v>
      </c>
      <c r="F977">
        <f t="shared" si="128"/>
        <v>1</v>
      </c>
      <c r="G977">
        <f t="shared" si="129"/>
        <v>1</v>
      </c>
      <c r="H977">
        <v>1</v>
      </c>
      <c r="I977">
        <f t="shared" si="130"/>
        <v>0</v>
      </c>
      <c r="J977">
        <f t="shared" si="122"/>
        <v>25.002978324890101</v>
      </c>
      <c r="K977" t="s">
        <v>1058</v>
      </c>
      <c r="L977" t="s">
        <v>1059</v>
      </c>
      <c r="M977" t="s">
        <v>27</v>
      </c>
      <c r="N977" t="s">
        <v>27</v>
      </c>
      <c r="O977">
        <v>20.149999999999999</v>
      </c>
      <c r="P977">
        <v>25.5938835144043</v>
      </c>
      <c r="Q977">
        <v>20.8559474945068</v>
      </c>
      <c r="R977">
        <v>21.360000610351602</v>
      </c>
      <c r="S977">
        <v>23</v>
      </c>
      <c r="T977">
        <v>2.3979740142822301</v>
      </c>
      <c r="U977">
        <v>23.6744384765625</v>
      </c>
      <c r="V977">
        <v>-2993000</v>
      </c>
      <c r="W977">
        <v>23.129589080810501</v>
      </c>
      <c r="X977">
        <v>-0.129999995231628</v>
      </c>
      <c r="Y977">
        <v>4.2404370307922399</v>
      </c>
      <c r="Z977">
        <v>4.1470308303832999</v>
      </c>
      <c r="AA977">
        <v>38395000</v>
      </c>
      <c r="AB977" t="s">
        <v>27</v>
      </c>
      <c r="AC977" t="s">
        <v>27</v>
      </c>
      <c r="AD977">
        <v>-0.119999997317791</v>
      </c>
      <c r="AE977">
        <v>33.975528717041001</v>
      </c>
      <c r="AF977">
        <v>12.2767972262853</v>
      </c>
      <c r="AG977">
        <v>38355000</v>
      </c>
      <c r="AH977">
        <v>2.15813088417053</v>
      </c>
      <c r="AI977">
        <v>8.0600757598877006</v>
      </c>
    </row>
    <row r="978" spans="1:35">
      <c r="A978">
        <f t="shared" si="123"/>
        <v>0</v>
      </c>
      <c r="B978">
        <f t="shared" si="124"/>
        <v>0</v>
      </c>
      <c r="C978">
        <f t="shared" si="125"/>
        <v>0</v>
      </c>
      <c r="D978">
        <f t="shared" si="126"/>
        <v>0</v>
      </c>
      <c r="E978">
        <f t="shared" si="127"/>
        <v>0</v>
      </c>
      <c r="F978">
        <f t="shared" si="128"/>
        <v>1</v>
      </c>
      <c r="G978">
        <f t="shared" si="129"/>
        <v>1</v>
      </c>
      <c r="H978">
        <v>1</v>
      </c>
      <c r="I978">
        <f t="shared" si="130"/>
        <v>0</v>
      </c>
      <c r="J978">
        <f t="shared" si="122"/>
        <v>24.989077568054199</v>
      </c>
      <c r="K978" t="s">
        <v>534</v>
      </c>
      <c r="L978" t="s">
        <v>535</v>
      </c>
      <c r="M978" t="s">
        <v>27</v>
      </c>
      <c r="N978" t="s">
        <v>27</v>
      </c>
      <c r="O978">
        <v>24.22</v>
      </c>
      <c r="P978">
        <v>10.593452453613301</v>
      </c>
      <c r="Q978">
        <v>11.3259057998657</v>
      </c>
      <c r="R978">
        <v>28.860000610351602</v>
      </c>
      <c r="S978">
        <v>38.209999084472699</v>
      </c>
      <c r="T978">
        <v>39.112476348877003</v>
      </c>
      <c r="U978">
        <v>17.566755294799801</v>
      </c>
      <c r="V978">
        <v>-185378992</v>
      </c>
      <c r="W978">
        <v>6.0374178886413601</v>
      </c>
      <c r="X978">
        <v>0.70999997854232799</v>
      </c>
      <c r="Y978">
        <v>7.1269488334655797</v>
      </c>
      <c r="Z978">
        <v>13.6631717681885</v>
      </c>
      <c r="AA978">
        <v>22938956</v>
      </c>
      <c r="AB978" t="s">
        <v>254</v>
      </c>
      <c r="AC978" t="s">
        <v>426</v>
      </c>
      <c r="AD978">
        <v>0.61000001430511497</v>
      </c>
      <c r="AE978">
        <v>80.298057556152301</v>
      </c>
      <c r="AF978">
        <v>8.7114743188425603</v>
      </c>
      <c r="AG978">
        <v>26510000</v>
      </c>
      <c r="AH978">
        <v>47.094856262207003</v>
      </c>
      <c r="AI978">
        <v>5.3145298957824698</v>
      </c>
    </row>
    <row r="979" spans="1:35">
      <c r="A979">
        <f t="shared" si="123"/>
        <v>1</v>
      </c>
      <c r="B979">
        <f t="shared" si="124"/>
        <v>1</v>
      </c>
      <c r="C979">
        <f t="shared" si="125"/>
        <v>0</v>
      </c>
      <c r="D979">
        <f t="shared" si="126"/>
        <v>0</v>
      </c>
      <c r="E979">
        <f t="shared" si="127"/>
        <v>0</v>
      </c>
      <c r="F979">
        <f t="shared" si="128"/>
        <v>1</v>
      </c>
      <c r="G979">
        <f t="shared" si="129"/>
        <v>0</v>
      </c>
      <c r="H979">
        <v>1</v>
      </c>
      <c r="I979">
        <f t="shared" si="130"/>
        <v>0</v>
      </c>
      <c r="J979">
        <f t="shared" si="122"/>
        <v>24.957051277160609</v>
      </c>
      <c r="K979" t="s">
        <v>1488</v>
      </c>
      <c r="L979" t="s">
        <v>1489</v>
      </c>
      <c r="M979" t="s">
        <v>27</v>
      </c>
      <c r="N979" t="s">
        <v>27</v>
      </c>
      <c r="O979">
        <v>16.63</v>
      </c>
      <c r="P979">
        <v>17.193975448608398</v>
      </c>
      <c r="Q979">
        <v>16.948621749877901</v>
      </c>
      <c r="R979">
        <v>25.379999160766602</v>
      </c>
      <c r="S979">
        <v>25.079999923706101</v>
      </c>
      <c r="T979">
        <v>31.013465881347699</v>
      </c>
      <c r="U979">
        <v>46.944103240966797</v>
      </c>
      <c r="V979">
        <v>-12090000</v>
      </c>
      <c r="W979">
        <v>8.5218858718872106</v>
      </c>
      <c r="X979">
        <v>0.40999999642372098</v>
      </c>
      <c r="Y979">
        <v>8.25396823883057</v>
      </c>
      <c r="Z979">
        <v>8.0084295272827095</v>
      </c>
      <c r="AA979">
        <v>21452000</v>
      </c>
      <c r="AB979" t="s">
        <v>30</v>
      </c>
      <c r="AC979" t="s">
        <v>68</v>
      </c>
      <c r="AD979">
        <v>0.33000001311302202</v>
      </c>
      <c r="AE979">
        <v>46.202064514160199</v>
      </c>
      <c r="AF979">
        <v>5.3414244975090197</v>
      </c>
      <c r="AG979">
        <v>22291220</v>
      </c>
      <c r="AH979">
        <v>27.9519939422607</v>
      </c>
      <c r="AI979">
        <v>9.0606861114502006</v>
      </c>
    </row>
    <row r="980" spans="1:35">
      <c r="A980">
        <f t="shared" si="123"/>
        <v>1</v>
      </c>
      <c r="B980">
        <f t="shared" si="124"/>
        <v>0</v>
      </c>
      <c r="C980">
        <f t="shared" si="125"/>
        <v>0</v>
      </c>
      <c r="D980">
        <f t="shared" si="126"/>
        <v>0</v>
      </c>
      <c r="E980">
        <f t="shared" si="127"/>
        <v>0</v>
      </c>
      <c r="F980">
        <f t="shared" si="128"/>
        <v>1</v>
      </c>
      <c r="G980">
        <f t="shared" si="129"/>
        <v>0</v>
      </c>
      <c r="H980">
        <v>1</v>
      </c>
      <c r="I980">
        <f t="shared" si="130"/>
        <v>0</v>
      </c>
      <c r="J980">
        <f t="shared" si="122"/>
        <v>24.881608963012702</v>
      </c>
      <c r="K980" t="s">
        <v>1856</v>
      </c>
      <c r="L980" t="s">
        <v>1857</v>
      </c>
      <c r="M980" t="s">
        <v>27</v>
      </c>
      <c r="N980" t="s">
        <v>27</v>
      </c>
      <c r="O980">
        <v>6.17</v>
      </c>
      <c r="P980">
        <v>22.729505538940401</v>
      </c>
      <c r="Q980">
        <v>15.454856872558601</v>
      </c>
      <c r="R980">
        <v>12.0900001525879</v>
      </c>
      <c r="S980">
        <v>12.4899997711182</v>
      </c>
      <c r="T980">
        <v>3.2812669277191202</v>
      </c>
      <c r="U980">
        <v>39.807083129882798</v>
      </c>
      <c r="V980">
        <v>-16200000</v>
      </c>
      <c r="W980">
        <v>12.362479209899901</v>
      </c>
      <c r="X980">
        <v>0.18999999761581399</v>
      </c>
      <c r="Y980">
        <v>5.8874459266662598</v>
      </c>
      <c r="Z980">
        <v>9.4267520904540998</v>
      </c>
      <c r="AA980">
        <v>27611000</v>
      </c>
      <c r="AB980" t="s">
        <v>27</v>
      </c>
      <c r="AC980" t="s">
        <v>27</v>
      </c>
      <c r="AD980">
        <v>7.0000000298023196E-2</v>
      </c>
      <c r="AE980">
        <v>39.288440704345703</v>
      </c>
      <c r="AF980">
        <v>4.1803683137924299</v>
      </c>
      <c r="AG980">
        <v>26486000</v>
      </c>
      <c r="AH980">
        <v>0</v>
      </c>
      <c r="AI980">
        <v>11.107963562011699</v>
      </c>
    </row>
    <row r="981" spans="1:35">
      <c r="A981">
        <f t="shared" si="123"/>
        <v>0</v>
      </c>
      <c r="B981">
        <f t="shared" si="124"/>
        <v>0</v>
      </c>
      <c r="C981">
        <f t="shared" si="125"/>
        <v>0</v>
      </c>
      <c r="D981">
        <f t="shared" si="126"/>
        <v>0</v>
      </c>
      <c r="E981">
        <f t="shared" si="127"/>
        <v>0</v>
      </c>
      <c r="F981">
        <f t="shared" si="128"/>
        <v>1</v>
      </c>
      <c r="G981">
        <f t="shared" si="129"/>
        <v>0</v>
      </c>
      <c r="H981">
        <v>1</v>
      </c>
      <c r="I981">
        <f t="shared" si="130"/>
        <v>1</v>
      </c>
      <c r="J981">
        <f t="shared" si="122"/>
        <v>24.8516654968262</v>
      </c>
      <c r="K981" t="s">
        <v>1692</v>
      </c>
      <c r="L981" t="s">
        <v>1693</v>
      </c>
      <c r="M981" t="s">
        <v>27</v>
      </c>
      <c r="N981" t="s">
        <v>27</v>
      </c>
      <c r="O981">
        <v>10.8</v>
      </c>
      <c r="P981">
        <v>19.8447456359863</v>
      </c>
      <c r="Q981">
        <v>11.4431800842285</v>
      </c>
      <c r="R981">
        <v>7.9166666666666696</v>
      </c>
      <c r="S981">
        <v>8.9962121212121193</v>
      </c>
      <c r="T981">
        <v>2.8137950897216801</v>
      </c>
      <c r="U981" t="s">
        <v>27</v>
      </c>
      <c r="V981">
        <v>-692000.0625</v>
      </c>
      <c r="W981">
        <v>1.84340500831604</v>
      </c>
      <c r="X981">
        <v>0.25833332628914801</v>
      </c>
      <c r="Y981">
        <v>8.6252870559692401</v>
      </c>
      <c r="Z981">
        <v>13.408485412597701</v>
      </c>
      <c r="AA981">
        <v>7809120</v>
      </c>
      <c r="AB981" t="s">
        <v>27</v>
      </c>
      <c r="AC981" t="s">
        <v>27</v>
      </c>
      <c r="AD981">
        <v>0.21999999880790699</v>
      </c>
      <c r="AE981" t="s">
        <v>27</v>
      </c>
      <c r="AF981" t="s">
        <v>27</v>
      </c>
      <c r="AG981">
        <v>12543600</v>
      </c>
      <c r="AH981">
        <v>5.5654869079589799</v>
      </c>
      <c r="AI981">
        <v>1.5039919614791899</v>
      </c>
    </row>
    <row r="982" spans="1:35">
      <c r="A982">
        <f t="shared" si="123"/>
        <v>0</v>
      </c>
      <c r="B982">
        <f t="shared" si="124"/>
        <v>1</v>
      </c>
      <c r="C982">
        <f t="shared" si="125"/>
        <v>0</v>
      </c>
      <c r="D982">
        <f t="shared" si="126"/>
        <v>0</v>
      </c>
      <c r="E982">
        <f t="shared" si="127"/>
        <v>0</v>
      </c>
      <c r="F982">
        <f t="shared" si="128"/>
        <v>1</v>
      </c>
      <c r="G982">
        <f t="shared" si="129"/>
        <v>0</v>
      </c>
      <c r="H982">
        <v>1</v>
      </c>
      <c r="I982">
        <f t="shared" si="130"/>
        <v>0</v>
      </c>
      <c r="J982">
        <f t="shared" si="122"/>
        <v>24.675462722778299</v>
      </c>
      <c r="K982" t="s">
        <v>1445</v>
      </c>
      <c r="L982" t="s">
        <v>1446</v>
      </c>
      <c r="M982" t="s">
        <v>27</v>
      </c>
      <c r="N982" t="s">
        <v>27</v>
      </c>
      <c r="O982">
        <v>4.55</v>
      </c>
      <c r="P982">
        <v>45.6408081054688</v>
      </c>
      <c r="Q982">
        <v>13.3630628585815</v>
      </c>
      <c r="R982">
        <v>22.190000534057599</v>
      </c>
      <c r="S982">
        <v>22.0416666666667</v>
      </c>
      <c r="T982">
        <v>0.15225599706172899</v>
      </c>
      <c r="U982" t="s">
        <v>27</v>
      </c>
      <c r="V982">
        <v>-67957000</v>
      </c>
      <c r="W982">
        <v>17.585931777954102</v>
      </c>
      <c r="X982">
        <v>0.75333333015441895</v>
      </c>
      <c r="Y982">
        <v>12.3987140655518</v>
      </c>
      <c r="Z982">
        <v>11.3123998641968</v>
      </c>
      <c r="AA982">
        <v>27001500</v>
      </c>
      <c r="AB982" t="s">
        <v>27</v>
      </c>
      <c r="AC982" t="s">
        <v>27</v>
      </c>
      <c r="AD982">
        <v>0.259999990463257</v>
      </c>
      <c r="AE982" t="s">
        <v>27</v>
      </c>
      <c r="AF982">
        <v>20.458521854778201</v>
      </c>
      <c r="AG982">
        <v>28392000</v>
      </c>
      <c r="AH982">
        <v>19.2130737304688</v>
      </c>
      <c r="AI982">
        <v>22.726160049438501</v>
      </c>
    </row>
    <row r="983" spans="1:35">
      <c r="A983">
        <f t="shared" si="123"/>
        <v>0</v>
      </c>
      <c r="B983">
        <f t="shared" si="124"/>
        <v>1</v>
      </c>
      <c r="C983">
        <f t="shared" si="125"/>
        <v>1</v>
      </c>
      <c r="D983">
        <f t="shared" si="126"/>
        <v>0</v>
      </c>
      <c r="E983">
        <f t="shared" si="127"/>
        <v>0</v>
      </c>
      <c r="F983">
        <f t="shared" si="128"/>
        <v>1</v>
      </c>
      <c r="G983">
        <f t="shared" si="129"/>
        <v>0</v>
      </c>
      <c r="H983">
        <v>1</v>
      </c>
      <c r="I983">
        <f t="shared" si="130"/>
        <v>0</v>
      </c>
      <c r="J983">
        <f t="shared" si="122"/>
        <v>24.650144577026321</v>
      </c>
      <c r="K983" t="s">
        <v>3007</v>
      </c>
      <c r="L983" t="s">
        <v>3008</v>
      </c>
      <c r="M983" t="s">
        <v>27</v>
      </c>
      <c r="N983" t="s">
        <v>27</v>
      </c>
      <c r="O983">
        <v>34.44</v>
      </c>
      <c r="P983">
        <v>19.9965915679932</v>
      </c>
      <c r="Q983">
        <v>15.7944593429565</v>
      </c>
      <c r="R983">
        <v>40.150001525878899</v>
      </c>
      <c r="S983">
        <v>23.625</v>
      </c>
      <c r="T983">
        <v>0</v>
      </c>
      <c r="U983">
        <v>7.1630220413207999</v>
      </c>
      <c r="V983">
        <v>6573001</v>
      </c>
      <c r="W983">
        <v>5.7931671142578098</v>
      </c>
      <c r="X983">
        <v>0.57999998331069902</v>
      </c>
      <c r="Y983">
        <v>12.111731529235801</v>
      </c>
      <c r="Z983">
        <v>8.8556852340698207</v>
      </c>
      <c r="AA983">
        <v>19330000</v>
      </c>
      <c r="AB983" t="s">
        <v>27</v>
      </c>
      <c r="AC983" t="s">
        <v>27</v>
      </c>
      <c r="AD983">
        <v>0.43999999761581399</v>
      </c>
      <c r="AE983">
        <v>6.2046260833740199</v>
      </c>
      <c r="AF983">
        <v>6.4143928199605096</v>
      </c>
      <c r="AG983">
        <v>19224000</v>
      </c>
      <c r="AH983">
        <v>0</v>
      </c>
      <c r="AI983">
        <v>6.6449131965637198</v>
      </c>
    </row>
    <row r="984" spans="1:35">
      <c r="A984">
        <f t="shared" si="123"/>
        <v>0</v>
      </c>
      <c r="B984">
        <f t="shared" si="124"/>
        <v>1</v>
      </c>
      <c r="C984">
        <f t="shared" si="125"/>
        <v>0</v>
      </c>
      <c r="D984">
        <f t="shared" si="126"/>
        <v>0</v>
      </c>
      <c r="E984">
        <f t="shared" si="127"/>
        <v>0</v>
      </c>
      <c r="F984">
        <f t="shared" si="128"/>
        <v>1</v>
      </c>
      <c r="G984">
        <f t="shared" si="129"/>
        <v>0</v>
      </c>
      <c r="H984">
        <v>1</v>
      </c>
      <c r="I984">
        <f t="shared" si="130"/>
        <v>0</v>
      </c>
      <c r="J984">
        <f t="shared" si="122"/>
        <v>24.617764472961397</v>
      </c>
      <c r="K984" t="s">
        <v>2799</v>
      </c>
      <c r="L984" t="s">
        <v>2800</v>
      </c>
      <c r="M984" t="s">
        <v>27</v>
      </c>
      <c r="N984" t="s">
        <v>27</v>
      </c>
      <c r="O984">
        <v>4.5910000000000002</v>
      </c>
      <c r="P984">
        <v>17.802524566650401</v>
      </c>
      <c r="Q984">
        <v>11.642557144165</v>
      </c>
      <c r="R984">
        <v>13.5</v>
      </c>
      <c r="S984">
        <v>16.8125</v>
      </c>
      <c r="T984">
        <v>39.237087249755902</v>
      </c>
      <c r="U984">
        <v>33.908580780029297</v>
      </c>
      <c r="V984">
        <v>-49855000</v>
      </c>
      <c r="W984">
        <v>11.758726119995099</v>
      </c>
      <c r="X984">
        <v>-0.140000000596046</v>
      </c>
      <c r="Y984">
        <v>12.064516067504901</v>
      </c>
      <c r="Z984">
        <v>12.975207328796399</v>
      </c>
      <c r="AA984">
        <v>16809000</v>
      </c>
      <c r="AB984" t="s">
        <v>30</v>
      </c>
      <c r="AC984" t="s">
        <v>68</v>
      </c>
      <c r="AD984">
        <v>-0.80000001192092896</v>
      </c>
      <c r="AE984">
        <v>28.177909851074201</v>
      </c>
      <c r="AF984">
        <v>13.3382684709352</v>
      </c>
      <c r="AG984">
        <v>17280888</v>
      </c>
      <c r="AH984">
        <v>44.0060844421387</v>
      </c>
      <c r="AI984">
        <v>13.836231231689499</v>
      </c>
    </row>
    <row r="985" spans="1:35">
      <c r="A985">
        <f t="shared" si="123"/>
        <v>0</v>
      </c>
      <c r="B985">
        <f t="shared" si="124"/>
        <v>0</v>
      </c>
      <c r="C985">
        <f t="shared" si="125"/>
        <v>1</v>
      </c>
      <c r="D985">
        <f t="shared" si="126"/>
        <v>0</v>
      </c>
      <c r="E985">
        <f t="shared" si="127"/>
        <v>0</v>
      </c>
      <c r="F985">
        <f t="shared" si="128"/>
        <v>1</v>
      </c>
      <c r="G985">
        <f t="shared" si="129"/>
        <v>0</v>
      </c>
      <c r="H985">
        <v>1</v>
      </c>
      <c r="I985">
        <f t="shared" si="130"/>
        <v>1</v>
      </c>
      <c r="J985">
        <f t="shared" si="122"/>
        <v>24.613976001739502</v>
      </c>
      <c r="K985" t="s">
        <v>1089</v>
      </c>
      <c r="L985" t="s">
        <v>1090</v>
      </c>
      <c r="M985" t="s">
        <v>27</v>
      </c>
      <c r="N985" t="s">
        <v>27</v>
      </c>
      <c r="O985">
        <v>31.19</v>
      </c>
      <c r="P985">
        <v>26.103843688964801</v>
      </c>
      <c r="Q985">
        <v>19.221429824829102</v>
      </c>
      <c r="R985">
        <v>25.700000762939499</v>
      </c>
      <c r="S985">
        <v>34</v>
      </c>
      <c r="T985">
        <v>2.3663299083709699</v>
      </c>
      <c r="U985">
        <v>65.944931030273395</v>
      </c>
      <c r="V985">
        <v>7477999.5</v>
      </c>
      <c r="W985">
        <v>21.975488662719702</v>
      </c>
      <c r="X985">
        <v>0.30000001192092901</v>
      </c>
      <c r="Y985">
        <v>5.2850680351257298</v>
      </c>
      <c r="Z985">
        <v>5.3925461769104004</v>
      </c>
      <c r="AA985">
        <v>22051000</v>
      </c>
      <c r="AB985" t="s">
        <v>27</v>
      </c>
      <c r="AC985" t="s">
        <v>27</v>
      </c>
      <c r="AD985">
        <v>0.239999994635582</v>
      </c>
      <c r="AE985">
        <v>63.591415405273402</v>
      </c>
      <c r="AF985">
        <v>14.061847592270301</v>
      </c>
      <c r="AG985">
        <v>22001000</v>
      </c>
      <c r="AH985">
        <v>2.66672706604004</v>
      </c>
      <c r="AI985">
        <v>18.647705078125</v>
      </c>
    </row>
    <row r="986" spans="1:35">
      <c r="A986">
        <f t="shared" si="123"/>
        <v>1</v>
      </c>
      <c r="B986">
        <f t="shared" si="124"/>
        <v>0</v>
      </c>
      <c r="C986">
        <f t="shared" si="125"/>
        <v>1</v>
      </c>
      <c r="D986">
        <f t="shared" si="126"/>
        <v>0</v>
      </c>
      <c r="E986">
        <f t="shared" si="127"/>
        <v>0</v>
      </c>
      <c r="F986">
        <f t="shared" si="128"/>
        <v>1</v>
      </c>
      <c r="G986">
        <f t="shared" si="129"/>
        <v>0</v>
      </c>
      <c r="H986">
        <v>1</v>
      </c>
      <c r="I986">
        <f t="shared" si="130"/>
        <v>0</v>
      </c>
      <c r="J986">
        <f t="shared" si="122"/>
        <v>24.574280738830581</v>
      </c>
      <c r="K986" t="s">
        <v>1123</v>
      </c>
      <c r="L986" t="s">
        <v>1124</v>
      </c>
      <c r="M986" t="s">
        <v>27</v>
      </c>
      <c r="N986" t="s">
        <v>27</v>
      </c>
      <c r="O986">
        <v>9.49</v>
      </c>
      <c r="P986">
        <v>-19.6799831390381</v>
      </c>
      <c r="Q986">
        <v>2.9926919937133798</v>
      </c>
      <c r="R986">
        <v>11.8500003814697</v>
      </c>
      <c r="S986">
        <v>8.1875</v>
      </c>
      <c r="T986">
        <v>50.8030395507813</v>
      </c>
      <c r="U986">
        <v>15.9485626220703</v>
      </c>
      <c r="V986">
        <v>2687000.25</v>
      </c>
      <c r="W986" t="s">
        <v>27</v>
      </c>
      <c r="X986">
        <v>0.58999997377395597</v>
      </c>
      <c r="Y986">
        <v>40.392555236816399</v>
      </c>
      <c r="Z986">
        <v>21.581588745117202</v>
      </c>
      <c r="AA986">
        <v>17659000</v>
      </c>
      <c r="AB986" t="s">
        <v>27</v>
      </c>
      <c r="AC986" t="s">
        <v>27</v>
      </c>
      <c r="AD986">
        <v>-0.18999999761581399</v>
      </c>
      <c r="AE986">
        <v>13.3668575286865</v>
      </c>
      <c r="AF986">
        <v>5.6946580166821104</v>
      </c>
      <c r="AG986">
        <v>17768000</v>
      </c>
      <c r="AH986">
        <v>49.118358612060497</v>
      </c>
      <c r="AI986">
        <v>1.7400139570236199</v>
      </c>
    </row>
    <row r="987" spans="1:35">
      <c r="A987">
        <f t="shared" si="123"/>
        <v>0</v>
      </c>
      <c r="B987">
        <f t="shared" si="124"/>
        <v>1</v>
      </c>
      <c r="C987">
        <f t="shared" si="125"/>
        <v>1</v>
      </c>
      <c r="D987">
        <f t="shared" si="126"/>
        <v>1</v>
      </c>
      <c r="E987">
        <f t="shared" si="127"/>
        <v>0</v>
      </c>
      <c r="F987">
        <f t="shared" si="128"/>
        <v>1</v>
      </c>
      <c r="G987">
        <f t="shared" si="129"/>
        <v>1</v>
      </c>
      <c r="H987">
        <v>1</v>
      </c>
      <c r="I987">
        <f t="shared" si="130"/>
        <v>0</v>
      </c>
      <c r="J987">
        <f t="shared" si="122"/>
        <v>24.544744491577198</v>
      </c>
      <c r="K987" t="s">
        <v>3388</v>
      </c>
      <c r="L987" t="s">
        <v>3389</v>
      </c>
      <c r="M987" t="s">
        <v>27</v>
      </c>
      <c r="N987" t="s">
        <v>27</v>
      </c>
      <c r="O987">
        <v>7.95</v>
      </c>
      <c r="P987">
        <v>6.6755118370056197</v>
      </c>
      <c r="Q987">
        <v>12.510846138000501</v>
      </c>
      <c r="R987">
        <v>9.1999998092651403</v>
      </c>
      <c r="S987">
        <v>10.4375</v>
      </c>
      <c r="T987">
        <v>32.794742584228501</v>
      </c>
      <c r="U987">
        <v>34.730739593505902</v>
      </c>
      <c r="V987">
        <v>14708000</v>
      </c>
      <c r="W987">
        <v>-3.1678841114044198</v>
      </c>
      <c r="X987">
        <v>9.00000035762787E-2</v>
      </c>
      <c r="Y987">
        <v>2</v>
      </c>
      <c r="Z987">
        <v>12.033898353576699</v>
      </c>
      <c r="AA987">
        <v>67779000</v>
      </c>
      <c r="AB987" t="s">
        <v>328</v>
      </c>
      <c r="AC987" t="s">
        <v>403</v>
      </c>
      <c r="AD987">
        <v>0.21999999880790699</v>
      </c>
      <c r="AE987">
        <v>40.250064849853501</v>
      </c>
      <c r="AF987">
        <v>8.0791538820038191</v>
      </c>
      <c r="AG987">
        <v>68754000</v>
      </c>
      <c r="AH987">
        <v>44.319442749023402</v>
      </c>
      <c r="AI987">
        <v>5.1404690742492702</v>
      </c>
    </row>
    <row r="988" spans="1:35">
      <c r="A988">
        <f t="shared" si="123"/>
        <v>1</v>
      </c>
      <c r="B988">
        <f t="shared" si="124"/>
        <v>0</v>
      </c>
      <c r="C988">
        <f t="shared" si="125"/>
        <v>1</v>
      </c>
      <c r="D988">
        <f t="shared" si="126"/>
        <v>1</v>
      </c>
      <c r="E988">
        <f t="shared" si="127"/>
        <v>0</v>
      </c>
      <c r="F988">
        <f t="shared" si="128"/>
        <v>1</v>
      </c>
      <c r="G988">
        <f t="shared" si="129"/>
        <v>1</v>
      </c>
      <c r="H988">
        <v>1</v>
      </c>
      <c r="I988">
        <f t="shared" si="130"/>
        <v>1</v>
      </c>
      <c r="J988">
        <f t="shared" si="122"/>
        <v>24.45506000518801</v>
      </c>
      <c r="K988" t="s">
        <v>1433</v>
      </c>
      <c r="L988" t="s">
        <v>1434</v>
      </c>
      <c r="M988" t="s">
        <v>27</v>
      </c>
      <c r="N988" t="s">
        <v>27</v>
      </c>
      <c r="O988">
        <v>49.63</v>
      </c>
      <c r="P988">
        <v>21.370347976684599</v>
      </c>
      <c r="Q988">
        <v>18.413393020629901</v>
      </c>
      <c r="R988">
        <v>44.755001068115199</v>
      </c>
      <c r="S988">
        <v>35.5</v>
      </c>
      <c r="T988">
        <v>9.4861059188842791</v>
      </c>
      <c r="U988">
        <v>24.559425354003899</v>
      </c>
      <c r="V988">
        <v>27287000</v>
      </c>
      <c r="W988">
        <v>15.598314285278301</v>
      </c>
      <c r="X988">
        <v>0.31499999761581399</v>
      </c>
      <c r="Y988">
        <v>6.4782609939575204</v>
      </c>
      <c r="Z988">
        <v>6.0416669845581099</v>
      </c>
      <c r="AA988">
        <v>11100000</v>
      </c>
      <c r="AB988" t="s">
        <v>61</v>
      </c>
      <c r="AC988" t="s">
        <v>101</v>
      </c>
      <c r="AD988">
        <v>0.75</v>
      </c>
      <c r="AE988">
        <v>28.854133605956999</v>
      </c>
      <c r="AF988">
        <v>8.7804882635813897</v>
      </c>
      <c r="AG988">
        <v>10688000</v>
      </c>
      <c r="AH988">
        <v>8.4744653701782209</v>
      </c>
      <c r="AI988">
        <v>11.9084873199463</v>
      </c>
    </row>
    <row r="989" spans="1:35">
      <c r="A989">
        <f t="shared" si="123"/>
        <v>1</v>
      </c>
      <c r="B989">
        <f t="shared" si="124"/>
        <v>1</v>
      </c>
      <c r="C989">
        <f t="shared" si="125"/>
        <v>1</v>
      </c>
      <c r="D989">
        <f t="shared" si="126"/>
        <v>1</v>
      </c>
      <c r="E989">
        <f t="shared" si="127"/>
        <v>0</v>
      </c>
      <c r="F989">
        <f t="shared" si="128"/>
        <v>1</v>
      </c>
      <c r="G989">
        <f t="shared" si="129"/>
        <v>0</v>
      </c>
      <c r="H989">
        <v>1</v>
      </c>
      <c r="I989">
        <f t="shared" si="130"/>
        <v>0</v>
      </c>
      <c r="J989">
        <f t="shared" si="122"/>
        <v>24.400430679321271</v>
      </c>
      <c r="K989" t="s">
        <v>2062</v>
      </c>
      <c r="L989" t="s">
        <v>2063</v>
      </c>
      <c r="M989" t="s">
        <v>27</v>
      </c>
      <c r="N989" t="s">
        <v>27</v>
      </c>
      <c r="O989">
        <v>22.22</v>
      </c>
      <c r="P989">
        <v>16.7126979827881</v>
      </c>
      <c r="Q989">
        <v>15.499431610107401</v>
      </c>
      <c r="R989">
        <v>25.459999084472699</v>
      </c>
      <c r="S989">
        <v>18.4375</v>
      </c>
      <c r="T989">
        <v>10.220949172973601</v>
      </c>
      <c r="U989">
        <v>32.305591583252003</v>
      </c>
      <c r="V989">
        <v>42982000</v>
      </c>
      <c r="W989">
        <v>9.4897985458374006</v>
      </c>
      <c r="X989">
        <v>0.37000000476837203</v>
      </c>
      <c r="Y989">
        <v>15.399061203002899</v>
      </c>
      <c r="Z989">
        <v>8.9009990692138707</v>
      </c>
      <c r="AA989">
        <v>42330000</v>
      </c>
      <c r="AB989" t="s">
        <v>61</v>
      </c>
      <c r="AC989" t="s">
        <v>101</v>
      </c>
      <c r="AD989">
        <v>0.44999998807907099</v>
      </c>
      <c r="AE989">
        <v>30.504554748535199</v>
      </c>
      <c r="AF989">
        <v>6.7088913892790201</v>
      </c>
      <c r="AG989">
        <v>42357000</v>
      </c>
      <c r="AH989">
        <v>7.4500899314880398</v>
      </c>
      <c r="AI989">
        <v>9.9754867553710902</v>
      </c>
    </row>
    <row r="990" spans="1:35">
      <c r="A990">
        <f t="shared" si="123"/>
        <v>1</v>
      </c>
      <c r="B990">
        <f t="shared" si="124"/>
        <v>1</v>
      </c>
      <c r="C990">
        <f t="shared" si="125"/>
        <v>1</v>
      </c>
      <c r="D990">
        <f t="shared" si="126"/>
        <v>1</v>
      </c>
      <c r="E990">
        <f t="shared" si="127"/>
        <v>0</v>
      </c>
      <c r="F990">
        <f t="shared" si="128"/>
        <v>1</v>
      </c>
      <c r="G990">
        <f t="shared" si="129"/>
        <v>1</v>
      </c>
      <c r="H990">
        <v>1</v>
      </c>
      <c r="I990">
        <f t="shared" si="130"/>
        <v>1</v>
      </c>
      <c r="J990">
        <f t="shared" si="122"/>
        <v>24.365505218505902</v>
      </c>
      <c r="K990" t="s">
        <v>960</v>
      </c>
      <c r="L990" t="s">
        <v>961</v>
      </c>
      <c r="M990" t="s">
        <v>27</v>
      </c>
      <c r="N990" t="s">
        <v>27</v>
      </c>
      <c r="O990">
        <v>45.07</v>
      </c>
      <c r="P990">
        <v>12.644100189209</v>
      </c>
      <c r="Q990">
        <v>13.1158895492554</v>
      </c>
      <c r="R990">
        <v>35.450000762939503</v>
      </c>
      <c r="S990">
        <v>19.8333333333333</v>
      </c>
      <c r="T990">
        <v>22.2811985015869</v>
      </c>
      <c r="U990">
        <v>25.8543300628662</v>
      </c>
      <c r="V990">
        <v>9926000</v>
      </c>
      <c r="W990">
        <v>9.1010599136352504</v>
      </c>
      <c r="X990">
        <v>0.72666668891906705</v>
      </c>
      <c r="Y990">
        <v>10.8965520858765</v>
      </c>
      <c r="Z990">
        <v>11.249615669250501</v>
      </c>
      <c r="AA990">
        <v>5016000</v>
      </c>
      <c r="AB990" t="s">
        <v>61</v>
      </c>
      <c r="AC990" t="s">
        <v>77</v>
      </c>
      <c r="AD990">
        <v>1.0199999809265099</v>
      </c>
      <c r="AE990">
        <v>29.547657012939499</v>
      </c>
      <c r="AF990">
        <v>6.5148914243651097</v>
      </c>
      <c r="AG990">
        <v>5112000</v>
      </c>
      <c r="AH990">
        <v>12.4065399169922</v>
      </c>
      <c r="AI990">
        <v>9.5825357437133807</v>
      </c>
    </row>
    <row r="991" spans="1:35">
      <c r="A991">
        <f t="shared" si="123"/>
        <v>1</v>
      </c>
      <c r="B991">
        <f t="shared" si="124"/>
        <v>0</v>
      </c>
      <c r="C991">
        <f t="shared" si="125"/>
        <v>1</v>
      </c>
      <c r="D991">
        <f t="shared" si="126"/>
        <v>1</v>
      </c>
      <c r="E991">
        <f t="shared" si="127"/>
        <v>0</v>
      </c>
      <c r="F991">
        <f t="shared" si="128"/>
        <v>1</v>
      </c>
      <c r="G991">
        <f t="shared" si="129"/>
        <v>1</v>
      </c>
      <c r="H991">
        <v>1</v>
      </c>
      <c r="I991">
        <f t="shared" si="130"/>
        <v>1</v>
      </c>
      <c r="J991">
        <f t="shared" si="122"/>
        <v>24.364089012146039</v>
      </c>
      <c r="K991" t="s">
        <v>1931</v>
      </c>
      <c r="L991" t="s">
        <v>1932</v>
      </c>
      <c r="M991" t="s">
        <v>27</v>
      </c>
      <c r="N991" t="s">
        <v>27</v>
      </c>
      <c r="O991">
        <v>25.4</v>
      </c>
      <c r="P991">
        <v>16.228052139282202</v>
      </c>
      <c r="Q991">
        <v>15.647185325622599</v>
      </c>
      <c r="R991">
        <v>19.200000762939499</v>
      </c>
      <c r="S991">
        <v>13.625</v>
      </c>
      <c r="T991">
        <v>0.80730599164962802</v>
      </c>
      <c r="U991">
        <v>41.327354431152301</v>
      </c>
      <c r="V991">
        <v>24620000</v>
      </c>
      <c r="W991">
        <v>26.147340774536101</v>
      </c>
      <c r="X991">
        <v>0.31499999761581399</v>
      </c>
      <c r="Y991">
        <v>9.1999998092651403</v>
      </c>
      <c r="Z991">
        <v>8.7169036865234393</v>
      </c>
      <c r="AA991">
        <v>20168000</v>
      </c>
      <c r="AB991" t="s">
        <v>27</v>
      </c>
      <c r="AC991" t="s">
        <v>27</v>
      </c>
      <c r="AD991">
        <v>0.41999998688697798</v>
      </c>
      <c r="AE991">
        <v>42.967247009277301</v>
      </c>
      <c r="AF991" t="s">
        <v>27</v>
      </c>
      <c r="AG991">
        <v>18586000</v>
      </c>
      <c r="AH991">
        <v>0.307280004024506</v>
      </c>
      <c r="AI991">
        <v>13.845541954040501</v>
      </c>
    </row>
    <row r="992" spans="1:35">
      <c r="A992">
        <f t="shared" si="123"/>
        <v>0</v>
      </c>
      <c r="B992">
        <f t="shared" si="124"/>
        <v>0</v>
      </c>
      <c r="C992">
        <f t="shared" si="125"/>
        <v>1</v>
      </c>
      <c r="D992">
        <f t="shared" si="126"/>
        <v>0</v>
      </c>
      <c r="E992">
        <f t="shared" si="127"/>
        <v>0</v>
      </c>
      <c r="F992">
        <f t="shared" si="128"/>
        <v>1</v>
      </c>
      <c r="G992">
        <f t="shared" si="129"/>
        <v>0</v>
      </c>
      <c r="H992">
        <v>1</v>
      </c>
      <c r="I992">
        <f t="shared" si="130"/>
        <v>0</v>
      </c>
      <c r="J992">
        <f t="shared" ref="J992:J1055" si="131">Z992+Q992</f>
        <v>24.34480476379397</v>
      </c>
      <c r="K992" t="s">
        <v>600</v>
      </c>
      <c r="L992" t="s">
        <v>601</v>
      </c>
      <c r="M992" t="s">
        <v>27</v>
      </c>
      <c r="N992" t="s">
        <v>27</v>
      </c>
      <c r="O992">
        <v>16.600000000000001</v>
      </c>
      <c r="P992">
        <v>18.155956268310501</v>
      </c>
      <c r="Q992">
        <v>15.5787515640259</v>
      </c>
      <c r="R992">
        <v>19.920000076293899</v>
      </c>
      <c r="S992">
        <v>20.4799995422363</v>
      </c>
      <c r="T992">
        <v>0</v>
      </c>
      <c r="U992">
        <v>34.878810882568402</v>
      </c>
      <c r="V992">
        <v>5982000</v>
      </c>
      <c r="W992">
        <v>19.4385166168213</v>
      </c>
      <c r="X992">
        <v>0.56000000238418601</v>
      </c>
      <c r="Y992">
        <v>9.5252923965454102</v>
      </c>
      <c r="Z992">
        <v>8.76605319976807</v>
      </c>
      <c r="AA992">
        <v>20355000</v>
      </c>
      <c r="AB992" t="s">
        <v>30</v>
      </c>
      <c r="AC992" t="s">
        <v>68</v>
      </c>
      <c r="AD992">
        <v>0.52999997138977095</v>
      </c>
      <c r="AE992">
        <v>34.8473091125488</v>
      </c>
      <c r="AF992">
        <v>3.7345361758827398</v>
      </c>
      <c r="AG992">
        <v>20700000</v>
      </c>
      <c r="AH992">
        <v>0</v>
      </c>
      <c r="AI992">
        <v>16.093540191650401</v>
      </c>
    </row>
    <row r="993" spans="1:35">
      <c r="A993">
        <f t="shared" ref="A993:A1056" si="132">IF(AH993&lt;T993,1,0)</f>
        <v>1</v>
      </c>
      <c r="B993">
        <f t="shared" ref="B993:B1056" si="133">IF(AI993&gt;W993,1,0)</f>
        <v>0</v>
      </c>
      <c r="C993">
        <f t="shared" ref="C993:C1056" si="134">IF(V993&gt;0,1,0)</f>
        <v>1</v>
      </c>
      <c r="D993">
        <f t="shared" ref="D993:D1056" si="135">IF(AD993&gt;X993,1,0)</f>
        <v>1</v>
      </c>
      <c r="E993">
        <f t="shared" ref="E993:E1056" si="136">IF(AA993=AG993,1,0)</f>
        <v>0</v>
      </c>
      <c r="F993">
        <f t="shared" ref="F993:F1056" si="137">IF(AI993&gt;0,1,0)</f>
        <v>1</v>
      </c>
      <c r="G993">
        <f t="shared" ref="G993:G1056" si="138">IF(AE993&gt;U993,1,0)</f>
        <v>1</v>
      </c>
      <c r="H993">
        <v>1</v>
      </c>
      <c r="I993">
        <f t="shared" ref="I993:I1056" si="139">IF(((O993-R993)/R993)&gt;0.075,1,0)</f>
        <v>0</v>
      </c>
      <c r="J993">
        <f t="shared" si="131"/>
        <v>24.317500114440911</v>
      </c>
      <c r="K993" t="s">
        <v>1494</v>
      </c>
      <c r="L993" t="s">
        <v>1495</v>
      </c>
      <c r="M993" t="s">
        <v>27</v>
      </c>
      <c r="N993" t="s">
        <v>27</v>
      </c>
      <c r="O993">
        <v>29.620999999999999</v>
      </c>
      <c r="P993">
        <v>15.374426841735801</v>
      </c>
      <c r="Q993">
        <v>14.834740638732899</v>
      </c>
      <c r="R993">
        <v>30.969999313354499</v>
      </c>
      <c r="S993">
        <v>24.25</v>
      </c>
      <c r="T993">
        <v>10.9980001449585</v>
      </c>
      <c r="U993">
        <v>34.748855590820298</v>
      </c>
      <c r="V993">
        <v>40971000</v>
      </c>
      <c r="W993">
        <v>6.0857019424438503</v>
      </c>
      <c r="X993">
        <v>0.730000019073486</v>
      </c>
      <c r="Y993">
        <v>9.9364299774169904</v>
      </c>
      <c r="Z993">
        <v>9.4827594757080096</v>
      </c>
      <c r="AA993">
        <v>13234000</v>
      </c>
      <c r="AB993" t="s">
        <v>27</v>
      </c>
      <c r="AC993" t="s">
        <v>27</v>
      </c>
      <c r="AD993">
        <v>0.75</v>
      </c>
      <c r="AE993">
        <v>35.041225433349602</v>
      </c>
      <c r="AF993">
        <v>3.99845884718499</v>
      </c>
      <c r="AG993">
        <v>13405000</v>
      </c>
      <c r="AH993">
        <v>9.8543882369995099</v>
      </c>
      <c r="AI993">
        <v>5.99471092224121</v>
      </c>
    </row>
    <row r="994" spans="1:35">
      <c r="A994">
        <f t="shared" si="132"/>
        <v>0</v>
      </c>
      <c r="B994">
        <f t="shared" si="133"/>
        <v>1</v>
      </c>
      <c r="C994">
        <f t="shared" si="134"/>
        <v>1</v>
      </c>
      <c r="D994">
        <f t="shared" si="135"/>
        <v>0</v>
      </c>
      <c r="E994">
        <f t="shared" si="136"/>
        <v>0</v>
      </c>
      <c r="F994">
        <f t="shared" si="137"/>
        <v>1</v>
      </c>
      <c r="G994">
        <f t="shared" si="138"/>
        <v>0</v>
      </c>
      <c r="H994">
        <v>1</v>
      </c>
      <c r="I994">
        <f t="shared" si="139"/>
        <v>0</v>
      </c>
      <c r="J994">
        <f t="shared" si="131"/>
        <v>24.247003555297859</v>
      </c>
      <c r="K994" t="s">
        <v>1794</v>
      </c>
      <c r="L994" t="s">
        <v>1795</v>
      </c>
      <c r="M994" t="s">
        <v>27</v>
      </c>
      <c r="N994" t="s">
        <v>27</v>
      </c>
      <c r="O994">
        <v>8</v>
      </c>
      <c r="P994">
        <v>23.471464157104499</v>
      </c>
      <c r="Q994">
        <v>16.114048004150401</v>
      </c>
      <c r="R994">
        <v>24.4899997711182</v>
      </c>
      <c r="S994">
        <v>29.5625</v>
      </c>
      <c r="T994">
        <v>3.18826508522034</v>
      </c>
      <c r="U994">
        <v>11.7930011749268</v>
      </c>
      <c r="V994">
        <v>12245000</v>
      </c>
      <c r="W994">
        <v>10.7173175811768</v>
      </c>
      <c r="X994">
        <v>0.38999998569488498</v>
      </c>
      <c r="Y994">
        <v>4.74617719650269</v>
      </c>
      <c r="Z994">
        <v>8.1329555511474592</v>
      </c>
      <c r="AA994">
        <v>40602000</v>
      </c>
      <c r="AB994" t="s">
        <v>38</v>
      </c>
      <c r="AC994" t="s">
        <v>146</v>
      </c>
      <c r="AD994">
        <v>0.20000000298023199</v>
      </c>
      <c r="AE994">
        <v>11.1667881011963</v>
      </c>
      <c r="AF994">
        <v>4.7375510411893504</v>
      </c>
      <c r="AG994">
        <v>41646000</v>
      </c>
      <c r="AH994">
        <v>3.5707800388336199</v>
      </c>
      <c r="AI994">
        <v>13.0388069152832</v>
      </c>
    </row>
    <row r="995" spans="1:35">
      <c r="A995">
        <f t="shared" si="132"/>
        <v>0</v>
      </c>
      <c r="B995">
        <f t="shared" si="133"/>
        <v>0</v>
      </c>
      <c r="C995">
        <f t="shared" si="134"/>
        <v>1</v>
      </c>
      <c r="D995">
        <f t="shared" si="135"/>
        <v>0</v>
      </c>
      <c r="E995">
        <f t="shared" si="136"/>
        <v>0</v>
      </c>
      <c r="F995">
        <f t="shared" si="137"/>
        <v>1</v>
      </c>
      <c r="G995">
        <f t="shared" si="138"/>
        <v>0</v>
      </c>
      <c r="H995">
        <v>1</v>
      </c>
      <c r="I995">
        <f t="shared" si="139"/>
        <v>0</v>
      </c>
      <c r="J995">
        <f t="shared" si="131"/>
        <v>24.24071693420413</v>
      </c>
      <c r="K995" t="s">
        <v>3212</v>
      </c>
      <c r="L995" t="s">
        <v>3213</v>
      </c>
      <c r="M995" t="s">
        <v>27</v>
      </c>
      <c r="N995" t="s">
        <v>27</v>
      </c>
      <c r="O995">
        <v>1.39</v>
      </c>
      <c r="P995" t="s">
        <v>27</v>
      </c>
      <c r="Q995">
        <v>15.1709489822388</v>
      </c>
      <c r="R995">
        <v>8.6999998092651403</v>
      </c>
      <c r="S995">
        <v>9.5</v>
      </c>
      <c r="T995">
        <v>0</v>
      </c>
      <c r="U995">
        <v>35.969047546386697</v>
      </c>
      <c r="V995">
        <v>5795000</v>
      </c>
      <c r="W995">
        <v>60.6116333007813</v>
      </c>
      <c r="X995">
        <v>0.140000000596046</v>
      </c>
      <c r="Y995" t="s">
        <v>27</v>
      </c>
      <c r="Z995">
        <v>9.0697679519653303</v>
      </c>
      <c r="AA995">
        <v>47901000</v>
      </c>
      <c r="AB995" t="s">
        <v>27</v>
      </c>
      <c r="AC995" t="s">
        <v>27</v>
      </c>
      <c r="AD995">
        <v>7.9999998211860698E-2</v>
      </c>
      <c r="AE995">
        <v>34.449638366699197</v>
      </c>
      <c r="AF995">
        <v>1.00663941851891</v>
      </c>
      <c r="AG995">
        <v>48713000</v>
      </c>
      <c r="AH995">
        <v>0</v>
      </c>
      <c r="AI995">
        <v>18.888412475585898</v>
      </c>
    </row>
    <row r="996" spans="1:35">
      <c r="A996">
        <f t="shared" si="132"/>
        <v>0</v>
      </c>
      <c r="B996">
        <f t="shared" si="133"/>
        <v>0</v>
      </c>
      <c r="C996">
        <f t="shared" si="134"/>
        <v>1</v>
      </c>
      <c r="D996">
        <f t="shared" si="135"/>
        <v>1</v>
      </c>
      <c r="E996">
        <f t="shared" si="136"/>
        <v>0</v>
      </c>
      <c r="F996">
        <f t="shared" si="137"/>
        <v>1</v>
      </c>
      <c r="G996">
        <f t="shared" si="138"/>
        <v>0</v>
      </c>
      <c r="H996">
        <v>1</v>
      </c>
      <c r="I996">
        <f t="shared" si="139"/>
        <v>0</v>
      </c>
      <c r="J996">
        <f t="shared" si="131"/>
        <v>24.185340404510537</v>
      </c>
      <c r="K996" t="s">
        <v>2166</v>
      </c>
      <c r="L996" t="s">
        <v>2167</v>
      </c>
      <c r="M996" t="s">
        <v>27</v>
      </c>
      <c r="N996" t="s">
        <v>27</v>
      </c>
      <c r="O996">
        <v>22.84</v>
      </c>
      <c r="P996">
        <v>21.334770202636701</v>
      </c>
      <c r="Q996">
        <v>19.652248382568398</v>
      </c>
      <c r="R996">
        <v>24.840000152587901</v>
      </c>
      <c r="S996">
        <v>15.5</v>
      </c>
      <c r="T996">
        <v>7.8789119720459002</v>
      </c>
      <c r="U996">
        <v>42.828414916992202</v>
      </c>
      <c r="V996">
        <v>16138001</v>
      </c>
      <c r="W996">
        <v>12.5119028091431</v>
      </c>
      <c r="X996">
        <v>0.22499999403953599</v>
      </c>
      <c r="Y996">
        <v>5.9914889335632298</v>
      </c>
      <c r="Z996">
        <v>4.5330920219421396</v>
      </c>
      <c r="AA996">
        <v>31008000</v>
      </c>
      <c r="AB996" t="s">
        <v>61</v>
      </c>
      <c r="AC996" t="s">
        <v>77</v>
      </c>
      <c r="AD996">
        <v>0.259999990463257</v>
      </c>
      <c r="AE996">
        <v>40.122394561767599</v>
      </c>
      <c r="AF996">
        <v>9.2287928525285494</v>
      </c>
      <c r="AG996">
        <v>30274000</v>
      </c>
      <c r="AH996">
        <v>15.8327341079712</v>
      </c>
      <c r="AI996">
        <v>12.4010782241821</v>
      </c>
    </row>
    <row r="997" spans="1:35">
      <c r="A997">
        <f t="shared" si="132"/>
        <v>1</v>
      </c>
      <c r="B997">
        <f t="shared" si="133"/>
        <v>1</v>
      </c>
      <c r="C997">
        <f t="shared" si="134"/>
        <v>1</v>
      </c>
      <c r="D997">
        <f t="shared" si="135"/>
        <v>0</v>
      </c>
      <c r="E997">
        <f t="shared" si="136"/>
        <v>0</v>
      </c>
      <c r="F997">
        <f t="shared" si="137"/>
        <v>1</v>
      </c>
      <c r="G997">
        <f t="shared" si="138"/>
        <v>0</v>
      </c>
      <c r="H997">
        <v>1</v>
      </c>
      <c r="I997">
        <f t="shared" si="139"/>
        <v>0</v>
      </c>
      <c r="J997">
        <f t="shared" si="131"/>
        <v>24.120011806488048</v>
      </c>
      <c r="K997" t="s">
        <v>2584</v>
      </c>
      <c r="L997" t="s">
        <v>2585</v>
      </c>
      <c r="M997" t="s">
        <v>27</v>
      </c>
      <c r="N997" t="s">
        <v>27</v>
      </c>
      <c r="O997">
        <v>17.96</v>
      </c>
      <c r="P997">
        <v>2.8636279106140101</v>
      </c>
      <c r="Q997">
        <v>6.9381918907165501</v>
      </c>
      <c r="R997">
        <v>20.350000381469702</v>
      </c>
      <c r="S997">
        <v>25.790000915527301</v>
      </c>
      <c r="T997">
        <v>45.759727478027301</v>
      </c>
      <c r="U997">
        <v>42.441814422607401</v>
      </c>
      <c r="V997">
        <v>5276001</v>
      </c>
      <c r="W997">
        <v>0.86428600549697898</v>
      </c>
      <c r="X997">
        <v>0.77999997138977095</v>
      </c>
      <c r="Y997">
        <v>4.0182647705078098</v>
      </c>
      <c r="Z997">
        <v>17.181819915771499</v>
      </c>
      <c r="AA997">
        <v>33981536</v>
      </c>
      <c r="AB997" t="s">
        <v>328</v>
      </c>
      <c r="AC997" t="s">
        <v>329</v>
      </c>
      <c r="AD997">
        <v>0.33000001311302202</v>
      </c>
      <c r="AE997">
        <v>27.5783805847168</v>
      </c>
      <c r="AF997">
        <v>12.896180421313099</v>
      </c>
      <c r="AG997">
        <v>34248000</v>
      </c>
      <c r="AH997">
        <v>43.837440490722699</v>
      </c>
      <c r="AI997">
        <v>5.0998377799987802</v>
      </c>
    </row>
    <row r="998" spans="1:35">
      <c r="A998">
        <f t="shared" si="132"/>
        <v>1</v>
      </c>
      <c r="B998">
        <f t="shared" si="133"/>
        <v>1</v>
      </c>
      <c r="C998">
        <f t="shared" si="134"/>
        <v>1</v>
      </c>
      <c r="D998">
        <f t="shared" si="135"/>
        <v>0</v>
      </c>
      <c r="E998">
        <f t="shared" si="136"/>
        <v>0</v>
      </c>
      <c r="F998">
        <f t="shared" si="137"/>
        <v>1</v>
      </c>
      <c r="G998">
        <f t="shared" si="138"/>
        <v>1</v>
      </c>
      <c r="H998">
        <v>1</v>
      </c>
      <c r="I998">
        <f t="shared" si="139"/>
        <v>0</v>
      </c>
      <c r="J998">
        <f t="shared" si="131"/>
        <v>24.1161708831787</v>
      </c>
      <c r="K998" t="s">
        <v>2188</v>
      </c>
      <c r="L998" t="s">
        <v>2189</v>
      </c>
      <c r="M998" t="s">
        <v>27</v>
      </c>
      <c r="N998" t="s">
        <v>27</v>
      </c>
      <c r="O998">
        <v>23.059000000000001</v>
      </c>
      <c r="P998">
        <v>11.901004791259799</v>
      </c>
      <c r="Q998">
        <v>13.702409744262701</v>
      </c>
      <c r="R998">
        <v>33.490001678466797</v>
      </c>
      <c r="S998">
        <v>21.25</v>
      </c>
      <c r="T998">
        <v>36.887870788574197</v>
      </c>
      <c r="U998">
        <v>43.332176208496101</v>
      </c>
      <c r="V998">
        <v>2653000</v>
      </c>
      <c r="W998">
        <v>7.7953081130981401</v>
      </c>
      <c r="X998">
        <v>0.730000019073486</v>
      </c>
      <c r="Y998">
        <v>11.4210529327393</v>
      </c>
      <c r="Z998">
        <v>10.413761138916</v>
      </c>
      <c r="AA998">
        <v>12309000</v>
      </c>
      <c r="AB998" t="s">
        <v>61</v>
      </c>
      <c r="AC998" t="s">
        <v>77</v>
      </c>
      <c r="AD998">
        <v>0.57999998331069902</v>
      </c>
      <c r="AE998">
        <v>45.873226165771499</v>
      </c>
      <c r="AF998">
        <v>5.3622522199327003</v>
      </c>
      <c r="AG998">
        <v>12311000</v>
      </c>
      <c r="AH998">
        <v>31.257066726684599</v>
      </c>
      <c r="AI998">
        <v>8.3191852569580096</v>
      </c>
    </row>
    <row r="999" spans="1:35">
      <c r="A999">
        <f t="shared" si="132"/>
        <v>1</v>
      </c>
      <c r="B999">
        <f t="shared" si="133"/>
        <v>0</v>
      </c>
      <c r="C999">
        <f t="shared" si="134"/>
        <v>1</v>
      </c>
      <c r="D999">
        <f t="shared" si="135"/>
        <v>1</v>
      </c>
      <c r="E999">
        <f t="shared" si="136"/>
        <v>0</v>
      </c>
      <c r="F999">
        <f t="shared" si="137"/>
        <v>1</v>
      </c>
      <c r="G999">
        <f t="shared" si="138"/>
        <v>0</v>
      </c>
      <c r="H999">
        <v>1</v>
      </c>
      <c r="I999">
        <f t="shared" si="139"/>
        <v>0</v>
      </c>
      <c r="J999">
        <f t="shared" si="131"/>
        <v>24.095605850219698</v>
      </c>
      <c r="K999" t="s">
        <v>764</v>
      </c>
      <c r="L999" t="s">
        <v>765</v>
      </c>
      <c r="M999" t="s">
        <v>27</v>
      </c>
      <c r="N999" t="s">
        <v>27</v>
      </c>
      <c r="O999">
        <v>11.16</v>
      </c>
      <c r="P999">
        <v>16.457176208496101</v>
      </c>
      <c r="Q999">
        <v>13.1880292892456</v>
      </c>
      <c r="R999">
        <v>19.840000152587901</v>
      </c>
      <c r="S999">
        <v>22.5625</v>
      </c>
      <c r="T999">
        <v>11.7609148025513</v>
      </c>
      <c r="U999">
        <v>47.0260200500488</v>
      </c>
      <c r="V999">
        <v>39500000</v>
      </c>
      <c r="W999">
        <v>9.8947916030883807</v>
      </c>
      <c r="X999">
        <v>-0.10000000149011599</v>
      </c>
      <c r="Y999">
        <v>9.2509088516235405</v>
      </c>
      <c r="Z999">
        <v>10.9075765609741</v>
      </c>
      <c r="AA999">
        <v>41467000</v>
      </c>
      <c r="AB999" t="s">
        <v>27</v>
      </c>
      <c r="AC999" t="s">
        <v>27</v>
      </c>
      <c r="AD999">
        <v>3.9999999105930301E-2</v>
      </c>
      <c r="AE999">
        <v>43.283580780029297</v>
      </c>
      <c r="AF999">
        <v>3.5170546464736998</v>
      </c>
      <c r="AG999">
        <v>41685000</v>
      </c>
      <c r="AH999">
        <v>3.9166669845581099</v>
      </c>
      <c r="AI999">
        <v>6.9612197875976598</v>
      </c>
    </row>
    <row r="1000" spans="1:35">
      <c r="A1000">
        <f t="shared" si="132"/>
        <v>1</v>
      </c>
      <c r="B1000">
        <f t="shared" si="133"/>
        <v>0</v>
      </c>
      <c r="C1000">
        <f t="shared" si="134"/>
        <v>1</v>
      </c>
      <c r="D1000">
        <f t="shared" si="135"/>
        <v>0</v>
      </c>
      <c r="E1000">
        <f t="shared" si="136"/>
        <v>0</v>
      </c>
      <c r="F1000">
        <f t="shared" si="137"/>
        <v>1</v>
      </c>
      <c r="G1000">
        <f t="shared" si="138"/>
        <v>0</v>
      </c>
      <c r="H1000">
        <v>1</v>
      </c>
      <c r="I1000">
        <f t="shared" si="139"/>
        <v>0</v>
      </c>
      <c r="J1000">
        <f t="shared" si="131"/>
        <v>24.07164478301997</v>
      </c>
      <c r="K1000" t="s">
        <v>2620</v>
      </c>
      <c r="L1000" t="s">
        <v>2621</v>
      </c>
      <c r="M1000" t="s">
        <v>27</v>
      </c>
      <c r="N1000" t="s">
        <v>27</v>
      </c>
      <c r="O1000">
        <v>25.23</v>
      </c>
      <c r="P1000">
        <v>17.150648117065401</v>
      </c>
      <c r="Q1000">
        <v>16.240550994873001</v>
      </c>
      <c r="R1000">
        <v>28.350000381469702</v>
      </c>
      <c r="S1000">
        <v>23.875</v>
      </c>
      <c r="T1000">
        <v>38.525959014892599</v>
      </c>
      <c r="U1000">
        <v>54.550872802734403</v>
      </c>
      <c r="V1000">
        <v>18884000</v>
      </c>
      <c r="W1000">
        <v>13.670919418335</v>
      </c>
      <c r="X1000">
        <v>0.479999989271164</v>
      </c>
      <c r="Y1000">
        <v>8.3269748687744105</v>
      </c>
      <c r="Z1000">
        <v>7.83109378814697</v>
      </c>
      <c r="AA1000">
        <v>22942206</v>
      </c>
      <c r="AB1000" t="s">
        <v>30</v>
      </c>
      <c r="AC1000" t="s">
        <v>223</v>
      </c>
      <c r="AD1000">
        <v>0.46000000834464999</v>
      </c>
      <c r="AE1000">
        <v>54.309036254882798</v>
      </c>
      <c r="AF1000" t="s">
        <v>27</v>
      </c>
      <c r="AG1000">
        <v>22696150</v>
      </c>
      <c r="AH1000">
        <v>28.557107925415</v>
      </c>
      <c r="AI1000">
        <v>8.2906408309936506</v>
      </c>
    </row>
    <row r="1001" spans="1:35">
      <c r="A1001">
        <f t="shared" si="132"/>
        <v>0</v>
      </c>
      <c r="B1001">
        <f t="shared" si="133"/>
        <v>0</v>
      </c>
      <c r="C1001">
        <f t="shared" si="134"/>
        <v>1</v>
      </c>
      <c r="D1001">
        <f t="shared" si="135"/>
        <v>0</v>
      </c>
      <c r="E1001">
        <f t="shared" si="136"/>
        <v>0</v>
      </c>
      <c r="F1001">
        <f t="shared" si="137"/>
        <v>1</v>
      </c>
      <c r="G1001">
        <f t="shared" si="138"/>
        <v>0</v>
      </c>
      <c r="H1001">
        <v>1</v>
      </c>
      <c r="I1001">
        <f t="shared" si="139"/>
        <v>0</v>
      </c>
      <c r="J1001">
        <f t="shared" si="131"/>
        <v>24.05205202102664</v>
      </c>
      <c r="K1001" t="s">
        <v>292</v>
      </c>
      <c r="L1001" t="s">
        <v>293</v>
      </c>
      <c r="M1001" t="s">
        <v>27</v>
      </c>
      <c r="N1001" t="s">
        <v>27</v>
      </c>
      <c r="O1001">
        <v>18.690000000000001</v>
      </c>
      <c r="P1001">
        <v>21.666316986083999</v>
      </c>
      <c r="Q1001">
        <v>17.6654968261719</v>
      </c>
      <c r="R1001">
        <v>22.440000534057599</v>
      </c>
      <c r="S1001">
        <v>10.625</v>
      </c>
      <c r="T1001">
        <v>0</v>
      </c>
      <c r="U1001">
        <v>87.525474548339801</v>
      </c>
      <c r="V1001">
        <v>1442000</v>
      </c>
      <c r="W1001">
        <v>19.423395156860401</v>
      </c>
      <c r="X1001">
        <v>0.20999999344348899</v>
      </c>
      <c r="Y1001">
        <v>8.4166669845581108</v>
      </c>
      <c r="Z1001">
        <v>6.3865551948547399</v>
      </c>
      <c r="AA1001">
        <v>15847000</v>
      </c>
      <c r="AB1001" t="s">
        <v>38</v>
      </c>
      <c r="AC1001" t="s">
        <v>89</v>
      </c>
      <c r="AD1001">
        <v>0.18000000715255701</v>
      </c>
      <c r="AE1001">
        <v>86.84619140625</v>
      </c>
      <c r="AF1001">
        <v>7.0444563706062002</v>
      </c>
      <c r="AG1001">
        <v>14345000</v>
      </c>
      <c r="AH1001">
        <v>0</v>
      </c>
      <c r="AI1001">
        <v>18.313907623291001</v>
      </c>
    </row>
    <row r="1002" spans="1:35">
      <c r="A1002">
        <f t="shared" si="132"/>
        <v>1</v>
      </c>
      <c r="B1002">
        <f t="shared" si="133"/>
        <v>0</v>
      </c>
      <c r="C1002">
        <f t="shared" si="134"/>
        <v>1</v>
      </c>
      <c r="D1002">
        <f t="shared" si="135"/>
        <v>1</v>
      </c>
      <c r="E1002">
        <f t="shared" si="136"/>
        <v>0</v>
      </c>
      <c r="F1002">
        <f t="shared" si="137"/>
        <v>1</v>
      </c>
      <c r="G1002">
        <f t="shared" si="138"/>
        <v>0</v>
      </c>
      <c r="H1002">
        <v>1</v>
      </c>
      <c r="I1002">
        <f t="shared" si="139"/>
        <v>1</v>
      </c>
      <c r="J1002">
        <f t="shared" si="131"/>
        <v>24.036894798278801</v>
      </c>
      <c r="K1002" t="s">
        <v>3340</v>
      </c>
      <c r="L1002" t="s">
        <v>3341</v>
      </c>
      <c r="M1002" t="s">
        <v>27</v>
      </c>
      <c r="N1002" t="s">
        <v>27</v>
      </c>
      <c r="O1002">
        <v>22.02</v>
      </c>
      <c r="P1002">
        <v>9.3847312927246094</v>
      </c>
      <c r="Q1002">
        <v>13.7804851531982</v>
      </c>
      <c r="R1002">
        <v>19.899999618530298</v>
      </c>
      <c r="S1002">
        <v>20.0100002288818</v>
      </c>
      <c r="T1002">
        <v>5.3045139312744096</v>
      </c>
      <c r="U1002" t="s">
        <v>27</v>
      </c>
      <c r="V1002">
        <v>31546000</v>
      </c>
      <c r="W1002">
        <v>5.4963059425354004</v>
      </c>
      <c r="X1002">
        <v>0.119999997317791</v>
      </c>
      <c r="Y1002">
        <v>0.585366010665894</v>
      </c>
      <c r="Z1002">
        <v>10.2564096450806</v>
      </c>
      <c r="AA1002">
        <v>15047689</v>
      </c>
      <c r="AB1002" t="s">
        <v>34</v>
      </c>
      <c r="AC1002" t="s">
        <v>447</v>
      </c>
      <c r="AD1002">
        <v>0.77999997138977095</v>
      </c>
      <c r="AE1002" t="s">
        <v>27</v>
      </c>
      <c r="AF1002" t="s">
        <v>27</v>
      </c>
      <c r="AG1002">
        <v>17779000</v>
      </c>
      <c r="AH1002">
        <v>2.5377280712127699</v>
      </c>
      <c r="AI1002">
        <v>0.11026299744844401</v>
      </c>
    </row>
    <row r="1003" spans="1:35">
      <c r="A1003">
        <f t="shared" si="132"/>
        <v>1</v>
      </c>
      <c r="B1003">
        <f t="shared" si="133"/>
        <v>0</v>
      </c>
      <c r="C1003">
        <f t="shared" si="134"/>
        <v>1</v>
      </c>
      <c r="D1003">
        <f t="shared" si="135"/>
        <v>0</v>
      </c>
      <c r="E1003">
        <f t="shared" si="136"/>
        <v>0</v>
      </c>
      <c r="F1003">
        <f t="shared" si="137"/>
        <v>1</v>
      </c>
      <c r="G1003">
        <f t="shared" si="138"/>
        <v>0</v>
      </c>
      <c r="H1003">
        <v>1</v>
      </c>
      <c r="I1003">
        <f t="shared" si="139"/>
        <v>0</v>
      </c>
      <c r="J1003">
        <f t="shared" si="131"/>
        <v>23.994677305221568</v>
      </c>
      <c r="K1003" t="s">
        <v>2969</v>
      </c>
      <c r="L1003" t="s">
        <v>2970</v>
      </c>
      <c r="M1003" t="s">
        <v>27</v>
      </c>
      <c r="N1003" t="s">
        <v>27</v>
      </c>
      <c r="O1003">
        <v>19.98</v>
      </c>
      <c r="P1003" t="s">
        <v>27</v>
      </c>
      <c r="Q1003">
        <v>20.4397373199463</v>
      </c>
      <c r="R1003">
        <v>26.200000762939499</v>
      </c>
      <c r="S1003">
        <v>23.625</v>
      </c>
      <c r="T1003">
        <v>53.165306091308601</v>
      </c>
      <c r="U1003">
        <v>42.310085296630902</v>
      </c>
      <c r="V1003">
        <v>3195000</v>
      </c>
      <c r="W1003" t="s">
        <v>27</v>
      </c>
      <c r="X1003">
        <v>0.18000000715255701</v>
      </c>
      <c r="Y1003" t="s">
        <v>27</v>
      </c>
      <c r="Z1003">
        <v>3.5549399852752699</v>
      </c>
      <c r="AA1003">
        <v>15630000</v>
      </c>
      <c r="AB1003" t="s">
        <v>61</v>
      </c>
      <c r="AC1003" t="s">
        <v>80</v>
      </c>
      <c r="AD1003">
        <v>0.17000000178813901</v>
      </c>
      <c r="AE1003">
        <v>39.877220153808601</v>
      </c>
      <c r="AF1003">
        <v>20.355325550160099</v>
      </c>
      <c r="AG1003">
        <v>21301000</v>
      </c>
      <c r="AH1003">
        <v>0</v>
      </c>
      <c r="AI1003">
        <v>15.622587203979499</v>
      </c>
    </row>
    <row r="1004" spans="1:35">
      <c r="A1004">
        <f t="shared" si="132"/>
        <v>1</v>
      </c>
      <c r="B1004">
        <f t="shared" si="133"/>
        <v>0</v>
      </c>
      <c r="C1004">
        <f t="shared" si="134"/>
        <v>1</v>
      </c>
      <c r="D1004">
        <f t="shared" si="135"/>
        <v>0</v>
      </c>
      <c r="E1004">
        <f t="shared" si="136"/>
        <v>0</v>
      </c>
      <c r="F1004">
        <f t="shared" si="137"/>
        <v>1</v>
      </c>
      <c r="G1004">
        <f t="shared" si="138"/>
        <v>0</v>
      </c>
      <c r="H1004">
        <v>1</v>
      </c>
      <c r="I1004">
        <f t="shared" si="139"/>
        <v>0</v>
      </c>
      <c r="J1004">
        <f t="shared" si="131"/>
        <v>23.989805221557639</v>
      </c>
      <c r="K1004" t="s">
        <v>3573</v>
      </c>
      <c r="L1004" t="s">
        <v>3574</v>
      </c>
      <c r="M1004" t="s">
        <v>27</v>
      </c>
      <c r="N1004" t="s">
        <v>27</v>
      </c>
      <c r="O1004">
        <v>25.2</v>
      </c>
      <c r="P1004">
        <v>9.6537427902221697</v>
      </c>
      <c r="Q1004">
        <v>9.6979598999023402</v>
      </c>
      <c r="R1004">
        <v>33.900001525878899</v>
      </c>
      <c r="S1004">
        <v>39</v>
      </c>
      <c r="T1004">
        <v>37.901069641113303</v>
      </c>
      <c r="U1004">
        <v>32.132896423339801</v>
      </c>
      <c r="V1004">
        <v>7876000.5</v>
      </c>
      <c r="W1004">
        <v>7.3952651023864702</v>
      </c>
      <c r="X1004">
        <v>0.79000002145767201</v>
      </c>
      <c r="Y1004">
        <v>8.1393728256225604</v>
      </c>
      <c r="Z1004">
        <v>14.2918453216553</v>
      </c>
      <c r="AA1004">
        <v>11678000</v>
      </c>
      <c r="AB1004" t="s">
        <v>61</v>
      </c>
      <c r="AC1004" t="s">
        <v>65</v>
      </c>
      <c r="AD1004">
        <v>0.63999998569488503</v>
      </c>
      <c r="AE1004">
        <v>30.410652160644499</v>
      </c>
      <c r="AF1004">
        <v>5.6558588227852704</v>
      </c>
      <c r="AG1004">
        <v>15805000</v>
      </c>
      <c r="AH1004">
        <v>22.788293838501001</v>
      </c>
      <c r="AI1004">
        <v>6.3335218429565403</v>
      </c>
    </row>
    <row r="1005" spans="1:35">
      <c r="A1005">
        <f t="shared" si="132"/>
        <v>0</v>
      </c>
      <c r="B1005">
        <f t="shared" si="133"/>
        <v>0</v>
      </c>
      <c r="C1005">
        <f t="shared" si="134"/>
        <v>1</v>
      </c>
      <c r="D1005">
        <f t="shared" si="135"/>
        <v>0</v>
      </c>
      <c r="E1005">
        <f t="shared" si="136"/>
        <v>0</v>
      </c>
      <c r="F1005">
        <f t="shared" si="137"/>
        <v>1</v>
      </c>
      <c r="G1005">
        <f t="shared" si="138"/>
        <v>0</v>
      </c>
      <c r="H1005">
        <v>1</v>
      </c>
      <c r="I1005">
        <f t="shared" si="139"/>
        <v>1</v>
      </c>
      <c r="J1005">
        <f t="shared" si="131"/>
        <v>23.988644599914551</v>
      </c>
      <c r="K1005" t="s">
        <v>393</v>
      </c>
      <c r="L1005" t="s">
        <v>394</v>
      </c>
      <c r="M1005" t="s">
        <v>27</v>
      </c>
      <c r="N1005" t="s">
        <v>27</v>
      </c>
      <c r="O1005">
        <v>7.03</v>
      </c>
      <c r="P1005">
        <v>36.963638305664098</v>
      </c>
      <c r="Q1005">
        <v>9.9968757629394496</v>
      </c>
      <c r="R1005">
        <v>5.46000003814697</v>
      </c>
      <c r="S1005">
        <v>8.5625</v>
      </c>
      <c r="T1005">
        <v>0</v>
      </c>
      <c r="U1005" t="s">
        <v>27</v>
      </c>
      <c r="V1005">
        <v>12652000</v>
      </c>
      <c r="W1005">
        <v>40.943248748779297</v>
      </c>
      <c r="X1005">
        <v>0.479999989271164</v>
      </c>
      <c r="Y1005">
        <v>4.3498611450195304</v>
      </c>
      <c r="Z1005">
        <v>13.991768836975099</v>
      </c>
      <c r="AA1005">
        <v>46515000</v>
      </c>
      <c r="AB1005" t="s">
        <v>34</v>
      </c>
      <c r="AC1005" t="s">
        <v>395</v>
      </c>
      <c r="AD1005">
        <v>0.31999999284744302</v>
      </c>
      <c r="AE1005" t="s">
        <v>27</v>
      </c>
      <c r="AF1005" t="s">
        <v>27</v>
      </c>
      <c r="AG1005">
        <v>46559000</v>
      </c>
      <c r="AH1005">
        <v>4.99123191833496</v>
      </c>
      <c r="AI1005">
        <v>23.668886184692401</v>
      </c>
    </row>
    <row r="1006" spans="1:35">
      <c r="A1006">
        <f t="shared" si="132"/>
        <v>0</v>
      </c>
      <c r="B1006">
        <f t="shared" si="133"/>
        <v>1</v>
      </c>
      <c r="C1006">
        <f t="shared" si="134"/>
        <v>1</v>
      </c>
      <c r="D1006">
        <f t="shared" si="135"/>
        <v>1</v>
      </c>
      <c r="E1006">
        <f t="shared" si="136"/>
        <v>0</v>
      </c>
      <c r="F1006">
        <f t="shared" si="137"/>
        <v>1</v>
      </c>
      <c r="G1006">
        <f t="shared" si="138"/>
        <v>0</v>
      </c>
      <c r="H1006">
        <v>1</v>
      </c>
      <c r="I1006">
        <f t="shared" si="139"/>
        <v>0</v>
      </c>
      <c r="J1006">
        <f t="shared" si="131"/>
        <v>23.93059158325195</v>
      </c>
      <c r="K1006" t="s">
        <v>1468</v>
      </c>
      <c r="L1006" t="s">
        <v>1469</v>
      </c>
      <c r="M1006" t="s">
        <v>27</v>
      </c>
      <c r="N1006" t="s">
        <v>27</v>
      </c>
      <c r="O1006">
        <v>30.82</v>
      </c>
      <c r="P1006">
        <v>27.620775222778299</v>
      </c>
      <c r="Q1006">
        <v>18.4202766418457</v>
      </c>
      <c r="R1006">
        <v>39.400001525878899</v>
      </c>
      <c r="S1006">
        <v>35.599998474121101</v>
      </c>
      <c r="T1006">
        <v>17.927110671997099</v>
      </c>
      <c r="U1006" t="s">
        <v>27</v>
      </c>
      <c r="V1006">
        <v>94977000</v>
      </c>
      <c r="W1006">
        <v>7.4477081298828098</v>
      </c>
      <c r="X1006">
        <v>0.490000009536743</v>
      </c>
      <c r="Y1006">
        <v>6.4000000953674299</v>
      </c>
      <c r="Z1006">
        <v>5.51031494140625</v>
      </c>
      <c r="AA1006">
        <v>29524000</v>
      </c>
      <c r="AB1006" t="s">
        <v>34</v>
      </c>
      <c r="AC1006" t="s">
        <v>237</v>
      </c>
      <c r="AD1006">
        <v>0.5</v>
      </c>
      <c r="AE1006" t="s">
        <v>27</v>
      </c>
      <c r="AF1006">
        <v>7.8461671271518796</v>
      </c>
      <c r="AG1006">
        <v>29878000</v>
      </c>
      <c r="AH1006">
        <v>32.157279968261697</v>
      </c>
      <c r="AI1006">
        <v>20.680519104003899</v>
      </c>
    </row>
    <row r="1007" spans="1:35">
      <c r="A1007">
        <f t="shared" si="132"/>
        <v>0</v>
      </c>
      <c r="B1007">
        <f t="shared" si="133"/>
        <v>1</v>
      </c>
      <c r="C1007">
        <f t="shared" si="134"/>
        <v>1</v>
      </c>
      <c r="D1007">
        <f t="shared" si="135"/>
        <v>0</v>
      </c>
      <c r="E1007">
        <f t="shared" si="136"/>
        <v>0</v>
      </c>
      <c r="F1007">
        <f t="shared" si="137"/>
        <v>1</v>
      </c>
      <c r="G1007">
        <f t="shared" si="138"/>
        <v>1</v>
      </c>
      <c r="H1007">
        <v>1</v>
      </c>
      <c r="I1007">
        <f t="shared" si="139"/>
        <v>1</v>
      </c>
      <c r="J1007">
        <f t="shared" si="131"/>
        <v>23.921519279479941</v>
      </c>
      <c r="K1007" t="s">
        <v>2899</v>
      </c>
      <c r="L1007" t="s">
        <v>2900</v>
      </c>
      <c r="M1007" t="s">
        <v>27</v>
      </c>
      <c r="N1007" t="s">
        <v>27</v>
      </c>
      <c r="O1007">
        <v>15.5</v>
      </c>
      <c r="P1007" t="s">
        <v>27</v>
      </c>
      <c r="Q1007">
        <v>19.845432281494102</v>
      </c>
      <c r="R1007">
        <v>7.1799998283386204</v>
      </c>
      <c r="S1007">
        <v>49.375</v>
      </c>
      <c r="T1007">
        <v>0</v>
      </c>
      <c r="U1007">
        <v>90.203659057617202</v>
      </c>
      <c r="V1007">
        <v>8294000.5</v>
      </c>
      <c r="W1007">
        <v>-63.283084869384801</v>
      </c>
      <c r="X1007">
        <v>0.55000001192092896</v>
      </c>
      <c r="Y1007">
        <v>0.240696996450424</v>
      </c>
      <c r="Z1007">
        <v>4.0760869979858398</v>
      </c>
      <c r="AA1007">
        <v>97491000</v>
      </c>
      <c r="AB1007" t="s">
        <v>38</v>
      </c>
      <c r="AC1007" t="s">
        <v>118</v>
      </c>
      <c r="AD1007">
        <v>5.9999998658895499E-2</v>
      </c>
      <c r="AE1007">
        <v>93.210494995117202</v>
      </c>
      <c r="AF1007">
        <v>39.157361830718898</v>
      </c>
      <c r="AG1007">
        <v>100288000</v>
      </c>
      <c r="AH1007">
        <v>0</v>
      </c>
      <c r="AI1007">
        <v>13.6727437973022</v>
      </c>
    </row>
    <row r="1008" spans="1:35">
      <c r="A1008">
        <f t="shared" si="132"/>
        <v>0</v>
      </c>
      <c r="B1008">
        <f t="shared" si="133"/>
        <v>0</v>
      </c>
      <c r="C1008">
        <f t="shared" si="134"/>
        <v>0</v>
      </c>
      <c r="D1008">
        <f t="shared" si="135"/>
        <v>1</v>
      </c>
      <c r="E1008">
        <f t="shared" si="136"/>
        <v>0</v>
      </c>
      <c r="F1008">
        <f t="shared" si="137"/>
        <v>1</v>
      </c>
      <c r="G1008">
        <f t="shared" si="138"/>
        <v>0</v>
      </c>
      <c r="H1008">
        <v>1</v>
      </c>
      <c r="I1008">
        <f t="shared" si="139"/>
        <v>0</v>
      </c>
      <c r="J1008">
        <f t="shared" si="131"/>
        <v>23.90158271789554</v>
      </c>
      <c r="K1008" t="s">
        <v>3499</v>
      </c>
      <c r="L1008" t="s">
        <v>3500</v>
      </c>
      <c r="M1008" t="s">
        <v>27</v>
      </c>
      <c r="N1008" t="s">
        <v>27</v>
      </c>
      <c r="O1008">
        <v>12.77</v>
      </c>
      <c r="P1008">
        <v>11.4447784423828</v>
      </c>
      <c r="Q1008">
        <v>20.803819656372099</v>
      </c>
      <c r="R1008">
        <v>30.026667277018198</v>
      </c>
      <c r="S1008">
        <v>17.9166666666667</v>
      </c>
      <c r="T1008">
        <v>0</v>
      </c>
      <c r="U1008">
        <v>63.072071075439503</v>
      </c>
      <c r="V1008">
        <v>-29931000</v>
      </c>
      <c r="W1008">
        <v>20.093650817871101</v>
      </c>
      <c r="X1008">
        <v>4.6666666865348802E-2</v>
      </c>
      <c r="Y1008">
        <v>3.58449506759644</v>
      </c>
      <c r="Z1008">
        <v>3.0977630615234402</v>
      </c>
      <c r="AA1008">
        <v>30265500</v>
      </c>
      <c r="AB1008" t="s">
        <v>27</v>
      </c>
      <c r="AC1008" t="s">
        <v>27</v>
      </c>
      <c r="AD1008">
        <v>0.100000003973643</v>
      </c>
      <c r="AE1008">
        <v>56.825630187988303</v>
      </c>
      <c r="AF1008" t="s">
        <v>27</v>
      </c>
      <c r="AG1008">
        <v>32449500</v>
      </c>
      <c r="AH1008">
        <v>0</v>
      </c>
      <c r="AI1008">
        <v>8.7869768142700195</v>
      </c>
    </row>
    <row r="1009" spans="1:35">
      <c r="A1009">
        <f t="shared" si="132"/>
        <v>0</v>
      </c>
      <c r="B1009">
        <f t="shared" si="133"/>
        <v>0</v>
      </c>
      <c r="C1009">
        <f t="shared" si="134"/>
        <v>0</v>
      </c>
      <c r="D1009">
        <f t="shared" si="135"/>
        <v>0</v>
      </c>
      <c r="E1009">
        <f t="shared" si="136"/>
        <v>0</v>
      </c>
      <c r="F1009">
        <f t="shared" si="137"/>
        <v>1</v>
      </c>
      <c r="G1009">
        <f t="shared" si="138"/>
        <v>0</v>
      </c>
      <c r="H1009">
        <v>1</v>
      </c>
      <c r="I1009">
        <f t="shared" si="139"/>
        <v>1</v>
      </c>
      <c r="J1009">
        <f t="shared" si="131"/>
        <v>23.738985061645522</v>
      </c>
      <c r="K1009" t="s">
        <v>633</v>
      </c>
      <c r="L1009" t="s">
        <v>634</v>
      </c>
      <c r="M1009" t="s">
        <v>27</v>
      </c>
      <c r="N1009" t="s">
        <v>27</v>
      </c>
      <c r="O1009">
        <v>26.22</v>
      </c>
      <c r="P1009">
        <v>10.2125329971313</v>
      </c>
      <c r="Q1009">
        <v>8.7840299606323207</v>
      </c>
      <c r="R1009">
        <v>15.939999580383301</v>
      </c>
      <c r="S1009">
        <v>16.360000610351602</v>
      </c>
      <c r="T1009">
        <v>29.664379119873001</v>
      </c>
      <c r="U1009">
        <v>39.7911186218262</v>
      </c>
      <c r="V1009">
        <v>-27344000</v>
      </c>
      <c r="W1009">
        <v>5.4383912086486799</v>
      </c>
      <c r="X1009">
        <v>0.87999999523162797</v>
      </c>
      <c r="Y1009">
        <v>21.154361724853501</v>
      </c>
      <c r="Z1009">
        <v>14.9549551010132</v>
      </c>
      <c r="AA1009">
        <v>17663000</v>
      </c>
      <c r="AB1009" t="s">
        <v>30</v>
      </c>
      <c r="AC1009" t="s">
        <v>68</v>
      </c>
      <c r="AD1009">
        <v>0.68999999761581399</v>
      </c>
      <c r="AE1009">
        <v>39.252231597900398</v>
      </c>
      <c r="AF1009" t="s">
        <v>27</v>
      </c>
      <c r="AG1009">
        <v>17465000</v>
      </c>
      <c r="AH1009">
        <v>32.6589546203613</v>
      </c>
      <c r="AI1009">
        <v>5.2308421134948704</v>
      </c>
    </row>
    <row r="1010" spans="1:35">
      <c r="A1010">
        <f t="shared" si="132"/>
        <v>0</v>
      </c>
      <c r="B1010">
        <f t="shared" si="133"/>
        <v>1</v>
      </c>
      <c r="C1010">
        <f t="shared" si="134"/>
        <v>1</v>
      </c>
      <c r="D1010">
        <f t="shared" si="135"/>
        <v>1</v>
      </c>
      <c r="E1010">
        <f t="shared" si="136"/>
        <v>0</v>
      </c>
      <c r="F1010">
        <f t="shared" si="137"/>
        <v>1</v>
      </c>
      <c r="G1010">
        <f t="shared" si="138"/>
        <v>1</v>
      </c>
      <c r="H1010">
        <v>1</v>
      </c>
      <c r="I1010">
        <f t="shared" si="139"/>
        <v>0</v>
      </c>
      <c r="J1010">
        <f t="shared" si="131"/>
        <v>23.649401187896711</v>
      </c>
      <c r="K1010" t="s">
        <v>667</v>
      </c>
      <c r="L1010" t="s">
        <v>668</v>
      </c>
      <c r="M1010" t="s">
        <v>27</v>
      </c>
      <c r="N1010" t="s">
        <v>27</v>
      </c>
      <c r="O1010">
        <v>31.95</v>
      </c>
      <c r="P1010">
        <v>11.126838684081999</v>
      </c>
      <c r="Q1010">
        <v>17.873228073120099</v>
      </c>
      <c r="R1010">
        <v>35.400001525878899</v>
      </c>
      <c r="S1010">
        <v>31.450000762939499</v>
      </c>
      <c r="T1010">
        <v>0</v>
      </c>
      <c r="U1010">
        <v>40.769321441650398</v>
      </c>
      <c r="V1010">
        <v>22302000</v>
      </c>
      <c r="W1010">
        <v>10.1857013702393</v>
      </c>
      <c r="X1010">
        <v>0.30000001192092901</v>
      </c>
      <c r="Y1010">
        <v>3.0870590209960902</v>
      </c>
      <c r="Z1010">
        <v>5.7761731147766104</v>
      </c>
      <c r="AA1010">
        <v>14700000</v>
      </c>
      <c r="AB1010" t="s">
        <v>328</v>
      </c>
      <c r="AC1010" t="s">
        <v>403</v>
      </c>
      <c r="AD1010">
        <v>0.55000001192092896</v>
      </c>
      <c r="AE1010">
        <v>44.8767280578613</v>
      </c>
      <c r="AF1010">
        <v>11.247262494588499</v>
      </c>
      <c r="AG1010">
        <v>14933000</v>
      </c>
      <c r="AH1010">
        <v>0</v>
      </c>
      <c r="AI1010">
        <v>12.762368202209499</v>
      </c>
    </row>
    <row r="1011" spans="1:35">
      <c r="A1011">
        <f t="shared" si="132"/>
        <v>0</v>
      </c>
      <c r="B1011">
        <f t="shared" si="133"/>
        <v>0</v>
      </c>
      <c r="C1011">
        <f t="shared" si="134"/>
        <v>1</v>
      </c>
      <c r="D1011">
        <f t="shared" si="135"/>
        <v>1</v>
      </c>
      <c r="E1011">
        <f t="shared" si="136"/>
        <v>0</v>
      </c>
      <c r="F1011">
        <f t="shared" si="137"/>
        <v>1</v>
      </c>
      <c r="G1011">
        <f t="shared" si="138"/>
        <v>0</v>
      </c>
      <c r="H1011">
        <v>1</v>
      </c>
      <c r="I1011">
        <f t="shared" si="139"/>
        <v>1</v>
      </c>
      <c r="J1011">
        <f t="shared" si="131"/>
        <v>23.628846168518063</v>
      </c>
      <c r="K1011" t="s">
        <v>2212</v>
      </c>
      <c r="L1011" t="s">
        <v>2213</v>
      </c>
      <c r="M1011" t="s">
        <v>27</v>
      </c>
      <c r="N1011" t="s">
        <v>27</v>
      </c>
      <c r="O1011">
        <v>17.73</v>
      </c>
      <c r="P1011">
        <v>15.484891891479499</v>
      </c>
      <c r="Q1011">
        <v>17.581415176391602</v>
      </c>
      <c r="R1011">
        <v>16.370000839233398</v>
      </c>
      <c r="S1011">
        <v>10.3125</v>
      </c>
      <c r="T1011">
        <v>0</v>
      </c>
      <c r="U1011">
        <v>60.768703460693402</v>
      </c>
      <c r="V1011">
        <v>5995000</v>
      </c>
      <c r="W1011">
        <v>17.125637054443398</v>
      </c>
      <c r="X1011">
        <v>0.125</v>
      </c>
      <c r="Y1011">
        <v>7.9365081787109402</v>
      </c>
      <c r="Z1011">
        <v>6.0474309921264604</v>
      </c>
      <c r="AA1011">
        <v>46899400</v>
      </c>
      <c r="AB1011" t="s">
        <v>27</v>
      </c>
      <c r="AC1011" t="s">
        <v>27</v>
      </c>
      <c r="AD1011">
        <v>0.17499999701976801</v>
      </c>
      <c r="AE1011">
        <v>57.4723930358887</v>
      </c>
      <c r="AF1011" t="s">
        <v>27</v>
      </c>
      <c r="AG1011">
        <v>47010000</v>
      </c>
      <c r="AH1011">
        <v>1.32811903953552</v>
      </c>
      <c r="AI1011">
        <v>12.301191329956101</v>
      </c>
    </row>
    <row r="1012" spans="1:35">
      <c r="A1012">
        <f t="shared" si="132"/>
        <v>1</v>
      </c>
      <c r="B1012">
        <f t="shared" si="133"/>
        <v>0</v>
      </c>
      <c r="C1012">
        <f t="shared" si="134"/>
        <v>1</v>
      </c>
      <c r="D1012">
        <f t="shared" si="135"/>
        <v>0</v>
      </c>
      <c r="E1012">
        <f t="shared" si="136"/>
        <v>0</v>
      </c>
      <c r="F1012">
        <f t="shared" si="137"/>
        <v>1</v>
      </c>
      <c r="G1012">
        <f t="shared" si="138"/>
        <v>0</v>
      </c>
      <c r="H1012">
        <v>1</v>
      </c>
      <c r="I1012">
        <f t="shared" si="139"/>
        <v>0</v>
      </c>
      <c r="J1012">
        <f t="shared" si="131"/>
        <v>23.60385227203373</v>
      </c>
      <c r="K1012" t="s">
        <v>3125</v>
      </c>
      <c r="L1012" t="s">
        <v>3126</v>
      </c>
      <c r="M1012" t="s">
        <v>27</v>
      </c>
      <c r="N1012" t="s">
        <v>27</v>
      </c>
      <c r="O1012">
        <v>4.91</v>
      </c>
      <c r="P1012">
        <v>21.392950057983398</v>
      </c>
      <c r="Q1012">
        <v>15.4448566436768</v>
      </c>
      <c r="R1012">
        <v>9.9099998474121094</v>
      </c>
      <c r="S1012">
        <v>13.6875</v>
      </c>
      <c r="T1012">
        <v>12.5219583511353</v>
      </c>
      <c r="U1012">
        <v>53.342109680175803</v>
      </c>
      <c r="V1012">
        <v>5908000</v>
      </c>
      <c r="W1012">
        <v>14.6025638580322</v>
      </c>
      <c r="X1012">
        <v>0.30000001192092901</v>
      </c>
      <c r="Y1012">
        <v>6.6341462135314897</v>
      </c>
      <c r="Z1012">
        <v>8.15899562835693</v>
      </c>
      <c r="AA1012">
        <v>28307000</v>
      </c>
      <c r="AB1012" t="s">
        <v>27</v>
      </c>
      <c r="AC1012" t="s">
        <v>27</v>
      </c>
      <c r="AD1012">
        <v>2.9999999329447701E-2</v>
      </c>
      <c r="AE1012">
        <v>46.487823486328097</v>
      </c>
      <c r="AF1012" t="s">
        <v>27</v>
      </c>
      <c r="AG1012">
        <v>28380000</v>
      </c>
      <c r="AH1012">
        <v>2.2284970283508301</v>
      </c>
      <c r="AI1012">
        <v>12.719057083129901</v>
      </c>
    </row>
    <row r="1013" spans="1:35">
      <c r="A1013">
        <f t="shared" si="132"/>
        <v>0</v>
      </c>
      <c r="B1013">
        <f t="shared" si="133"/>
        <v>1</v>
      </c>
      <c r="C1013">
        <f t="shared" si="134"/>
        <v>1</v>
      </c>
      <c r="D1013">
        <f t="shared" si="135"/>
        <v>1</v>
      </c>
      <c r="E1013">
        <f t="shared" si="136"/>
        <v>0</v>
      </c>
      <c r="F1013">
        <f t="shared" si="137"/>
        <v>1</v>
      </c>
      <c r="G1013">
        <f t="shared" si="138"/>
        <v>0</v>
      </c>
      <c r="H1013">
        <v>1</v>
      </c>
      <c r="I1013">
        <f t="shared" si="139"/>
        <v>0</v>
      </c>
      <c r="J1013">
        <f t="shared" si="131"/>
        <v>23.54509973526002</v>
      </c>
      <c r="K1013" t="s">
        <v>3214</v>
      </c>
      <c r="L1013" t="s">
        <v>3215</v>
      </c>
      <c r="M1013" t="s">
        <v>27</v>
      </c>
      <c r="N1013" t="s">
        <v>27</v>
      </c>
      <c r="O1013">
        <v>22.74</v>
      </c>
      <c r="P1013">
        <v>18.292158126831101</v>
      </c>
      <c r="Q1013">
        <v>19.113559722900401</v>
      </c>
      <c r="R1013">
        <v>25.3333333333333</v>
      </c>
      <c r="S1013">
        <v>15.375</v>
      </c>
      <c r="T1013">
        <v>30.396003723144499</v>
      </c>
      <c r="U1013">
        <v>39.836818695068402</v>
      </c>
      <c r="V1013">
        <v>10559999</v>
      </c>
      <c r="W1013">
        <v>12.195915222168001</v>
      </c>
      <c r="X1013">
        <v>0.21333332856496201</v>
      </c>
      <c r="Y1013">
        <v>4.6538457870483398</v>
      </c>
      <c r="Z1013">
        <v>4.43154001235962</v>
      </c>
      <c r="AA1013">
        <v>39600000</v>
      </c>
      <c r="AB1013" t="s">
        <v>30</v>
      </c>
      <c r="AC1013" t="s">
        <v>223</v>
      </c>
      <c r="AD1013">
        <v>0.240000009536743</v>
      </c>
      <c r="AE1013">
        <v>37.578571319580099</v>
      </c>
      <c r="AF1013">
        <v>8.2632688673476906</v>
      </c>
      <c r="AG1013">
        <v>39907500</v>
      </c>
      <c r="AH1013">
        <v>32.849407196044901</v>
      </c>
      <c r="AI1013">
        <v>12.2431726455688</v>
      </c>
    </row>
    <row r="1014" spans="1:35">
      <c r="A1014">
        <f t="shared" si="132"/>
        <v>0</v>
      </c>
      <c r="B1014">
        <f t="shared" si="133"/>
        <v>1</v>
      </c>
      <c r="C1014">
        <f t="shared" si="134"/>
        <v>1</v>
      </c>
      <c r="D1014">
        <f t="shared" si="135"/>
        <v>0</v>
      </c>
      <c r="E1014">
        <f t="shared" si="136"/>
        <v>0</v>
      </c>
      <c r="F1014">
        <f t="shared" si="137"/>
        <v>1</v>
      </c>
      <c r="G1014">
        <f t="shared" si="138"/>
        <v>1</v>
      </c>
      <c r="H1014">
        <v>1</v>
      </c>
      <c r="I1014">
        <f t="shared" si="139"/>
        <v>0</v>
      </c>
      <c r="J1014">
        <f t="shared" si="131"/>
        <v>23.46843290328983</v>
      </c>
      <c r="K1014" t="s">
        <v>3875</v>
      </c>
      <c r="L1014" t="s">
        <v>3876</v>
      </c>
      <c r="M1014" t="s">
        <v>27</v>
      </c>
      <c r="N1014" t="s">
        <v>27</v>
      </c>
      <c r="O1014">
        <v>11.61</v>
      </c>
      <c r="P1014">
        <v>17.445936203002901</v>
      </c>
      <c r="Q1014">
        <v>15.921262741088899</v>
      </c>
      <c r="R1014">
        <v>17.290000915527301</v>
      </c>
      <c r="S1014">
        <v>20.0100002288818</v>
      </c>
      <c r="T1014">
        <v>0</v>
      </c>
      <c r="U1014">
        <v>57.1220893859863</v>
      </c>
      <c r="V1014">
        <v>16741001</v>
      </c>
      <c r="W1014">
        <v>12.4944200515747</v>
      </c>
      <c r="X1014">
        <v>0.30000001192092901</v>
      </c>
      <c r="Y1014">
        <v>5.0666670799255398</v>
      </c>
      <c r="Z1014">
        <v>7.5471701622009304</v>
      </c>
      <c r="AA1014">
        <v>31514000</v>
      </c>
      <c r="AB1014" t="s">
        <v>27</v>
      </c>
      <c r="AC1014" t="s">
        <v>27</v>
      </c>
      <c r="AD1014">
        <v>0.18000000715255701</v>
      </c>
      <c r="AE1014">
        <v>67.425384521484403</v>
      </c>
      <c r="AF1014">
        <v>8.8332219058784105</v>
      </c>
      <c r="AG1014">
        <v>32187000</v>
      </c>
      <c r="AH1014">
        <v>0</v>
      </c>
      <c r="AI1014">
        <v>14.0390949249268</v>
      </c>
    </row>
    <row r="1015" spans="1:35">
      <c r="A1015">
        <f t="shared" si="132"/>
        <v>1</v>
      </c>
      <c r="B1015">
        <f t="shared" si="133"/>
        <v>0</v>
      </c>
      <c r="C1015">
        <f t="shared" si="134"/>
        <v>1</v>
      </c>
      <c r="D1015">
        <f t="shared" si="135"/>
        <v>1</v>
      </c>
      <c r="E1015">
        <f t="shared" si="136"/>
        <v>0</v>
      </c>
      <c r="F1015">
        <f t="shared" si="137"/>
        <v>1</v>
      </c>
      <c r="G1015">
        <f t="shared" si="138"/>
        <v>1</v>
      </c>
      <c r="H1015">
        <v>1</v>
      </c>
      <c r="I1015">
        <f t="shared" si="139"/>
        <v>0</v>
      </c>
      <c r="J1015">
        <f t="shared" si="131"/>
        <v>23.356020927429231</v>
      </c>
      <c r="K1015" t="s">
        <v>333</v>
      </c>
      <c r="L1015" t="s">
        <v>334</v>
      </c>
      <c r="M1015" t="s">
        <v>27</v>
      </c>
      <c r="N1015" t="s">
        <v>27</v>
      </c>
      <c r="O1015">
        <v>57.02</v>
      </c>
      <c r="P1015">
        <v>13.919726371765099</v>
      </c>
      <c r="Q1015">
        <v>14.485053062439</v>
      </c>
      <c r="R1015">
        <v>68.150001525878906</v>
      </c>
      <c r="S1015">
        <v>41.625</v>
      </c>
      <c r="T1015">
        <v>7.9338359832763699</v>
      </c>
      <c r="U1015">
        <v>41.651420593261697</v>
      </c>
      <c r="V1015">
        <v>6206000.5</v>
      </c>
      <c r="W1015">
        <v>11.464494705200201</v>
      </c>
      <c r="X1015">
        <v>0.81000000238418601</v>
      </c>
      <c r="Y1015">
        <v>6.7692308425903303</v>
      </c>
      <c r="Z1015">
        <v>8.8709678649902308</v>
      </c>
      <c r="AA1015">
        <v>3457500</v>
      </c>
      <c r="AB1015" t="s">
        <v>27</v>
      </c>
      <c r="AC1015" t="s">
        <v>27</v>
      </c>
      <c r="AD1015">
        <v>1.0099999904632599</v>
      </c>
      <c r="AE1015">
        <v>42.712547302246101</v>
      </c>
      <c r="AF1015">
        <v>4.6998844765343</v>
      </c>
      <c r="AG1015">
        <v>3347569</v>
      </c>
      <c r="AH1015">
        <v>5.66945505142212</v>
      </c>
      <c r="AI1015">
        <v>10.7732343673706</v>
      </c>
    </row>
    <row r="1016" spans="1:35">
      <c r="A1016">
        <f t="shared" si="132"/>
        <v>1</v>
      </c>
      <c r="B1016">
        <f t="shared" si="133"/>
        <v>1</v>
      </c>
      <c r="C1016">
        <f t="shared" si="134"/>
        <v>1</v>
      </c>
      <c r="D1016">
        <f t="shared" si="135"/>
        <v>0</v>
      </c>
      <c r="E1016">
        <f t="shared" si="136"/>
        <v>0</v>
      </c>
      <c r="F1016">
        <f t="shared" si="137"/>
        <v>1</v>
      </c>
      <c r="G1016">
        <f t="shared" si="138"/>
        <v>1</v>
      </c>
      <c r="H1016">
        <v>1</v>
      </c>
      <c r="I1016">
        <f t="shared" si="139"/>
        <v>0</v>
      </c>
      <c r="J1016">
        <f t="shared" si="131"/>
        <v>23.348887443542502</v>
      </c>
      <c r="K1016" t="s">
        <v>1185</v>
      </c>
      <c r="L1016" t="s">
        <v>1186</v>
      </c>
      <c r="M1016" t="s">
        <v>27</v>
      </c>
      <c r="N1016" t="s">
        <v>27</v>
      </c>
      <c r="O1016">
        <v>47.49</v>
      </c>
      <c r="P1016">
        <v>13.9398956298828</v>
      </c>
      <c r="Q1016">
        <v>13.066755294799799</v>
      </c>
      <c r="R1016">
        <v>47.799999237060497</v>
      </c>
      <c r="S1016">
        <v>27.899999618530298</v>
      </c>
      <c r="T1016">
        <v>9.3174467086791992</v>
      </c>
      <c r="U1016">
        <v>9.5998344421386701</v>
      </c>
      <c r="V1016">
        <v>12701000</v>
      </c>
      <c r="W1016">
        <v>3.0024039745330802</v>
      </c>
      <c r="X1016">
        <v>1.1000000238418599</v>
      </c>
      <c r="Y1016">
        <v>10.7307691574097</v>
      </c>
      <c r="Z1016">
        <v>10.282132148742701</v>
      </c>
      <c r="AA1016">
        <v>10450000</v>
      </c>
      <c r="AB1016" t="s">
        <v>61</v>
      </c>
      <c r="AC1016" t="s">
        <v>131</v>
      </c>
      <c r="AD1016">
        <v>1.0299999713897701</v>
      </c>
      <c r="AE1016">
        <v>11.885876655578601</v>
      </c>
      <c r="AF1016">
        <v>5.25440787503375</v>
      </c>
      <c r="AG1016">
        <v>14808000</v>
      </c>
      <c r="AH1016">
        <v>8.8881000876426697E-2</v>
      </c>
      <c r="AI1016">
        <v>3.4647450447082502</v>
      </c>
    </row>
    <row r="1017" spans="1:35">
      <c r="A1017">
        <f t="shared" si="132"/>
        <v>1</v>
      </c>
      <c r="B1017">
        <f t="shared" si="133"/>
        <v>1</v>
      </c>
      <c r="C1017">
        <f t="shared" si="134"/>
        <v>1</v>
      </c>
      <c r="D1017">
        <f t="shared" si="135"/>
        <v>1</v>
      </c>
      <c r="E1017">
        <f t="shared" si="136"/>
        <v>0</v>
      </c>
      <c r="F1017">
        <f t="shared" si="137"/>
        <v>1</v>
      </c>
      <c r="G1017">
        <f t="shared" si="138"/>
        <v>1</v>
      </c>
      <c r="H1017">
        <v>1</v>
      </c>
      <c r="I1017">
        <f t="shared" si="139"/>
        <v>0</v>
      </c>
      <c r="J1017">
        <f t="shared" si="131"/>
        <v>23.275388717651381</v>
      </c>
      <c r="K1017" t="s">
        <v>2210</v>
      </c>
      <c r="L1017" t="s">
        <v>2211</v>
      </c>
      <c r="M1017" t="s">
        <v>27</v>
      </c>
      <c r="N1017" t="s">
        <v>27</v>
      </c>
      <c r="O1017">
        <v>14.01</v>
      </c>
      <c r="P1017">
        <v>13.0233926773071</v>
      </c>
      <c r="Q1017">
        <v>17.060348510742202</v>
      </c>
      <c r="R1017">
        <v>22.2399997711182</v>
      </c>
      <c r="S1017">
        <v>31.680000305175799</v>
      </c>
      <c r="T1017">
        <v>8.0646934509277308</v>
      </c>
      <c r="U1017">
        <v>38.808372497558601</v>
      </c>
      <c r="V1017">
        <v>63233000</v>
      </c>
      <c r="W1017">
        <v>9.2552280426025408</v>
      </c>
      <c r="X1017">
        <v>0.730000019073486</v>
      </c>
      <c r="Y1017">
        <v>5.5129528045654297</v>
      </c>
      <c r="Z1017">
        <v>6.2150402069091797</v>
      </c>
      <c r="AA1017">
        <v>41887772</v>
      </c>
      <c r="AB1017" t="s">
        <v>30</v>
      </c>
      <c r="AC1017" t="s">
        <v>68</v>
      </c>
      <c r="AD1017">
        <v>0.91000002622604403</v>
      </c>
      <c r="AE1017">
        <v>41.287071228027301</v>
      </c>
      <c r="AF1017">
        <v>4.8174790277657804</v>
      </c>
      <c r="AG1017">
        <v>41944868</v>
      </c>
      <c r="AH1017">
        <v>6.3300051689147896</v>
      </c>
      <c r="AI1017">
        <v>12.7837266921997</v>
      </c>
    </row>
    <row r="1018" spans="1:35">
      <c r="A1018">
        <f t="shared" si="132"/>
        <v>0</v>
      </c>
      <c r="B1018">
        <f t="shared" si="133"/>
        <v>1</v>
      </c>
      <c r="C1018">
        <f t="shared" si="134"/>
        <v>1</v>
      </c>
      <c r="D1018">
        <f t="shared" si="135"/>
        <v>1</v>
      </c>
      <c r="E1018">
        <f t="shared" si="136"/>
        <v>0</v>
      </c>
      <c r="F1018">
        <f t="shared" si="137"/>
        <v>1</v>
      </c>
      <c r="G1018">
        <f t="shared" si="138"/>
        <v>0</v>
      </c>
      <c r="H1018">
        <v>1</v>
      </c>
      <c r="I1018">
        <f t="shared" si="139"/>
        <v>0</v>
      </c>
      <c r="J1018">
        <f t="shared" si="131"/>
        <v>23.254307746887211</v>
      </c>
      <c r="K1018" t="s">
        <v>2290</v>
      </c>
      <c r="L1018" t="s">
        <v>2291</v>
      </c>
      <c r="M1018" t="s">
        <v>27</v>
      </c>
      <c r="N1018" t="s">
        <v>27</v>
      </c>
      <c r="O1018">
        <v>9.35</v>
      </c>
      <c r="P1018">
        <v>11.175986289978001</v>
      </c>
      <c r="Q1018">
        <v>15.0876407623291</v>
      </c>
      <c r="R1018">
        <v>12.039999961853001</v>
      </c>
      <c r="S1018">
        <v>13.7399997711182</v>
      </c>
      <c r="T1018">
        <v>23.487424850463899</v>
      </c>
      <c r="U1018" t="s">
        <v>27</v>
      </c>
      <c r="V1018">
        <v>29827000</v>
      </c>
      <c r="W1018">
        <v>1.05973696708679</v>
      </c>
      <c r="X1018">
        <v>0.20000000298023199</v>
      </c>
      <c r="Y1018">
        <v>4.7567567825317401</v>
      </c>
      <c r="Z1018">
        <v>8.1666669845581108</v>
      </c>
      <c r="AA1018">
        <v>17025000</v>
      </c>
      <c r="AB1018" t="s">
        <v>27</v>
      </c>
      <c r="AC1018" t="s">
        <v>27</v>
      </c>
      <c r="AD1018">
        <v>0.33000001311302202</v>
      </c>
      <c r="AE1018" t="s">
        <v>27</v>
      </c>
      <c r="AF1018">
        <v>7.0444802888219202</v>
      </c>
      <c r="AG1018">
        <v>17120000</v>
      </c>
      <c r="AH1018">
        <v>24.354549407958999</v>
      </c>
      <c r="AI1018">
        <v>1.6340459585189799</v>
      </c>
    </row>
    <row r="1019" spans="1:35">
      <c r="A1019">
        <f t="shared" si="132"/>
        <v>1</v>
      </c>
      <c r="B1019">
        <f t="shared" si="133"/>
        <v>0</v>
      </c>
      <c r="C1019">
        <f t="shared" si="134"/>
        <v>1</v>
      </c>
      <c r="D1019">
        <f t="shared" si="135"/>
        <v>1</v>
      </c>
      <c r="E1019">
        <f t="shared" si="136"/>
        <v>0</v>
      </c>
      <c r="F1019">
        <f t="shared" si="137"/>
        <v>1</v>
      </c>
      <c r="G1019">
        <f t="shared" si="138"/>
        <v>0</v>
      </c>
      <c r="H1019">
        <v>1</v>
      </c>
      <c r="I1019">
        <f t="shared" si="139"/>
        <v>1</v>
      </c>
      <c r="J1019">
        <f t="shared" si="131"/>
        <v>23.247672080993702</v>
      </c>
      <c r="K1019" t="s">
        <v>2897</v>
      </c>
      <c r="L1019" t="s">
        <v>2898</v>
      </c>
      <c r="M1019" t="s">
        <v>27</v>
      </c>
      <c r="N1019" t="s">
        <v>27</v>
      </c>
      <c r="O1019">
        <v>22.05</v>
      </c>
      <c r="P1019">
        <v>10.5449419021606</v>
      </c>
      <c r="Q1019">
        <v>10.457704544067401</v>
      </c>
      <c r="R1019">
        <v>16.920000076293899</v>
      </c>
      <c r="S1019">
        <v>13.6000003814697</v>
      </c>
      <c r="T1019">
        <v>61.940517425537102</v>
      </c>
      <c r="U1019" t="s">
        <v>27</v>
      </c>
      <c r="V1019">
        <v>6233000</v>
      </c>
      <c r="W1019">
        <v>5.5030059814453098</v>
      </c>
      <c r="X1019">
        <v>0.479999989271164</v>
      </c>
      <c r="Y1019">
        <v>16.349206924438501</v>
      </c>
      <c r="Z1019">
        <v>12.7899675369263</v>
      </c>
      <c r="AA1019">
        <v>6309000</v>
      </c>
      <c r="AB1019" t="s">
        <v>83</v>
      </c>
      <c r="AC1019" t="s">
        <v>84</v>
      </c>
      <c r="AD1019">
        <v>0.56999999284744296</v>
      </c>
      <c r="AE1019" t="s">
        <v>27</v>
      </c>
      <c r="AF1019">
        <v>10.7913936530435</v>
      </c>
      <c r="AG1019">
        <v>12445000</v>
      </c>
      <c r="AH1019">
        <v>38.8167724609375</v>
      </c>
      <c r="AI1019">
        <v>4.4652371406555202</v>
      </c>
    </row>
    <row r="1020" spans="1:35">
      <c r="A1020">
        <f t="shared" si="132"/>
        <v>0</v>
      </c>
      <c r="B1020">
        <f t="shared" si="133"/>
        <v>0</v>
      </c>
      <c r="C1020">
        <f t="shared" si="134"/>
        <v>1</v>
      </c>
      <c r="D1020">
        <f t="shared" si="135"/>
        <v>0</v>
      </c>
      <c r="E1020">
        <f t="shared" si="136"/>
        <v>0</v>
      </c>
      <c r="F1020">
        <f t="shared" si="137"/>
        <v>1</v>
      </c>
      <c r="G1020">
        <f t="shared" si="138"/>
        <v>0</v>
      </c>
      <c r="H1020">
        <v>1</v>
      </c>
      <c r="I1020">
        <f t="shared" si="139"/>
        <v>0</v>
      </c>
      <c r="J1020">
        <f t="shared" si="131"/>
        <v>23.237520694732648</v>
      </c>
      <c r="K1020" t="s">
        <v>3717</v>
      </c>
      <c r="L1020" t="s">
        <v>3718</v>
      </c>
      <c r="M1020" t="s">
        <v>27</v>
      </c>
      <c r="N1020" t="s">
        <v>27</v>
      </c>
      <c r="O1020">
        <v>25.94</v>
      </c>
      <c r="P1020">
        <v>30.8584880828857</v>
      </c>
      <c r="Q1020">
        <v>15.616630554199199</v>
      </c>
      <c r="R1020">
        <v>38.950000762939503</v>
      </c>
      <c r="S1020">
        <v>31</v>
      </c>
      <c r="T1020">
        <v>1.0382330417633101</v>
      </c>
      <c r="U1020">
        <v>40.565097808837898</v>
      </c>
      <c r="V1020">
        <v>35467000</v>
      </c>
      <c r="W1020">
        <v>23.0150966644287</v>
      </c>
      <c r="X1020">
        <v>1.4700000286102299</v>
      </c>
      <c r="Y1020">
        <v>7.0784640312194798</v>
      </c>
      <c r="Z1020">
        <v>7.6208901405334499</v>
      </c>
      <c r="AA1020">
        <v>32103000</v>
      </c>
      <c r="AB1020" t="s">
        <v>27</v>
      </c>
      <c r="AC1020" t="s">
        <v>27</v>
      </c>
      <c r="AD1020">
        <v>-0.239999994635582</v>
      </c>
      <c r="AE1020">
        <v>23.61598777771</v>
      </c>
      <c r="AF1020">
        <v>25.212044616119101</v>
      </c>
      <c r="AG1020">
        <v>32627998</v>
      </c>
      <c r="AH1020">
        <v>2.7038190364837602</v>
      </c>
      <c r="AI1020">
        <v>6.7116441726684597</v>
      </c>
    </row>
    <row r="1021" spans="1:35">
      <c r="A1021">
        <f t="shared" si="132"/>
        <v>0</v>
      </c>
      <c r="B1021">
        <f t="shared" si="133"/>
        <v>1</v>
      </c>
      <c r="C1021">
        <f t="shared" si="134"/>
        <v>0</v>
      </c>
      <c r="D1021">
        <f t="shared" si="135"/>
        <v>0</v>
      </c>
      <c r="E1021">
        <f t="shared" si="136"/>
        <v>0</v>
      </c>
      <c r="F1021">
        <f t="shared" si="137"/>
        <v>1</v>
      </c>
      <c r="G1021">
        <f t="shared" si="138"/>
        <v>0</v>
      </c>
      <c r="H1021">
        <v>1</v>
      </c>
      <c r="I1021">
        <f t="shared" si="139"/>
        <v>0</v>
      </c>
      <c r="J1021">
        <f t="shared" si="131"/>
        <v>23.20920753479</v>
      </c>
      <c r="K1021" t="s">
        <v>3342</v>
      </c>
      <c r="L1021" t="s">
        <v>3343</v>
      </c>
      <c r="M1021" t="s">
        <v>27</v>
      </c>
      <c r="N1021" t="s">
        <v>27</v>
      </c>
      <c r="O1021">
        <v>4.28</v>
      </c>
      <c r="P1021">
        <v>11.519005775451699</v>
      </c>
      <c r="Q1021">
        <v>12.374217987060501</v>
      </c>
      <c r="R1021">
        <v>15.6599998474121</v>
      </c>
      <c r="S1021">
        <v>39.200000762939503</v>
      </c>
      <c r="T1021">
        <v>23.732688903808601</v>
      </c>
      <c r="U1021">
        <v>42.3536376953125</v>
      </c>
      <c r="V1021">
        <v>-17542000</v>
      </c>
      <c r="W1021">
        <v>9.1242370605468803</v>
      </c>
      <c r="X1021">
        <v>0.36000001430511502</v>
      </c>
      <c r="Y1021">
        <v>5.5411901473998997</v>
      </c>
      <c r="Z1021">
        <v>10.834989547729499</v>
      </c>
      <c r="AA1021">
        <v>38623000</v>
      </c>
      <c r="AB1021" t="s">
        <v>52</v>
      </c>
      <c r="AC1021" t="s">
        <v>56</v>
      </c>
      <c r="AD1021">
        <v>0.259999990463257</v>
      </c>
      <c r="AE1021">
        <v>37.746013641357401</v>
      </c>
      <c r="AF1021">
        <v>3.82055019766144</v>
      </c>
      <c r="AG1021">
        <v>38750000</v>
      </c>
      <c r="AH1021">
        <v>27.316652297973601</v>
      </c>
      <c r="AI1021">
        <v>10.6167907714844</v>
      </c>
    </row>
    <row r="1022" spans="1:35">
      <c r="A1022">
        <f t="shared" si="132"/>
        <v>1</v>
      </c>
      <c r="B1022">
        <f t="shared" si="133"/>
        <v>1</v>
      </c>
      <c r="C1022">
        <f t="shared" si="134"/>
        <v>0</v>
      </c>
      <c r="D1022">
        <f t="shared" si="135"/>
        <v>1</v>
      </c>
      <c r="E1022">
        <f t="shared" si="136"/>
        <v>0</v>
      </c>
      <c r="F1022">
        <f t="shared" si="137"/>
        <v>1</v>
      </c>
      <c r="G1022">
        <f t="shared" si="138"/>
        <v>0</v>
      </c>
      <c r="H1022">
        <v>1</v>
      </c>
      <c r="I1022">
        <f t="shared" si="139"/>
        <v>0</v>
      </c>
      <c r="J1022">
        <f t="shared" si="131"/>
        <v>23.159457206726071</v>
      </c>
      <c r="K1022" t="s">
        <v>3883</v>
      </c>
      <c r="L1022" t="s">
        <v>3884</v>
      </c>
      <c r="M1022" t="s">
        <v>27</v>
      </c>
      <c r="N1022" t="s">
        <v>27</v>
      </c>
      <c r="O1022">
        <v>36.97</v>
      </c>
      <c r="P1022">
        <v>10.413775444030801</v>
      </c>
      <c r="Q1022">
        <v>14.867611885070801</v>
      </c>
      <c r="R1022">
        <v>54.529998779296903</v>
      </c>
      <c r="S1022">
        <v>48.75</v>
      </c>
      <c r="T1022">
        <v>23.1375617980957</v>
      </c>
      <c r="U1022">
        <v>24.7654724121094</v>
      </c>
      <c r="V1022">
        <v>-1583000</v>
      </c>
      <c r="W1022">
        <v>8.6640663146972692</v>
      </c>
      <c r="X1022">
        <v>0.95999997854232799</v>
      </c>
      <c r="Y1022">
        <v>8.0223455429077095</v>
      </c>
      <c r="Z1022">
        <v>8.2918453216552699</v>
      </c>
      <c r="AA1022">
        <v>11316000</v>
      </c>
      <c r="AB1022" t="s">
        <v>61</v>
      </c>
      <c r="AC1022" t="s">
        <v>101</v>
      </c>
      <c r="AD1022">
        <v>0.99000000953674305</v>
      </c>
      <c r="AE1022">
        <v>21.7461128234863</v>
      </c>
      <c r="AF1022">
        <v>4.9256465063823196</v>
      </c>
      <c r="AG1022">
        <v>11324000</v>
      </c>
      <c r="AH1022">
        <v>19.125732421875</v>
      </c>
      <c r="AI1022">
        <v>9.4904022216796893</v>
      </c>
    </row>
    <row r="1023" spans="1:35">
      <c r="A1023">
        <f t="shared" si="132"/>
        <v>0</v>
      </c>
      <c r="B1023">
        <f t="shared" si="133"/>
        <v>0</v>
      </c>
      <c r="C1023">
        <f t="shared" si="134"/>
        <v>1</v>
      </c>
      <c r="D1023">
        <f t="shared" si="135"/>
        <v>1</v>
      </c>
      <c r="E1023">
        <f t="shared" si="136"/>
        <v>0</v>
      </c>
      <c r="F1023">
        <f t="shared" si="137"/>
        <v>1</v>
      </c>
      <c r="G1023">
        <f t="shared" si="138"/>
        <v>0</v>
      </c>
      <c r="H1023">
        <v>1</v>
      </c>
      <c r="I1023">
        <f t="shared" si="139"/>
        <v>0</v>
      </c>
      <c r="J1023">
        <f t="shared" si="131"/>
        <v>23.01535749435422</v>
      </c>
      <c r="K1023" t="s">
        <v>737</v>
      </c>
      <c r="L1023" t="s">
        <v>738</v>
      </c>
      <c r="M1023" t="s">
        <v>27</v>
      </c>
      <c r="N1023" t="s">
        <v>27</v>
      </c>
      <c r="O1023">
        <v>18.75</v>
      </c>
      <c r="P1023">
        <v>20.154365539550799</v>
      </c>
      <c r="Q1023">
        <v>16.839868545532202</v>
      </c>
      <c r="R1023">
        <v>19.2800003051758</v>
      </c>
      <c r="S1023">
        <v>13.090909090909101</v>
      </c>
      <c r="T1023">
        <v>0</v>
      </c>
      <c r="U1023" t="s">
        <v>27</v>
      </c>
      <c r="V1023">
        <v>3916000</v>
      </c>
      <c r="W1023">
        <v>1.4157119989395099</v>
      </c>
      <c r="X1023">
        <v>0.240000009536743</v>
      </c>
      <c r="Y1023">
        <v>7.2705879211425799</v>
      </c>
      <c r="Z1023">
        <v>6.1754889488220197</v>
      </c>
      <c r="AA1023">
        <v>9374750</v>
      </c>
      <c r="AB1023" t="s">
        <v>27</v>
      </c>
      <c r="AC1023" t="s">
        <v>27</v>
      </c>
      <c r="AD1023">
        <v>0.26400001049041699</v>
      </c>
      <c r="AE1023" t="s">
        <v>27</v>
      </c>
      <c r="AF1023" t="s">
        <v>27</v>
      </c>
      <c r="AG1023">
        <v>8992500</v>
      </c>
      <c r="AH1023">
        <v>0</v>
      </c>
      <c r="AI1023">
        <v>1.37308502197266</v>
      </c>
    </row>
    <row r="1024" spans="1:35">
      <c r="A1024">
        <f t="shared" si="132"/>
        <v>1</v>
      </c>
      <c r="B1024">
        <f t="shared" si="133"/>
        <v>1</v>
      </c>
      <c r="C1024">
        <f t="shared" si="134"/>
        <v>1</v>
      </c>
      <c r="D1024">
        <f t="shared" si="135"/>
        <v>1</v>
      </c>
      <c r="E1024">
        <f t="shared" si="136"/>
        <v>0</v>
      </c>
      <c r="F1024">
        <f t="shared" si="137"/>
        <v>1</v>
      </c>
      <c r="G1024">
        <f t="shared" si="138"/>
        <v>1</v>
      </c>
      <c r="H1024">
        <v>1</v>
      </c>
      <c r="I1024">
        <f t="shared" si="139"/>
        <v>0</v>
      </c>
      <c r="J1024">
        <f t="shared" si="131"/>
        <v>22.99289894104</v>
      </c>
      <c r="K1024" t="s">
        <v>3661</v>
      </c>
      <c r="L1024" t="s">
        <v>3662</v>
      </c>
      <c r="M1024" t="s">
        <v>27</v>
      </c>
      <c r="N1024" t="s">
        <v>27</v>
      </c>
      <c r="O1024">
        <v>5.59</v>
      </c>
      <c r="P1024">
        <v>16.596319198608398</v>
      </c>
      <c r="Q1024">
        <v>12.1820878982544</v>
      </c>
      <c r="R1024">
        <v>6.4000000953674299</v>
      </c>
      <c r="S1024">
        <v>3.875</v>
      </c>
      <c r="T1024">
        <v>6.02136182785034</v>
      </c>
      <c r="U1024">
        <v>44.098838806152301</v>
      </c>
      <c r="V1024">
        <v>3760000</v>
      </c>
      <c r="W1024">
        <v>1.3660249710082999</v>
      </c>
      <c r="X1024">
        <v>0.119999997317791</v>
      </c>
      <c r="Y1024">
        <v>11.223880767822299</v>
      </c>
      <c r="Z1024">
        <v>10.8108110427856</v>
      </c>
      <c r="AA1024">
        <v>46832000</v>
      </c>
      <c r="AB1024" t="s">
        <v>73</v>
      </c>
      <c r="AC1024" t="s">
        <v>210</v>
      </c>
      <c r="AD1024">
        <v>0.129999995231628</v>
      </c>
      <c r="AE1024">
        <v>45.882926940917997</v>
      </c>
      <c r="AF1024">
        <v>5.7160890232056101</v>
      </c>
      <c r="AG1024">
        <v>52800000</v>
      </c>
      <c r="AH1024">
        <v>5.1102938652038601</v>
      </c>
      <c r="AI1024">
        <v>1.95324099063873</v>
      </c>
    </row>
    <row r="1025" spans="1:35">
      <c r="A1025">
        <f t="shared" si="132"/>
        <v>0</v>
      </c>
      <c r="B1025">
        <f t="shared" si="133"/>
        <v>0</v>
      </c>
      <c r="C1025">
        <f t="shared" si="134"/>
        <v>0</v>
      </c>
      <c r="D1025">
        <f t="shared" si="135"/>
        <v>0</v>
      </c>
      <c r="E1025">
        <f t="shared" si="136"/>
        <v>1</v>
      </c>
      <c r="F1025">
        <f t="shared" si="137"/>
        <v>1</v>
      </c>
      <c r="G1025">
        <f t="shared" si="138"/>
        <v>1</v>
      </c>
      <c r="H1025">
        <v>1</v>
      </c>
      <c r="I1025">
        <f t="shared" si="139"/>
        <v>0</v>
      </c>
      <c r="J1025">
        <f t="shared" si="131"/>
        <v>22.807951927185009</v>
      </c>
      <c r="K1025" t="s">
        <v>2146</v>
      </c>
      <c r="L1025" t="s">
        <v>2147</v>
      </c>
      <c r="M1025" t="s">
        <v>27</v>
      </c>
      <c r="N1025" t="s">
        <v>27</v>
      </c>
      <c r="O1025">
        <v>11.5</v>
      </c>
      <c r="P1025">
        <v>12.2553367614746</v>
      </c>
      <c r="Q1025">
        <v>7.8449888229370099</v>
      </c>
      <c r="R1025">
        <v>11.6000003814697</v>
      </c>
      <c r="S1025">
        <v>7.75</v>
      </c>
      <c r="T1025">
        <v>33.882331848144503</v>
      </c>
      <c r="U1025">
        <v>27.821533203125</v>
      </c>
      <c r="V1025">
        <v>-6339000</v>
      </c>
      <c r="W1025">
        <v>9.1603145599365199</v>
      </c>
      <c r="X1025">
        <v>0.46000000834464999</v>
      </c>
      <c r="Y1025">
        <v>20.888889312744102</v>
      </c>
      <c r="Z1025">
        <v>14.962963104248001</v>
      </c>
      <c r="AA1025">
        <v>15222000</v>
      </c>
      <c r="AB1025" t="s">
        <v>30</v>
      </c>
      <c r="AC1025" t="s">
        <v>68</v>
      </c>
      <c r="AD1025">
        <v>0.31000000238418601</v>
      </c>
      <c r="AE1025">
        <v>28.0486030578613</v>
      </c>
      <c r="AF1025">
        <v>8.8430670017777206</v>
      </c>
      <c r="AG1025">
        <v>15222000</v>
      </c>
      <c r="AH1025">
        <v>40.319103240966797</v>
      </c>
      <c r="AI1025">
        <v>6.1913599967956499</v>
      </c>
    </row>
    <row r="1026" spans="1:35">
      <c r="A1026">
        <f t="shared" si="132"/>
        <v>0</v>
      </c>
      <c r="B1026">
        <f t="shared" si="133"/>
        <v>0</v>
      </c>
      <c r="C1026">
        <f t="shared" si="134"/>
        <v>1</v>
      </c>
      <c r="D1026">
        <f t="shared" si="135"/>
        <v>0</v>
      </c>
      <c r="E1026">
        <f t="shared" si="136"/>
        <v>0</v>
      </c>
      <c r="F1026">
        <f t="shared" si="137"/>
        <v>1</v>
      </c>
      <c r="G1026">
        <f t="shared" si="138"/>
        <v>0</v>
      </c>
      <c r="H1026">
        <v>1</v>
      </c>
      <c r="I1026">
        <f t="shared" si="139"/>
        <v>0</v>
      </c>
      <c r="J1026">
        <f t="shared" si="131"/>
        <v>22.784437656402552</v>
      </c>
      <c r="K1026" t="s">
        <v>2442</v>
      </c>
      <c r="L1026" t="s">
        <v>2443</v>
      </c>
      <c r="M1026" t="s">
        <v>27</v>
      </c>
      <c r="N1026" t="s">
        <v>27</v>
      </c>
      <c r="O1026">
        <v>32.31</v>
      </c>
      <c r="P1026">
        <v>4.9877591133117702</v>
      </c>
      <c r="Q1026">
        <v>5.2385659217834499</v>
      </c>
      <c r="R1026">
        <v>31.4899997711182</v>
      </c>
      <c r="S1026">
        <v>22.196901556940201</v>
      </c>
      <c r="T1026">
        <v>25.676799774169901</v>
      </c>
      <c r="U1026">
        <v>72.225364685058594</v>
      </c>
      <c r="V1026">
        <v>18417000</v>
      </c>
      <c r="W1026" t="s">
        <v>27</v>
      </c>
      <c r="X1026">
        <v>2.6499998569488499</v>
      </c>
      <c r="Y1026">
        <v>5.5233850479126003</v>
      </c>
      <c r="Z1026">
        <v>17.545871734619102</v>
      </c>
      <c r="AA1026">
        <v>29126432</v>
      </c>
      <c r="AB1026" t="s">
        <v>27</v>
      </c>
      <c r="AC1026" t="s">
        <v>27</v>
      </c>
      <c r="AD1026">
        <v>0.43999999761581399</v>
      </c>
      <c r="AE1026">
        <v>70.033363342285199</v>
      </c>
      <c r="AF1026">
        <v>13.997230972596499</v>
      </c>
      <c r="AG1026">
        <v>29171000</v>
      </c>
      <c r="AH1026">
        <v>177.58746337890599</v>
      </c>
      <c r="AI1026" t="s">
        <v>27</v>
      </c>
    </row>
    <row r="1027" spans="1:35">
      <c r="A1027">
        <f t="shared" si="132"/>
        <v>0</v>
      </c>
      <c r="B1027">
        <f t="shared" si="133"/>
        <v>1</v>
      </c>
      <c r="C1027">
        <f t="shared" si="134"/>
        <v>1</v>
      </c>
      <c r="D1027">
        <f t="shared" si="135"/>
        <v>1</v>
      </c>
      <c r="E1027">
        <f t="shared" si="136"/>
        <v>0</v>
      </c>
      <c r="F1027">
        <f t="shared" si="137"/>
        <v>1</v>
      </c>
      <c r="G1027">
        <f t="shared" si="138"/>
        <v>1</v>
      </c>
      <c r="H1027">
        <v>1</v>
      </c>
      <c r="I1027">
        <f t="shared" si="139"/>
        <v>0</v>
      </c>
      <c r="J1027">
        <f t="shared" si="131"/>
        <v>22.666471958160361</v>
      </c>
      <c r="K1027" t="s">
        <v>701</v>
      </c>
      <c r="L1027" t="s">
        <v>702</v>
      </c>
      <c r="M1027" t="s">
        <v>27</v>
      </c>
      <c r="N1027" t="s">
        <v>27</v>
      </c>
      <c r="O1027">
        <v>9.3000000000000007</v>
      </c>
      <c r="P1027" t="s">
        <v>27</v>
      </c>
      <c r="Q1027">
        <v>16.634494781494102</v>
      </c>
      <c r="R1027">
        <v>24.399999618530298</v>
      </c>
      <c r="S1027">
        <v>30</v>
      </c>
      <c r="T1027">
        <v>0</v>
      </c>
      <c r="U1027">
        <v>88.835197448730497</v>
      </c>
      <c r="V1027">
        <v>2586000</v>
      </c>
      <c r="W1027">
        <v>11.937096595764199</v>
      </c>
      <c r="X1027">
        <v>0.15999999642372101</v>
      </c>
      <c r="Y1027" t="s">
        <v>27</v>
      </c>
      <c r="Z1027">
        <v>6.0319771766662598</v>
      </c>
      <c r="AA1027">
        <v>12848000</v>
      </c>
      <c r="AB1027" t="s">
        <v>27</v>
      </c>
      <c r="AC1027" t="s">
        <v>27</v>
      </c>
      <c r="AD1027">
        <v>0.18999999761581399</v>
      </c>
      <c r="AE1027">
        <v>89.112617492675795</v>
      </c>
      <c r="AF1027">
        <v>7.3844093800133903</v>
      </c>
      <c r="AG1027">
        <v>12991000</v>
      </c>
      <c r="AH1027">
        <v>0</v>
      </c>
      <c r="AI1027">
        <v>16.7125644683838</v>
      </c>
    </row>
    <row r="1028" spans="1:35">
      <c r="A1028">
        <f t="shared" si="132"/>
        <v>0</v>
      </c>
      <c r="B1028">
        <f t="shared" si="133"/>
        <v>0</v>
      </c>
      <c r="C1028">
        <f t="shared" si="134"/>
        <v>1</v>
      </c>
      <c r="D1028">
        <f t="shared" si="135"/>
        <v>1</v>
      </c>
      <c r="E1028">
        <f t="shared" si="136"/>
        <v>0</v>
      </c>
      <c r="F1028">
        <f t="shared" si="137"/>
        <v>1</v>
      </c>
      <c r="G1028">
        <f t="shared" si="138"/>
        <v>0</v>
      </c>
      <c r="H1028">
        <v>1</v>
      </c>
      <c r="I1028">
        <f t="shared" si="139"/>
        <v>1</v>
      </c>
      <c r="J1028">
        <f t="shared" si="131"/>
        <v>22.652805805206331</v>
      </c>
      <c r="K1028" t="s">
        <v>3482</v>
      </c>
      <c r="L1028" t="s">
        <v>3483</v>
      </c>
      <c r="M1028" t="s">
        <v>27</v>
      </c>
      <c r="N1028" t="s">
        <v>27</v>
      </c>
      <c r="O1028">
        <v>34.799999999999997</v>
      </c>
      <c r="P1028">
        <v>16.8313598632813</v>
      </c>
      <c r="Q1028">
        <v>15.6876316070557</v>
      </c>
      <c r="R1028">
        <v>26.033332824706999</v>
      </c>
      <c r="S1028">
        <v>21.9583333333333</v>
      </c>
      <c r="T1028">
        <v>1.1361219882965099</v>
      </c>
      <c r="U1028" t="s">
        <v>27</v>
      </c>
      <c r="V1028">
        <v>1408000</v>
      </c>
      <c r="W1028">
        <v>1.5889699459075901</v>
      </c>
      <c r="X1028">
        <v>0.36969697836673598</v>
      </c>
      <c r="Y1028">
        <v>8.2185020446777308</v>
      </c>
      <c r="Z1028">
        <v>6.9651741981506303</v>
      </c>
      <c r="AA1028">
        <v>24127950</v>
      </c>
      <c r="AB1028" t="s">
        <v>27</v>
      </c>
      <c r="AC1028" t="s">
        <v>27</v>
      </c>
      <c r="AD1028">
        <v>0.41999999682108602</v>
      </c>
      <c r="AE1028" t="s">
        <v>27</v>
      </c>
      <c r="AF1028" t="s">
        <v>27</v>
      </c>
      <c r="AG1028">
        <v>24350998.5</v>
      </c>
      <c r="AH1028">
        <v>1.9536930322647099</v>
      </c>
      <c r="AI1028">
        <v>1.5528329610824601</v>
      </c>
    </row>
    <row r="1029" spans="1:35">
      <c r="A1029">
        <f t="shared" si="132"/>
        <v>0</v>
      </c>
      <c r="B1029">
        <f t="shared" si="133"/>
        <v>0</v>
      </c>
      <c r="C1029">
        <f t="shared" si="134"/>
        <v>1</v>
      </c>
      <c r="D1029">
        <f t="shared" si="135"/>
        <v>1</v>
      </c>
      <c r="E1029">
        <f t="shared" si="136"/>
        <v>0</v>
      </c>
      <c r="F1029">
        <f t="shared" si="137"/>
        <v>1</v>
      </c>
      <c r="G1029">
        <f t="shared" si="138"/>
        <v>0</v>
      </c>
      <c r="H1029">
        <v>1</v>
      </c>
      <c r="I1029">
        <f t="shared" si="139"/>
        <v>1</v>
      </c>
      <c r="J1029">
        <f t="shared" si="131"/>
        <v>22.602651596069379</v>
      </c>
      <c r="K1029" t="s">
        <v>1376</v>
      </c>
      <c r="L1029" t="s">
        <v>1377</v>
      </c>
      <c r="M1029" t="s">
        <v>27</v>
      </c>
      <c r="N1029" t="s">
        <v>27</v>
      </c>
      <c r="O1029">
        <v>36</v>
      </c>
      <c r="P1029">
        <v>13.366207122802701</v>
      </c>
      <c r="Q1029">
        <v>13.5470237731934</v>
      </c>
      <c r="R1029">
        <v>24.6666666666667</v>
      </c>
      <c r="S1029">
        <v>25.1666666666667</v>
      </c>
      <c r="T1029">
        <v>0</v>
      </c>
      <c r="U1029" t="s">
        <v>27</v>
      </c>
      <c r="V1029">
        <v>3058000</v>
      </c>
      <c r="W1029">
        <v>1.5574870109558101</v>
      </c>
      <c r="X1029">
        <v>0.55333332220713305</v>
      </c>
      <c r="Y1029">
        <v>8.1818180084228498</v>
      </c>
      <c r="Z1029">
        <v>9.0556278228759801</v>
      </c>
      <c r="AA1029">
        <v>4339500</v>
      </c>
      <c r="AB1029" t="s">
        <v>34</v>
      </c>
      <c r="AC1029" t="s">
        <v>35</v>
      </c>
      <c r="AD1029">
        <v>0.58000000317891398</v>
      </c>
      <c r="AE1029" t="s">
        <v>27</v>
      </c>
      <c r="AF1029" t="s">
        <v>27</v>
      </c>
      <c r="AG1029">
        <v>4189500</v>
      </c>
      <c r="AH1029">
        <v>0</v>
      </c>
      <c r="AI1029">
        <v>1.54098296165466</v>
      </c>
    </row>
    <row r="1030" spans="1:35">
      <c r="A1030">
        <f t="shared" si="132"/>
        <v>0</v>
      </c>
      <c r="B1030">
        <f t="shared" si="133"/>
        <v>1</v>
      </c>
      <c r="C1030">
        <f t="shared" si="134"/>
        <v>1</v>
      </c>
      <c r="D1030">
        <f t="shared" si="135"/>
        <v>1</v>
      </c>
      <c r="E1030">
        <f t="shared" si="136"/>
        <v>0</v>
      </c>
      <c r="F1030">
        <f t="shared" si="137"/>
        <v>1</v>
      </c>
      <c r="G1030">
        <f t="shared" si="138"/>
        <v>1</v>
      </c>
      <c r="H1030">
        <v>1</v>
      </c>
      <c r="I1030">
        <f t="shared" si="139"/>
        <v>0</v>
      </c>
      <c r="J1030">
        <f t="shared" si="131"/>
        <v>22.601443290710399</v>
      </c>
      <c r="K1030" t="s">
        <v>330</v>
      </c>
      <c r="L1030" t="s">
        <v>331</v>
      </c>
      <c r="M1030" t="s">
        <v>27</v>
      </c>
      <c r="N1030" t="s">
        <v>27</v>
      </c>
      <c r="O1030">
        <v>16.199000000000002</v>
      </c>
      <c r="P1030">
        <v>11.963823318481399</v>
      </c>
      <c r="Q1030">
        <v>13.847734451293899</v>
      </c>
      <c r="R1030">
        <v>17.950000762939499</v>
      </c>
      <c r="S1030">
        <v>14</v>
      </c>
      <c r="T1030">
        <v>0</v>
      </c>
      <c r="U1030">
        <v>23.054115295410199</v>
      </c>
      <c r="V1030">
        <v>42485000</v>
      </c>
      <c r="W1030">
        <v>3.13182497024536</v>
      </c>
      <c r="X1030">
        <v>0.769999980926514</v>
      </c>
      <c r="Y1030">
        <v>7.7623758316040004</v>
      </c>
      <c r="Z1030">
        <v>8.7537088394165004</v>
      </c>
      <c r="AA1030">
        <v>24060000</v>
      </c>
      <c r="AB1030" t="s">
        <v>30</v>
      </c>
      <c r="AC1030" t="s">
        <v>332</v>
      </c>
      <c r="AD1030">
        <v>0.85000002384185802</v>
      </c>
      <c r="AE1030">
        <v>24.599555969238299</v>
      </c>
      <c r="AF1030">
        <v>5.3315433386327999</v>
      </c>
      <c r="AG1030">
        <v>23492000</v>
      </c>
      <c r="AH1030">
        <v>0</v>
      </c>
      <c r="AI1030">
        <v>10.748059272766101</v>
      </c>
    </row>
    <row r="1031" spans="1:35">
      <c r="A1031">
        <f t="shared" si="132"/>
        <v>1</v>
      </c>
      <c r="B1031">
        <f t="shared" si="133"/>
        <v>1</v>
      </c>
      <c r="C1031">
        <f t="shared" si="134"/>
        <v>0</v>
      </c>
      <c r="D1031">
        <f t="shared" si="135"/>
        <v>0</v>
      </c>
      <c r="E1031">
        <f t="shared" si="136"/>
        <v>0</v>
      </c>
      <c r="F1031">
        <f t="shared" si="137"/>
        <v>1</v>
      </c>
      <c r="G1031">
        <f t="shared" si="138"/>
        <v>0</v>
      </c>
      <c r="H1031">
        <v>1</v>
      </c>
      <c r="I1031">
        <f t="shared" si="139"/>
        <v>0</v>
      </c>
      <c r="J1031">
        <f t="shared" si="131"/>
        <v>22.576137542724631</v>
      </c>
      <c r="K1031" t="s">
        <v>2120</v>
      </c>
      <c r="L1031" t="s">
        <v>2121</v>
      </c>
      <c r="M1031" t="s">
        <v>27</v>
      </c>
      <c r="N1031" t="s">
        <v>27</v>
      </c>
      <c r="O1031">
        <v>5.43</v>
      </c>
      <c r="P1031">
        <v>9.5450563430786097</v>
      </c>
      <c r="Q1031">
        <v>14.2515859603882</v>
      </c>
      <c r="R1031">
        <v>7</v>
      </c>
      <c r="S1031">
        <v>11.710000038146999</v>
      </c>
      <c r="T1031">
        <v>73.0802001953125</v>
      </c>
      <c r="U1031">
        <v>46.808303833007798</v>
      </c>
      <c r="V1031">
        <v>-51234004</v>
      </c>
      <c r="W1031">
        <v>-2.3821980953216602</v>
      </c>
      <c r="X1031">
        <v>0.20000000298023199</v>
      </c>
      <c r="Y1031">
        <v>2.63013696670532</v>
      </c>
      <c r="Z1031">
        <v>8.3245515823364293</v>
      </c>
      <c r="AA1031">
        <v>20188000</v>
      </c>
      <c r="AB1031" t="s">
        <v>27</v>
      </c>
      <c r="AC1031" t="s">
        <v>27</v>
      </c>
      <c r="AD1031">
        <v>5.9999998658895499E-2</v>
      </c>
      <c r="AE1031">
        <v>29.641651153564499</v>
      </c>
      <c r="AF1031">
        <v>7.6699516872178597</v>
      </c>
      <c r="AG1031">
        <v>35420000</v>
      </c>
      <c r="AH1031">
        <v>62.156688690185497</v>
      </c>
      <c r="AI1031">
        <v>7.1607570648193404</v>
      </c>
    </row>
    <row r="1032" spans="1:35">
      <c r="A1032">
        <f t="shared" si="132"/>
        <v>0</v>
      </c>
      <c r="B1032">
        <f t="shared" si="133"/>
        <v>1</v>
      </c>
      <c r="C1032">
        <f t="shared" si="134"/>
        <v>1</v>
      </c>
      <c r="D1032">
        <f t="shared" si="135"/>
        <v>0</v>
      </c>
      <c r="E1032">
        <f t="shared" si="136"/>
        <v>0</v>
      </c>
      <c r="F1032">
        <f t="shared" si="137"/>
        <v>1</v>
      </c>
      <c r="G1032">
        <f t="shared" si="138"/>
        <v>0</v>
      </c>
      <c r="H1032">
        <v>1</v>
      </c>
      <c r="I1032">
        <f t="shared" si="139"/>
        <v>0</v>
      </c>
      <c r="J1032">
        <f t="shared" si="131"/>
        <v>22.55239772796633</v>
      </c>
      <c r="K1032" t="s">
        <v>3033</v>
      </c>
      <c r="L1032" t="s">
        <v>3034</v>
      </c>
      <c r="M1032" t="s">
        <v>27</v>
      </c>
      <c r="N1032" t="s">
        <v>27</v>
      </c>
      <c r="O1032">
        <v>15.16</v>
      </c>
      <c r="P1032" t="s">
        <v>27</v>
      </c>
      <c r="Q1032">
        <v>17.524011611938501</v>
      </c>
      <c r="R1032">
        <v>36.080001831054702</v>
      </c>
      <c r="S1032">
        <v>50.75</v>
      </c>
      <c r="T1032">
        <v>0</v>
      </c>
      <c r="U1032">
        <v>50.887374877929702</v>
      </c>
      <c r="V1032">
        <v>9255000</v>
      </c>
      <c r="W1032">
        <v>6.5971088409423801</v>
      </c>
      <c r="X1032">
        <v>0.37999999523162797</v>
      </c>
      <c r="Y1032">
        <v>3.4392518997192401</v>
      </c>
      <c r="Z1032">
        <v>5.0283861160278303</v>
      </c>
      <c r="AA1032">
        <v>14850000</v>
      </c>
      <c r="AB1032" t="s">
        <v>38</v>
      </c>
      <c r="AC1032" t="s">
        <v>118</v>
      </c>
      <c r="AD1032">
        <v>5.0000000745058101E-2</v>
      </c>
      <c r="AE1032">
        <v>44.727054595947301</v>
      </c>
      <c r="AF1032">
        <v>76.915155344324305</v>
      </c>
      <c r="AG1032">
        <v>16115999</v>
      </c>
      <c r="AH1032">
        <v>0</v>
      </c>
      <c r="AI1032">
        <v>28.8389682769775</v>
      </c>
    </row>
    <row r="1033" spans="1:35">
      <c r="A1033">
        <f t="shared" si="132"/>
        <v>1</v>
      </c>
      <c r="B1033">
        <f t="shared" si="133"/>
        <v>1</v>
      </c>
      <c r="C1033">
        <f t="shared" si="134"/>
        <v>1</v>
      </c>
      <c r="D1033">
        <f t="shared" si="135"/>
        <v>1</v>
      </c>
      <c r="E1033">
        <f t="shared" si="136"/>
        <v>0</v>
      </c>
      <c r="F1033">
        <f t="shared" si="137"/>
        <v>1</v>
      </c>
      <c r="G1033">
        <f t="shared" si="138"/>
        <v>1</v>
      </c>
      <c r="H1033">
        <v>1</v>
      </c>
      <c r="I1033">
        <f t="shared" si="139"/>
        <v>0</v>
      </c>
      <c r="J1033">
        <f t="shared" si="131"/>
        <v>22.526540756225589</v>
      </c>
      <c r="K1033" t="s">
        <v>3164</v>
      </c>
      <c r="L1033" t="s">
        <v>3165</v>
      </c>
      <c r="M1033" t="s">
        <v>27</v>
      </c>
      <c r="N1033" t="s">
        <v>27</v>
      </c>
      <c r="O1033">
        <v>20.5</v>
      </c>
      <c r="P1033">
        <v>8.2622117996215803</v>
      </c>
      <c r="Q1033">
        <v>8.7014036178588903</v>
      </c>
      <c r="R1033">
        <v>26.549999237060501</v>
      </c>
      <c r="S1033">
        <v>8.375</v>
      </c>
      <c r="T1033">
        <v>79.492279052734403</v>
      </c>
      <c r="U1033">
        <v>13.0402641296387</v>
      </c>
      <c r="V1033">
        <v>17501000</v>
      </c>
      <c r="W1033">
        <v>1.98644399642944</v>
      </c>
      <c r="X1033">
        <v>1.03999996185303</v>
      </c>
      <c r="Y1033">
        <v>25.449663162231399</v>
      </c>
      <c r="Z1033">
        <v>13.825137138366699</v>
      </c>
      <c r="AA1033">
        <v>17703000</v>
      </c>
      <c r="AB1033" t="s">
        <v>52</v>
      </c>
      <c r="AC1033" t="s">
        <v>134</v>
      </c>
      <c r="AD1033">
        <v>1.5299999713897701</v>
      </c>
      <c r="AE1033">
        <v>13.3681840896606</v>
      </c>
      <c r="AF1033">
        <v>5.6085947647805403</v>
      </c>
      <c r="AG1033">
        <v>17846000</v>
      </c>
      <c r="AH1033">
        <v>77.557800292968807</v>
      </c>
      <c r="AI1033">
        <v>2.4372649192810099</v>
      </c>
    </row>
    <row r="1034" spans="1:35">
      <c r="A1034">
        <f t="shared" si="132"/>
        <v>1</v>
      </c>
      <c r="B1034">
        <f t="shared" si="133"/>
        <v>1</v>
      </c>
      <c r="C1034">
        <f t="shared" si="134"/>
        <v>1</v>
      </c>
      <c r="D1034">
        <f t="shared" si="135"/>
        <v>0</v>
      </c>
      <c r="E1034">
        <f t="shared" si="136"/>
        <v>0</v>
      </c>
      <c r="F1034">
        <f t="shared" si="137"/>
        <v>1</v>
      </c>
      <c r="G1034">
        <f t="shared" si="138"/>
        <v>0</v>
      </c>
      <c r="H1034">
        <v>1</v>
      </c>
      <c r="I1034">
        <f t="shared" si="139"/>
        <v>1</v>
      </c>
      <c r="J1034">
        <f t="shared" si="131"/>
        <v>22.487546920776403</v>
      </c>
      <c r="K1034" t="s">
        <v>3318</v>
      </c>
      <c r="L1034" t="s">
        <v>3319</v>
      </c>
      <c r="M1034" t="s">
        <v>27</v>
      </c>
      <c r="N1034" t="s">
        <v>27</v>
      </c>
      <c r="O1034">
        <v>27.24</v>
      </c>
      <c r="P1034">
        <v>9.3457279205322301</v>
      </c>
      <c r="Q1034">
        <v>15.351182937622101</v>
      </c>
      <c r="R1034">
        <v>21.5</v>
      </c>
      <c r="S1034">
        <v>29.25</v>
      </c>
      <c r="T1034">
        <v>4.2111358642578098</v>
      </c>
      <c r="U1034" t="s">
        <v>27</v>
      </c>
      <c r="V1034">
        <v>5913000</v>
      </c>
      <c r="W1034">
        <v>1.2242139577865601</v>
      </c>
      <c r="X1034">
        <v>0.40000000596046398</v>
      </c>
      <c r="Y1034">
        <v>5</v>
      </c>
      <c r="Z1034">
        <v>7.1363639831543004</v>
      </c>
      <c r="AA1034">
        <v>3981000</v>
      </c>
      <c r="AB1034" t="s">
        <v>27</v>
      </c>
      <c r="AC1034" t="s">
        <v>27</v>
      </c>
      <c r="AD1034">
        <v>0.36000001430511502</v>
      </c>
      <c r="AE1034" t="s">
        <v>27</v>
      </c>
      <c r="AF1034" t="s">
        <v>27</v>
      </c>
      <c r="AG1034">
        <v>3979000</v>
      </c>
      <c r="AH1034">
        <v>2.77172803878784</v>
      </c>
      <c r="AI1034">
        <v>1.2749929428100599</v>
      </c>
    </row>
    <row r="1035" spans="1:35">
      <c r="A1035">
        <f t="shared" si="132"/>
        <v>1</v>
      </c>
      <c r="B1035">
        <f t="shared" si="133"/>
        <v>0</v>
      </c>
      <c r="C1035">
        <f t="shared" si="134"/>
        <v>1</v>
      </c>
      <c r="D1035">
        <f t="shared" si="135"/>
        <v>1</v>
      </c>
      <c r="E1035">
        <f t="shared" si="136"/>
        <v>0</v>
      </c>
      <c r="F1035">
        <f t="shared" si="137"/>
        <v>1</v>
      </c>
      <c r="G1035">
        <f t="shared" si="138"/>
        <v>0</v>
      </c>
      <c r="H1035">
        <v>1</v>
      </c>
      <c r="I1035">
        <f t="shared" si="139"/>
        <v>0</v>
      </c>
      <c r="J1035">
        <f t="shared" si="131"/>
        <v>22.44739556312566</v>
      </c>
      <c r="K1035" t="s">
        <v>2100</v>
      </c>
      <c r="L1035" t="s">
        <v>2101</v>
      </c>
      <c r="M1035" t="s">
        <v>27</v>
      </c>
      <c r="N1035" t="s">
        <v>27</v>
      </c>
      <c r="O1035">
        <v>18.3</v>
      </c>
      <c r="P1035">
        <v>19.762344360351602</v>
      </c>
      <c r="Q1035">
        <v>19.3778686523438</v>
      </c>
      <c r="R1035">
        <v>24.850000381469702</v>
      </c>
      <c r="S1035">
        <v>29.5100002288818</v>
      </c>
      <c r="T1035">
        <v>11.2967472076416</v>
      </c>
      <c r="U1035">
        <v>60.481235504150398</v>
      </c>
      <c r="V1035">
        <v>5494000</v>
      </c>
      <c r="W1035">
        <v>18.114952087402301</v>
      </c>
      <c r="X1035">
        <v>0.18000000715255701</v>
      </c>
      <c r="Y1035">
        <v>1.88849401473999</v>
      </c>
      <c r="Z1035">
        <v>3.0695269107818599</v>
      </c>
      <c r="AA1035">
        <v>28739000</v>
      </c>
      <c r="AB1035" t="s">
        <v>27</v>
      </c>
      <c r="AC1035" t="s">
        <v>27</v>
      </c>
      <c r="AD1035">
        <v>0.230000004172325</v>
      </c>
      <c r="AE1035">
        <v>58.052036285400398</v>
      </c>
      <c r="AF1035">
        <v>8.7288021973206291</v>
      </c>
      <c r="AG1035">
        <v>30708100</v>
      </c>
      <c r="AH1035">
        <v>3.24183297157288</v>
      </c>
      <c r="AI1035">
        <v>16.192487716674801</v>
      </c>
    </row>
    <row r="1036" spans="1:35">
      <c r="A1036">
        <f t="shared" si="132"/>
        <v>1</v>
      </c>
      <c r="B1036">
        <f t="shared" si="133"/>
        <v>1</v>
      </c>
      <c r="C1036">
        <f t="shared" si="134"/>
        <v>0</v>
      </c>
      <c r="D1036">
        <f t="shared" si="135"/>
        <v>1</v>
      </c>
      <c r="E1036">
        <f t="shared" si="136"/>
        <v>0</v>
      </c>
      <c r="F1036">
        <f t="shared" si="137"/>
        <v>1</v>
      </c>
      <c r="G1036">
        <f t="shared" si="138"/>
        <v>0</v>
      </c>
      <c r="H1036">
        <v>1</v>
      </c>
      <c r="I1036">
        <f t="shared" si="139"/>
        <v>0</v>
      </c>
      <c r="J1036">
        <f t="shared" si="131"/>
        <v>22.406424522399902</v>
      </c>
      <c r="K1036" t="s">
        <v>274</v>
      </c>
      <c r="L1036" t="s">
        <v>275</v>
      </c>
      <c r="M1036" t="s">
        <v>27</v>
      </c>
      <c r="N1036" t="s">
        <v>27</v>
      </c>
      <c r="O1036">
        <v>21.15</v>
      </c>
      <c r="P1036">
        <v>14.8450660705566</v>
      </c>
      <c r="Q1036">
        <v>11.0504922866821</v>
      </c>
      <c r="R1036">
        <v>24.4799995422363</v>
      </c>
      <c r="S1036">
        <v>22.399999618530298</v>
      </c>
      <c r="T1036">
        <v>45.923519134521499</v>
      </c>
      <c r="U1036" t="s">
        <v>27</v>
      </c>
      <c r="V1036">
        <v>-67996000</v>
      </c>
      <c r="W1036">
        <v>6.5070648193359402</v>
      </c>
      <c r="X1036">
        <v>0.769999980926514</v>
      </c>
      <c r="Y1036">
        <v>12.8333330154419</v>
      </c>
      <c r="Z1036">
        <v>11.3559322357178</v>
      </c>
      <c r="AA1036">
        <v>17829000</v>
      </c>
      <c r="AB1036" t="s">
        <v>27</v>
      </c>
      <c r="AC1036" t="s">
        <v>27</v>
      </c>
      <c r="AD1036">
        <v>0.99000000953674305</v>
      </c>
      <c r="AE1036" t="s">
        <v>27</v>
      </c>
      <c r="AF1036">
        <v>13.1149692735844</v>
      </c>
      <c r="AG1036">
        <v>17847000</v>
      </c>
      <c r="AH1036">
        <v>44.740505218505902</v>
      </c>
      <c r="AI1036">
        <v>9.1622867584228498</v>
      </c>
    </row>
    <row r="1037" spans="1:35">
      <c r="A1037">
        <f t="shared" si="132"/>
        <v>0</v>
      </c>
      <c r="B1037">
        <f t="shared" si="133"/>
        <v>0</v>
      </c>
      <c r="C1037">
        <f t="shared" si="134"/>
        <v>1</v>
      </c>
      <c r="D1037">
        <f t="shared" si="135"/>
        <v>0</v>
      </c>
      <c r="E1037">
        <f t="shared" si="136"/>
        <v>0</v>
      </c>
      <c r="F1037">
        <f t="shared" si="137"/>
        <v>1</v>
      </c>
      <c r="G1037">
        <f t="shared" si="138"/>
        <v>0</v>
      </c>
      <c r="H1037">
        <v>1</v>
      </c>
      <c r="I1037">
        <f t="shared" si="139"/>
        <v>1</v>
      </c>
      <c r="J1037">
        <f t="shared" si="131"/>
        <v>22.379894256591818</v>
      </c>
      <c r="K1037" t="s">
        <v>590</v>
      </c>
      <c r="L1037" t="s">
        <v>591</v>
      </c>
      <c r="M1037" t="s">
        <v>27</v>
      </c>
      <c r="N1037" t="s">
        <v>27</v>
      </c>
      <c r="O1037">
        <v>35</v>
      </c>
      <c r="P1037">
        <v>15.161680221557599</v>
      </c>
      <c r="Q1037">
        <v>15.158655166626</v>
      </c>
      <c r="R1037">
        <v>29.549999237060501</v>
      </c>
      <c r="S1037">
        <v>27.3125</v>
      </c>
      <c r="T1037">
        <v>0</v>
      </c>
      <c r="U1037" t="s">
        <v>27</v>
      </c>
      <c r="V1037">
        <v>2188000</v>
      </c>
      <c r="W1037">
        <v>1.92141497135162</v>
      </c>
      <c r="X1037">
        <v>0.54000002145767201</v>
      </c>
      <c r="Y1037">
        <v>9.0414199829101598</v>
      </c>
      <c r="Z1037">
        <v>7.2212390899658203</v>
      </c>
      <c r="AA1037">
        <v>4272000</v>
      </c>
      <c r="AB1037" t="s">
        <v>34</v>
      </c>
      <c r="AC1037" t="s">
        <v>35</v>
      </c>
      <c r="AD1037">
        <v>0.52999997138977095</v>
      </c>
      <c r="AE1037" t="s">
        <v>27</v>
      </c>
      <c r="AF1037" t="s">
        <v>27</v>
      </c>
      <c r="AG1037">
        <v>4322000</v>
      </c>
      <c r="AH1037">
        <v>4.1944289207458496</v>
      </c>
      <c r="AI1037">
        <v>1.8748480081558201</v>
      </c>
    </row>
    <row r="1038" spans="1:35">
      <c r="A1038">
        <f t="shared" si="132"/>
        <v>1</v>
      </c>
      <c r="B1038">
        <f t="shared" si="133"/>
        <v>0</v>
      </c>
      <c r="C1038">
        <f t="shared" si="134"/>
        <v>1</v>
      </c>
      <c r="D1038">
        <f t="shared" si="135"/>
        <v>1</v>
      </c>
      <c r="E1038">
        <f t="shared" si="136"/>
        <v>0</v>
      </c>
      <c r="F1038">
        <f t="shared" si="137"/>
        <v>1</v>
      </c>
      <c r="G1038">
        <f t="shared" si="138"/>
        <v>1</v>
      </c>
      <c r="H1038">
        <v>1</v>
      </c>
      <c r="I1038">
        <f t="shared" si="139"/>
        <v>0</v>
      </c>
      <c r="J1038">
        <f t="shared" si="131"/>
        <v>22.371394157409703</v>
      </c>
      <c r="K1038" t="s">
        <v>1898</v>
      </c>
      <c r="L1038" t="s">
        <v>1899</v>
      </c>
      <c r="M1038" t="s">
        <v>27</v>
      </c>
      <c r="N1038" t="s">
        <v>27</v>
      </c>
      <c r="O1038">
        <v>12.26</v>
      </c>
      <c r="P1038">
        <v>13.2292642593384</v>
      </c>
      <c r="Q1038">
        <v>10.445467948913601</v>
      </c>
      <c r="R1038">
        <v>20.25</v>
      </c>
      <c r="S1038">
        <v>11.9375</v>
      </c>
      <c r="T1038">
        <v>0.53913199901580799</v>
      </c>
      <c r="U1038">
        <v>41.020053863525398</v>
      </c>
      <c r="V1038">
        <v>7863000</v>
      </c>
      <c r="W1038" t="s">
        <v>27</v>
      </c>
      <c r="X1038">
        <v>0.5</v>
      </c>
      <c r="Y1038">
        <v>17.435216903686499</v>
      </c>
      <c r="Z1038">
        <v>11.925926208496101</v>
      </c>
      <c r="AA1038">
        <v>19476000</v>
      </c>
      <c r="AB1038" t="s">
        <v>30</v>
      </c>
      <c r="AC1038" t="s">
        <v>332</v>
      </c>
      <c r="AD1038">
        <v>0.60000002384185802</v>
      </c>
      <c r="AE1038">
        <v>42.100719451904297</v>
      </c>
      <c r="AF1038">
        <v>4.3200469967345301</v>
      </c>
      <c r="AG1038">
        <v>18337000</v>
      </c>
      <c r="AH1038">
        <v>0.36338201165199302</v>
      </c>
      <c r="AI1038">
        <v>11.8924407958984</v>
      </c>
    </row>
    <row r="1039" spans="1:35">
      <c r="A1039">
        <f t="shared" si="132"/>
        <v>0</v>
      </c>
      <c r="B1039">
        <f t="shared" si="133"/>
        <v>1</v>
      </c>
      <c r="C1039">
        <f t="shared" si="134"/>
        <v>0</v>
      </c>
      <c r="D1039">
        <f t="shared" si="135"/>
        <v>1</v>
      </c>
      <c r="E1039">
        <f t="shared" si="136"/>
        <v>0</v>
      </c>
      <c r="F1039">
        <f t="shared" si="137"/>
        <v>1</v>
      </c>
      <c r="G1039">
        <f t="shared" si="138"/>
        <v>1</v>
      </c>
      <c r="H1039">
        <v>1</v>
      </c>
      <c r="I1039">
        <f t="shared" si="139"/>
        <v>0</v>
      </c>
      <c r="J1039">
        <f t="shared" si="131"/>
        <v>22.368348121643088</v>
      </c>
      <c r="K1039" t="s">
        <v>3107</v>
      </c>
      <c r="L1039" t="s">
        <v>3108</v>
      </c>
      <c r="M1039" t="s">
        <v>27</v>
      </c>
      <c r="N1039" t="s">
        <v>27</v>
      </c>
      <c r="O1039">
        <v>8.9</v>
      </c>
      <c r="P1039">
        <v>5.4699821472168004</v>
      </c>
      <c r="Q1039">
        <v>15.689167022705099</v>
      </c>
      <c r="R1039">
        <v>17.966667175293001</v>
      </c>
      <c r="S1039">
        <v>14.0277777777778</v>
      </c>
      <c r="T1039">
        <v>0</v>
      </c>
      <c r="U1039">
        <v>27.746482849121101</v>
      </c>
      <c r="V1039">
        <v>-2901001</v>
      </c>
      <c r="W1039">
        <v>6.9101262092590297</v>
      </c>
      <c r="X1039">
        <v>0.139999998940362</v>
      </c>
      <c r="Y1039">
        <v>4.8549618721008301</v>
      </c>
      <c r="Z1039">
        <v>6.6791810989379901</v>
      </c>
      <c r="AA1039">
        <v>28010250</v>
      </c>
      <c r="AB1039" t="s">
        <v>30</v>
      </c>
      <c r="AC1039" t="s">
        <v>68</v>
      </c>
      <c r="AD1039">
        <v>0.22999999920527101</v>
      </c>
      <c r="AE1039">
        <v>32.162601470947301</v>
      </c>
      <c r="AF1039" t="s">
        <v>27</v>
      </c>
      <c r="AG1039">
        <v>32872500</v>
      </c>
      <c r="AH1039">
        <v>0</v>
      </c>
      <c r="AI1039">
        <v>8.5406627655029297</v>
      </c>
    </row>
    <row r="1040" spans="1:35">
      <c r="A1040">
        <f t="shared" si="132"/>
        <v>1</v>
      </c>
      <c r="B1040">
        <f t="shared" si="133"/>
        <v>0</v>
      </c>
      <c r="C1040">
        <f t="shared" si="134"/>
        <v>1</v>
      </c>
      <c r="D1040">
        <f t="shared" si="135"/>
        <v>1</v>
      </c>
      <c r="E1040">
        <f t="shared" si="136"/>
        <v>0</v>
      </c>
      <c r="F1040">
        <f t="shared" si="137"/>
        <v>1</v>
      </c>
      <c r="G1040">
        <f t="shared" si="138"/>
        <v>0</v>
      </c>
      <c r="H1040">
        <v>1</v>
      </c>
      <c r="I1040">
        <f t="shared" si="139"/>
        <v>0</v>
      </c>
      <c r="J1040">
        <f t="shared" si="131"/>
        <v>22.36402416229252</v>
      </c>
      <c r="K1040" t="s">
        <v>3761</v>
      </c>
      <c r="L1040" t="s">
        <v>3762</v>
      </c>
      <c r="M1040" t="s">
        <v>27</v>
      </c>
      <c r="N1040" t="s">
        <v>27</v>
      </c>
      <c r="O1040">
        <v>27.12</v>
      </c>
      <c r="P1040">
        <v>14.4414777755737</v>
      </c>
      <c r="Q1040">
        <v>15.926115989685099</v>
      </c>
      <c r="R1040">
        <v>33.950000762939503</v>
      </c>
      <c r="S1040">
        <v>31.8125</v>
      </c>
      <c r="T1040">
        <v>6.9443559646606401</v>
      </c>
      <c r="U1040">
        <v>51.294544219970703</v>
      </c>
      <c r="V1040">
        <v>10324900</v>
      </c>
      <c r="W1040">
        <v>8.4400300979614293</v>
      </c>
      <c r="X1040">
        <v>0.43999999761581399</v>
      </c>
      <c r="Y1040">
        <v>5.9622640609741202</v>
      </c>
      <c r="Z1040">
        <v>6.4379081726074201</v>
      </c>
      <c r="AA1040">
        <v>12308000</v>
      </c>
      <c r="AB1040" t="s">
        <v>27</v>
      </c>
      <c r="AC1040" t="s">
        <v>27</v>
      </c>
      <c r="AD1040">
        <v>0.5</v>
      </c>
      <c r="AE1040">
        <v>50.844768524169901</v>
      </c>
      <c r="AF1040">
        <v>8.1729434869739492</v>
      </c>
      <c r="AG1040">
        <v>12936000</v>
      </c>
      <c r="AH1040">
        <v>4.0948009490966797</v>
      </c>
      <c r="AI1040">
        <v>5.5451421737670898</v>
      </c>
    </row>
    <row r="1041" spans="1:35">
      <c r="A1041">
        <f t="shared" si="132"/>
        <v>0</v>
      </c>
      <c r="B1041">
        <f t="shared" si="133"/>
        <v>0</v>
      </c>
      <c r="C1041">
        <f t="shared" si="134"/>
        <v>1</v>
      </c>
      <c r="D1041">
        <f t="shared" si="135"/>
        <v>0</v>
      </c>
      <c r="E1041">
        <f t="shared" si="136"/>
        <v>0</v>
      </c>
      <c r="F1041">
        <f t="shared" si="137"/>
        <v>1</v>
      </c>
      <c r="G1041">
        <f t="shared" si="138"/>
        <v>0</v>
      </c>
      <c r="H1041">
        <v>1</v>
      </c>
      <c r="I1041">
        <f t="shared" si="139"/>
        <v>0</v>
      </c>
      <c r="J1041">
        <f t="shared" si="131"/>
        <v>22.330188274383548</v>
      </c>
      <c r="K1041" t="s">
        <v>2542</v>
      </c>
      <c r="L1041" t="s">
        <v>2543</v>
      </c>
      <c r="M1041" t="s">
        <v>27</v>
      </c>
      <c r="N1041" t="s">
        <v>27</v>
      </c>
      <c r="O1041">
        <v>6</v>
      </c>
      <c r="P1041">
        <v>21.984725952148398</v>
      </c>
      <c r="Q1041">
        <v>17.292875289916999</v>
      </c>
      <c r="R1041">
        <v>19.860000610351602</v>
      </c>
      <c r="S1041">
        <v>26.875</v>
      </c>
      <c r="T1041">
        <v>0</v>
      </c>
      <c r="U1041">
        <v>32.833751678466797</v>
      </c>
      <c r="V1041" t="s">
        <v>27</v>
      </c>
      <c r="W1041" t="s">
        <v>27</v>
      </c>
      <c r="X1041">
        <v>0.230000004172325</v>
      </c>
      <c r="Y1041">
        <v>2.5498011112213099</v>
      </c>
      <c r="Z1041">
        <v>5.0373129844665501</v>
      </c>
      <c r="AA1041">
        <v>23047000</v>
      </c>
      <c r="AB1041" t="s">
        <v>61</v>
      </c>
      <c r="AC1041" t="s">
        <v>80</v>
      </c>
      <c r="AD1041">
        <v>0.18000000715255701</v>
      </c>
      <c r="AE1041">
        <v>32.251880645752003</v>
      </c>
      <c r="AF1041">
        <v>5.1690442006269599</v>
      </c>
      <c r="AG1041">
        <v>22379000</v>
      </c>
      <c r="AH1041">
        <v>0</v>
      </c>
      <c r="AI1041">
        <v>21.711713790893601</v>
      </c>
    </row>
    <row r="1042" spans="1:35">
      <c r="A1042">
        <f t="shared" si="132"/>
        <v>1</v>
      </c>
      <c r="B1042">
        <f t="shared" si="133"/>
        <v>0</v>
      </c>
      <c r="C1042">
        <f t="shared" si="134"/>
        <v>1</v>
      </c>
      <c r="D1042">
        <f t="shared" si="135"/>
        <v>0</v>
      </c>
      <c r="E1042">
        <f t="shared" si="136"/>
        <v>0</v>
      </c>
      <c r="F1042">
        <f t="shared" si="137"/>
        <v>1</v>
      </c>
      <c r="G1042">
        <f t="shared" si="138"/>
        <v>0</v>
      </c>
      <c r="H1042">
        <v>1</v>
      </c>
      <c r="I1042">
        <f t="shared" si="139"/>
        <v>0</v>
      </c>
      <c r="J1042">
        <f t="shared" si="131"/>
        <v>22.285922050476081</v>
      </c>
      <c r="K1042" t="s">
        <v>1257</v>
      </c>
      <c r="L1042" t="s">
        <v>1258</v>
      </c>
      <c r="M1042" t="s">
        <v>27</v>
      </c>
      <c r="N1042" t="s">
        <v>27</v>
      </c>
      <c r="O1042">
        <v>22.26</v>
      </c>
      <c r="P1042">
        <v>15.441290855407701</v>
      </c>
      <c r="Q1042">
        <v>13.213274002075201</v>
      </c>
      <c r="R1042">
        <v>39.419998168945298</v>
      </c>
      <c r="S1042">
        <v>25.125</v>
      </c>
      <c r="T1042">
        <v>25.250532150268601</v>
      </c>
      <c r="U1042">
        <v>17.761835098266602</v>
      </c>
      <c r="V1042">
        <v>48902000</v>
      </c>
      <c r="W1042">
        <v>6.8175411224365199</v>
      </c>
      <c r="X1042">
        <v>0.769999980926514</v>
      </c>
      <c r="Y1042">
        <v>10.5302333831787</v>
      </c>
      <c r="Z1042">
        <v>9.0726480484008807</v>
      </c>
      <c r="AA1042">
        <v>34273000</v>
      </c>
      <c r="AB1042" t="s">
        <v>61</v>
      </c>
      <c r="AC1042" t="s">
        <v>77</v>
      </c>
      <c r="AD1042">
        <v>-0.18000000715255701</v>
      </c>
      <c r="AE1042">
        <v>16.027063369751001</v>
      </c>
      <c r="AF1042">
        <v>5.3028524542647197</v>
      </c>
      <c r="AG1042">
        <v>33850000</v>
      </c>
      <c r="AH1042">
        <v>22.264951705932599</v>
      </c>
      <c r="AI1042">
        <v>6.7597627639770499</v>
      </c>
    </row>
    <row r="1043" spans="1:35">
      <c r="A1043">
        <f t="shared" si="132"/>
        <v>1</v>
      </c>
      <c r="B1043">
        <f t="shared" si="133"/>
        <v>1</v>
      </c>
      <c r="C1043">
        <f t="shared" si="134"/>
        <v>1</v>
      </c>
      <c r="D1043">
        <f t="shared" si="135"/>
        <v>0</v>
      </c>
      <c r="E1043">
        <f t="shared" si="136"/>
        <v>0</v>
      </c>
      <c r="F1043">
        <f t="shared" si="137"/>
        <v>1</v>
      </c>
      <c r="G1043">
        <f t="shared" si="138"/>
        <v>0</v>
      </c>
      <c r="H1043">
        <v>1</v>
      </c>
      <c r="I1043">
        <f t="shared" si="139"/>
        <v>0</v>
      </c>
      <c r="J1043">
        <f t="shared" si="131"/>
        <v>22.185499668121309</v>
      </c>
      <c r="K1043" t="s">
        <v>3669</v>
      </c>
      <c r="L1043" t="s">
        <v>3670</v>
      </c>
      <c r="M1043" t="s">
        <v>27</v>
      </c>
      <c r="N1043" t="s">
        <v>27</v>
      </c>
      <c r="O1043">
        <v>9.6790000000000003</v>
      </c>
      <c r="P1043">
        <v>17.283462524414102</v>
      </c>
      <c r="Q1043">
        <v>16.681520462036101</v>
      </c>
      <c r="R1043">
        <v>16.049999237060501</v>
      </c>
      <c r="S1043">
        <v>21</v>
      </c>
      <c r="T1043">
        <v>0.232880994677544</v>
      </c>
      <c r="U1043">
        <v>40.81591796875</v>
      </c>
      <c r="V1043">
        <v>4461000</v>
      </c>
      <c r="W1043">
        <v>11.5154581069946</v>
      </c>
      <c r="X1043">
        <v>0.259999990463257</v>
      </c>
      <c r="Y1043">
        <v>2.9354000091552699</v>
      </c>
      <c r="Z1043">
        <v>5.5039792060852104</v>
      </c>
      <c r="AA1043">
        <v>13772000</v>
      </c>
      <c r="AB1043" t="s">
        <v>30</v>
      </c>
      <c r="AC1043" t="s">
        <v>410</v>
      </c>
      <c r="AD1043">
        <v>0.20000000298023199</v>
      </c>
      <c r="AE1043">
        <v>40.786334991455099</v>
      </c>
      <c r="AF1043">
        <v>7.6156652755608203</v>
      </c>
      <c r="AG1043">
        <v>13733000</v>
      </c>
      <c r="AH1043">
        <v>0.12661699950694999</v>
      </c>
      <c r="AI1043">
        <v>13.8505353927612</v>
      </c>
    </row>
    <row r="1044" spans="1:35">
      <c r="A1044">
        <f t="shared" si="132"/>
        <v>0</v>
      </c>
      <c r="B1044">
        <f t="shared" si="133"/>
        <v>0</v>
      </c>
      <c r="C1044">
        <f t="shared" si="134"/>
        <v>1</v>
      </c>
      <c r="D1044">
        <f t="shared" si="135"/>
        <v>0</v>
      </c>
      <c r="E1044">
        <f t="shared" si="136"/>
        <v>0</v>
      </c>
      <c r="F1044">
        <f t="shared" si="137"/>
        <v>1</v>
      </c>
      <c r="G1044">
        <f t="shared" si="138"/>
        <v>1</v>
      </c>
      <c r="H1044">
        <v>1</v>
      </c>
      <c r="I1044">
        <f t="shared" si="139"/>
        <v>0</v>
      </c>
      <c r="J1044">
        <f t="shared" si="131"/>
        <v>22.170111656189</v>
      </c>
      <c r="K1044" t="s">
        <v>1065</v>
      </c>
      <c r="L1044" t="s">
        <v>1066</v>
      </c>
      <c r="M1044" t="s">
        <v>27</v>
      </c>
      <c r="N1044" t="s">
        <v>27</v>
      </c>
      <c r="O1044">
        <v>22</v>
      </c>
      <c r="P1044">
        <v>12.671407699585</v>
      </c>
      <c r="Q1044">
        <v>11.103829383850099</v>
      </c>
      <c r="R1044">
        <v>20.5</v>
      </c>
      <c r="S1044">
        <v>20.649999618530298</v>
      </c>
      <c r="T1044">
        <v>48.073940277099602</v>
      </c>
      <c r="U1044">
        <v>55.786643981933601</v>
      </c>
      <c r="V1044">
        <v>4258000.5</v>
      </c>
      <c r="W1044">
        <v>9.4106264114379901</v>
      </c>
      <c r="X1044">
        <v>0.20999999344348899</v>
      </c>
      <c r="Y1044">
        <v>10.6666669845581</v>
      </c>
      <c r="Z1044">
        <v>11.066282272338899</v>
      </c>
      <c r="AA1044">
        <v>13214497</v>
      </c>
      <c r="AB1044" t="s">
        <v>27</v>
      </c>
      <c r="AC1044" t="s">
        <v>27</v>
      </c>
      <c r="AD1044">
        <v>0.15000000596046401</v>
      </c>
      <c r="AE1044">
        <v>56.456577301025398</v>
      </c>
      <c r="AF1044">
        <v>4.9164003976972799</v>
      </c>
      <c r="AG1044">
        <v>12647000</v>
      </c>
      <c r="AH1044">
        <v>49.837726593017599</v>
      </c>
      <c r="AI1044">
        <v>5.3447971343994096</v>
      </c>
    </row>
    <row r="1045" spans="1:35">
      <c r="A1045">
        <f t="shared" si="132"/>
        <v>1</v>
      </c>
      <c r="B1045">
        <f t="shared" si="133"/>
        <v>1</v>
      </c>
      <c r="C1045">
        <f t="shared" si="134"/>
        <v>1</v>
      </c>
      <c r="D1045">
        <f t="shared" si="135"/>
        <v>1</v>
      </c>
      <c r="E1045">
        <f t="shared" si="136"/>
        <v>0</v>
      </c>
      <c r="F1045">
        <f t="shared" si="137"/>
        <v>1</v>
      </c>
      <c r="G1045">
        <f t="shared" si="138"/>
        <v>1</v>
      </c>
      <c r="H1045">
        <v>1</v>
      </c>
      <c r="I1045">
        <f t="shared" si="139"/>
        <v>1</v>
      </c>
      <c r="J1045">
        <f t="shared" si="131"/>
        <v>22.169235229492191</v>
      </c>
      <c r="K1045" t="s">
        <v>688</v>
      </c>
      <c r="L1045" t="s">
        <v>689</v>
      </c>
      <c r="M1045" t="s">
        <v>27</v>
      </c>
      <c r="N1045" t="s">
        <v>27</v>
      </c>
      <c r="O1045">
        <v>14.62</v>
      </c>
      <c r="P1045">
        <v>8.6726379394531303</v>
      </c>
      <c r="Q1045">
        <v>8.4850254058837908</v>
      </c>
      <c r="R1045">
        <v>12.0900001525879</v>
      </c>
      <c r="S1045">
        <v>15.25</v>
      </c>
      <c r="T1045">
        <v>34.731052398681598</v>
      </c>
      <c r="U1045">
        <v>32.298786163330099</v>
      </c>
      <c r="V1045">
        <v>10479000</v>
      </c>
      <c r="W1045">
        <v>1.4939039945602399</v>
      </c>
      <c r="X1045">
        <v>5.9999998658895499E-2</v>
      </c>
      <c r="Y1045">
        <v>8.7559051513671893</v>
      </c>
      <c r="Z1045">
        <v>13.6842098236084</v>
      </c>
      <c r="AA1045">
        <v>11440000</v>
      </c>
      <c r="AB1045" t="s">
        <v>27</v>
      </c>
      <c r="AC1045" t="s">
        <v>27</v>
      </c>
      <c r="AD1045">
        <v>0.31999999284744302</v>
      </c>
      <c r="AE1045">
        <v>33.6466064453125</v>
      </c>
      <c r="AF1045">
        <v>5.1472186707255201</v>
      </c>
      <c r="AG1045">
        <v>11313000</v>
      </c>
      <c r="AH1045">
        <v>30.443092346191399</v>
      </c>
      <c r="AI1045">
        <v>3.9854600429534899</v>
      </c>
    </row>
    <row r="1046" spans="1:35">
      <c r="A1046">
        <f t="shared" si="132"/>
        <v>1</v>
      </c>
      <c r="B1046">
        <f t="shared" si="133"/>
        <v>0</v>
      </c>
      <c r="C1046">
        <f t="shared" si="134"/>
        <v>1</v>
      </c>
      <c r="D1046">
        <f t="shared" si="135"/>
        <v>0</v>
      </c>
      <c r="E1046">
        <f t="shared" si="136"/>
        <v>0</v>
      </c>
      <c r="F1046">
        <f t="shared" si="137"/>
        <v>1</v>
      </c>
      <c r="G1046">
        <f t="shared" si="138"/>
        <v>0</v>
      </c>
      <c r="H1046">
        <v>1</v>
      </c>
      <c r="I1046">
        <f t="shared" si="139"/>
        <v>0</v>
      </c>
      <c r="J1046">
        <f t="shared" si="131"/>
        <v>22.162161350250219</v>
      </c>
      <c r="K1046" t="s">
        <v>2646</v>
      </c>
      <c r="L1046" t="s">
        <v>2647</v>
      </c>
      <c r="M1046" t="s">
        <v>27</v>
      </c>
      <c r="N1046" t="s">
        <v>27</v>
      </c>
      <c r="O1046">
        <v>47.85</v>
      </c>
      <c r="P1046">
        <v>18.449192047119102</v>
      </c>
      <c r="Q1046">
        <v>14.631930351257299</v>
      </c>
      <c r="R1046">
        <v>58.200000762939503</v>
      </c>
      <c r="S1046">
        <v>71.699996948242202</v>
      </c>
      <c r="T1046">
        <v>33.149341583252003</v>
      </c>
      <c r="U1046">
        <v>32.2544975280762</v>
      </c>
      <c r="V1046">
        <v>3300000</v>
      </c>
      <c r="W1046">
        <v>13.0409860610962</v>
      </c>
      <c r="X1046">
        <v>1.46000003814697</v>
      </c>
      <c r="Y1046">
        <v>9.1576681137084996</v>
      </c>
      <c r="Z1046">
        <v>7.5302309989929199</v>
      </c>
      <c r="AA1046">
        <v>21916000</v>
      </c>
      <c r="AB1046" t="s">
        <v>27</v>
      </c>
      <c r="AC1046" t="s">
        <v>27</v>
      </c>
      <c r="AD1046">
        <v>0.60000002384185802</v>
      </c>
      <c r="AE1046">
        <v>28.432075500488299</v>
      </c>
      <c r="AF1046">
        <v>4.24663061953098</v>
      </c>
      <c r="AG1046">
        <v>22225000</v>
      </c>
      <c r="AH1046">
        <v>29.3382358551025</v>
      </c>
      <c r="AI1046">
        <v>11.605639457702599</v>
      </c>
    </row>
    <row r="1047" spans="1:35">
      <c r="A1047">
        <f t="shared" si="132"/>
        <v>1</v>
      </c>
      <c r="B1047">
        <f t="shared" si="133"/>
        <v>0</v>
      </c>
      <c r="C1047">
        <f t="shared" si="134"/>
        <v>1</v>
      </c>
      <c r="D1047">
        <f t="shared" si="135"/>
        <v>0</v>
      </c>
      <c r="E1047">
        <f t="shared" si="136"/>
        <v>0</v>
      </c>
      <c r="F1047">
        <f t="shared" si="137"/>
        <v>1</v>
      </c>
      <c r="G1047">
        <f t="shared" si="138"/>
        <v>0</v>
      </c>
      <c r="H1047">
        <v>1</v>
      </c>
      <c r="I1047">
        <f t="shared" si="139"/>
        <v>0</v>
      </c>
      <c r="J1047">
        <f t="shared" si="131"/>
        <v>22.104352951049762</v>
      </c>
      <c r="K1047" t="s">
        <v>532</v>
      </c>
      <c r="L1047" t="s">
        <v>533</v>
      </c>
      <c r="M1047" t="s">
        <v>27</v>
      </c>
      <c r="N1047" t="s">
        <v>27</v>
      </c>
      <c r="O1047">
        <v>41.06</v>
      </c>
      <c r="P1047">
        <v>17.444271087646499</v>
      </c>
      <c r="Q1047">
        <v>14.0007410049438</v>
      </c>
      <c r="R1047">
        <v>52.709999084472699</v>
      </c>
      <c r="S1047">
        <v>72</v>
      </c>
      <c r="T1047">
        <v>25.5501098632813</v>
      </c>
      <c r="U1047">
        <v>40.101062774658203</v>
      </c>
      <c r="V1047">
        <v>16535999</v>
      </c>
      <c r="W1047">
        <v>13.986407279968301</v>
      </c>
      <c r="X1047">
        <v>0.86000001430511497</v>
      </c>
      <c r="Y1047">
        <v>6.3056302070617702</v>
      </c>
      <c r="Z1047">
        <v>8.1036119461059606</v>
      </c>
      <c r="AA1047">
        <v>18779000</v>
      </c>
      <c r="AB1047" t="s">
        <v>38</v>
      </c>
      <c r="AC1047" t="s">
        <v>113</v>
      </c>
      <c r="AD1047">
        <v>0.86000001430511497</v>
      </c>
      <c r="AE1047">
        <v>38.072887420654297</v>
      </c>
      <c r="AF1047">
        <v>7.7019430438927001</v>
      </c>
      <c r="AG1047">
        <v>19922000</v>
      </c>
      <c r="AH1047">
        <v>18.451555252075199</v>
      </c>
      <c r="AI1047">
        <v>11.615797996521</v>
      </c>
    </row>
    <row r="1048" spans="1:35">
      <c r="A1048">
        <f t="shared" si="132"/>
        <v>1</v>
      </c>
      <c r="B1048">
        <f t="shared" si="133"/>
        <v>1</v>
      </c>
      <c r="C1048">
        <f t="shared" si="134"/>
        <v>1</v>
      </c>
      <c r="D1048">
        <f t="shared" si="135"/>
        <v>0</v>
      </c>
      <c r="E1048">
        <f t="shared" si="136"/>
        <v>0</v>
      </c>
      <c r="F1048">
        <f t="shared" si="137"/>
        <v>1</v>
      </c>
      <c r="G1048">
        <f t="shared" si="138"/>
        <v>0</v>
      </c>
      <c r="H1048">
        <v>1</v>
      </c>
      <c r="I1048">
        <f t="shared" si="139"/>
        <v>0</v>
      </c>
      <c r="J1048">
        <f t="shared" si="131"/>
        <v>22.036547183990457</v>
      </c>
      <c r="K1048" t="s">
        <v>1925</v>
      </c>
      <c r="L1048" t="s">
        <v>1926</v>
      </c>
      <c r="M1048" t="s">
        <v>27</v>
      </c>
      <c r="N1048" t="s">
        <v>27</v>
      </c>
      <c r="O1048">
        <v>17.03</v>
      </c>
      <c r="P1048">
        <v>16.148027420043899</v>
      </c>
      <c r="Q1048">
        <v>16.548742294311499</v>
      </c>
      <c r="R1048">
        <v>19.959999084472699</v>
      </c>
      <c r="S1048">
        <v>16.600000381469702</v>
      </c>
      <c r="T1048">
        <v>80.486404418945298</v>
      </c>
      <c r="U1048">
        <v>56.065452575683601</v>
      </c>
      <c r="V1048">
        <v>9860000</v>
      </c>
      <c r="W1048">
        <v>7.0144639015197798</v>
      </c>
      <c r="X1048">
        <v>2.3900001049041699</v>
      </c>
      <c r="Y1048">
        <v>6.3529410362243697</v>
      </c>
      <c r="Z1048">
        <v>5.4878048896789604</v>
      </c>
      <c r="AA1048">
        <v>45194000</v>
      </c>
      <c r="AB1048" t="s">
        <v>27</v>
      </c>
      <c r="AC1048" t="s">
        <v>27</v>
      </c>
      <c r="AD1048">
        <v>0.20999999344348899</v>
      </c>
      <c r="AE1048">
        <v>52.966667175292997</v>
      </c>
      <c r="AF1048">
        <v>10.5328378272318</v>
      </c>
      <c r="AG1048">
        <v>41521000</v>
      </c>
      <c r="AH1048">
        <v>75.317214965820298</v>
      </c>
      <c r="AI1048">
        <v>25.195569992065401</v>
      </c>
    </row>
    <row r="1049" spans="1:35">
      <c r="A1049">
        <f t="shared" si="132"/>
        <v>1</v>
      </c>
      <c r="B1049">
        <f t="shared" si="133"/>
        <v>1</v>
      </c>
      <c r="C1049">
        <f t="shared" si="134"/>
        <v>0</v>
      </c>
      <c r="D1049">
        <f t="shared" si="135"/>
        <v>0</v>
      </c>
      <c r="E1049">
        <f t="shared" si="136"/>
        <v>0</v>
      </c>
      <c r="F1049">
        <f t="shared" si="137"/>
        <v>1</v>
      </c>
      <c r="G1049">
        <f t="shared" si="138"/>
        <v>0</v>
      </c>
      <c r="H1049">
        <v>1</v>
      </c>
      <c r="I1049">
        <f t="shared" si="139"/>
        <v>0</v>
      </c>
      <c r="J1049">
        <f t="shared" si="131"/>
        <v>21.96425390243531</v>
      </c>
      <c r="K1049" t="s">
        <v>1888</v>
      </c>
      <c r="L1049" t="s">
        <v>1889</v>
      </c>
      <c r="M1049" t="s">
        <v>27</v>
      </c>
      <c r="N1049" t="s">
        <v>27</v>
      </c>
      <c r="O1049">
        <v>5.8390000000000004</v>
      </c>
      <c r="P1049">
        <v>22.1402702331543</v>
      </c>
      <c r="Q1049">
        <v>15.0734977722168</v>
      </c>
      <c r="R1049">
        <v>9.5200004577636701</v>
      </c>
      <c r="S1049">
        <v>23.4375</v>
      </c>
      <c r="T1049">
        <v>15.069104194641101</v>
      </c>
      <c r="U1049">
        <v>35.840858459472699</v>
      </c>
      <c r="V1049">
        <v>-844000</v>
      </c>
      <c r="W1049">
        <v>11.4844570159912</v>
      </c>
      <c r="X1049">
        <v>0.109999999403954</v>
      </c>
      <c r="Y1049">
        <v>1.5502389669418299</v>
      </c>
      <c r="Z1049">
        <v>6.8907561302185103</v>
      </c>
      <c r="AA1049">
        <v>24439000</v>
      </c>
      <c r="AB1049" t="s">
        <v>38</v>
      </c>
      <c r="AC1049" t="s">
        <v>118</v>
      </c>
      <c r="AD1049">
        <v>3.9999999105930301E-2</v>
      </c>
      <c r="AE1049">
        <v>33.911952972412102</v>
      </c>
      <c r="AF1049" t="s">
        <v>27</v>
      </c>
      <c r="AG1049">
        <v>26786000</v>
      </c>
      <c r="AH1049">
        <v>5.9765338897705096</v>
      </c>
      <c r="AI1049">
        <v>14.2676382064819</v>
      </c>
    </row>
    <row r="1050" spans="1:35">
      <c r="A1050">
        <f t="shared" si="132"/>
        <v>1</v>
      </c>
      <c r="B1050">
        <f t="shared" si="133"/>
        <v>0</v>
      </c>
      <c r="C1050">
        <f t="shared" si="134"/>
        <v>1</v>
      </c>
      <c r="D1050">
        <f t="shared" si="135"/>
        <v>1</v>
      </c>
      <c r="E1050">
        <f t="shared" si="136"/>
        <v>0</v>
      </c>
      <c r="F1050">
        <f t="shared" si="137"/>
        <v>1</v>
      </c>
      <c r="G1050">
        <f t="shared" si="138"/>
        <v>0</v>
      </c>
      <c r="H1050">
        <v>1</v>
      </c>
      <c r="I1050">
        <f t="shared" si="139"/>
        <v>0</v>
      </c>
      <c r="J1050">
        <f t="shared" si="131"/>
        <v>21.792035102844231</v>
      </c>
      <c r="K1050" t="s">
        <v>3559</v>
      </c>
      <c r="L1050" t="s">
        <v>3560</v>
      </c>
      <c r="M1050" t="s">
        <v>27</v>
      </c>
      <c r="N1050" t="s">
        <v>27</v>
      </c>
      <c r="O1050">
        <v>34.96</v>
      </c>
      <c r="P1050">
        <v>14.2800149917603</v>
      </c>
      <c r="Q1050">
        <v>13.837815284729</v>
      </c>
      <c r="R1050">
        <v>39.700000762939503</v>
      </c>
      <c r="S1050">
        <v>28.625</v>
      </c>
      <c r="T1050">
        <v>11.2689962387085</v>
      </c>
      <c r="U1050" t="s">
        <v>27</v>
      </c>
      <c r="V1050">
        <v>14654000</v>
      </c>
      <c r="W1050">
        <v>12.320395469665501</v>
      </c>
      <c r="X1050">
        <v>0.70999997854232799</v>
      </c>
      <c r="Y1050">
        <v>8.3529405593872106</v>
      </c>
      <c r="Z1050">
        <v>7.9542198181152299</v>
      </c>
      <c r="AA1050">
        <v>13325000</v>
      </c>
      <c r="AB1050" t="s">
        <v>34</v>
      </c>
      <c r="AC1050" t="s">
        <v>458</v>
      </c>
      <c r="AD1050">
        <v>0.75999999046325695</v>
      </c>
      <c r="AE1050" t="s">
        <v>27</v>
      </c>
      <c r="AF1050" t="s">
        <v>27</v>
      </c>
      <c r="AG1050">
        <v>13691000</v>
      </c>
      <c r="AH1050">
        <v>9.0516891479492205</v>
      </c>
      <c r="AI1050">
        <v>11.833264350891101</v>
      </c>
    </row>
    <row r="1051" spans="1:35">
      <c r="A1051">
        <f t="shared" si="132"/>
        <v>0</v>
      </c>
      <c r="B1051">
        <f t="shared" si="133"/>
        <v>0</v>
      </c>
      <c r="C1051">
        <f t="shared" si="134"/>
        <v>1</v>
      </c>
      <c r="D1051">
        <f t="shared" si="135"/>
        <v>1</v>
      </c>
      <c r="E1051">
        <f t="shared" si="136"/>
        <v>0</v>
      </c>
      <c r="F1051">
        <f t="shared" si="137"/>
        <v>1</v>
      </c>
      <c r="G1051">
        <f t="shared" si="138"/>
        <v>0</v>
      </c>
      <c r="H1051">
        <v>1</v>
      </c>
      <c r="I1051">
        <f t="shared" si="139"/>
        <v>0</v>
      </c>
      <c r="J1051">
        <f t="shared" si="131"/>
        <v>21.743925094604492</v>
      </c>
      <c r="K1051" t="s">
        <v>2216</v>
      </c>
      <c r="L1051" t="s">
        <v>2217</v>
      </c>
      <c r="M1051" t="s">
        <v>27</v>
      </c>
      <c r="N1051" t="s">
        <v>27</v>
      </c>
      <c r="O1051">
        <v>23.25</v>
      </c>
      <c r="P1051">
        <v>11.132930755615201</v>
      </c>
      <c r="Q1051">
        <v>13.4691162109375</v>
      </c>
      <c r="R1051">
        <v>24.940000534057599</v>
      </c>
      <c r="S1051">
        <v>17.1666666666667</v>
      </c>
      <c r="T1051">
        <v>0.686626017093658</v>
      </c>
      <c r="U1051" t="s">
        <v>27</v>
      </c>
      <c r="V1051">
        <v>5415000</v>
      </c>
      <c r="W1051" t="s">
        <v>27</v>
      </c>
      <c r="X1051">
        <v>0.440000017484029</v>
      </c>
      <c r="Y1051">
        <v>11.4942531585693</v>
      </c>
      <c r="Z1051">
        <v>8.2748088836669904</v>
      </c>
      <c r="AA1051">
        <v>6046500.375</v>
      </c>
      <c r="AB1051" t="s">
        <v>34</v>
      </c>
      <c r="AC1051" t="s">
        <v>35</v>
      </c>
      <c r="AD1051">
        <v>0.54666666189829505</v>
      </c>
      <c r="AE1051" t="s">
        <v>27</v>
      </c>
      <c r="AF1051" t="s">
        <v>27</v>
      </c>
      <c r="AG1051">
        <v>5875500</v>
      </c>
      <c r="AH1051">
        <v>0.79988598823547397</v>
      </c>
      <c r="AI1051">
        <v>1.4551260471344001</v>
      </c>
    </row>
    <row r="1052" spans="1:35">
      <c r="A1052">
        <f t="shared" si="132"/>
        <v>1</v>
      </c>
      <c r="B1052">
        <f t="shared" si="133"/>
        <v>1</v>
      </c>
      <c r="C1052">
        <f t="shared" si="134"/>
        <v>0</v>
      </c>
      <c r="D1052">
        <f t="shared" si="135"/>
        <v>1</v>
      </c>
      <c r="E1052">
        <f t="shared" si="136"/>
        <v>0</v>
      </c>
      <c r="F1052">
        <f t="shared" si="137"/>
        <v>1</v>
      </c>
      <c r="G1052">
        <f t="shared" si="138"/>
        <v>0</v>
      </c>
      <c r="H1052">
        <v>1</v>
      </c>
      <c r="I1052">
        <f t="shared" si="139"/>
        <v>0</v>
      </c>
      <c r="J1052">
        <f t="shared" si="131"/>
        <v>21.696723937988299</v>
      </c>
      <c r="K1052" t="s">
        <v>2076</v>
      </c>
      <c r="L1052" t="s">
        <v>2077</v>
      </c>
      <c r="M1052" t="s">
        <v>27</v>
      </c>
      <c r="N1052" t="s">
        <v>27</v>
      </c>
      <c r="O1052">
        <v>34.08</v>
      </c>
      <c r="P1052">
        <v>10.4367055892944</v>
      </c>
      <c r="Q1052">
        <v>10.632764816284199</v>
      </c>
      <c r="R1052">
        <v>33.630001068115199</v>
      </c>
      <c r="S1052">
        <v>29.049999237060501</v>
      </c>
      <c r="T1052">
        <v>62.225387573242202</v>
      </c>
      <c r="U1052" t="s">
        <v>27</v>
      </c>
      <c r="V1052">
        <v>-11243999</v>
      </c>
      <c r="W1052">
        <v>4.7461929321289098</v>
      </c>
      <c r="X1052">
        <v>0.99000000953674305</v>
      </c>
      <c r="Y1052">
        <v>14.6352939605713</v>
      </c>
      <c r="Z1052">
        <v>11.0639591217041</v>
      </c>
      <c r="AA1052">
        <v>34213000</v>
      </c>
      <c r="AB1052" t="s">
        <v>27</v>
      </c>
      <c r="AC1052" t="s">
        <v>27</v>
      </c>
      <c r="AD1052">
        <v>1.04999995231628</v>
      </c>
      <c r="AE1052" t="s">
        <v>27</v>
      </c>
      <c r="AF1052">
        <v>23.229994517602801</v>
      </c>
      <c r="AG1052">
        <v>34373000</v>
      </c>
      <c r="AH1052">
        <v>57.244354248046903</v>
      </c>
      <c r="AI1052">
        <v>5.0032200813293501</v>
      </c>
    </row>
    <row r="1053" spans="1:35">
      <c r="A1053">
        <f t="shared" si="132"/>
        <v>0</v>
      </c>
      <c r="B1053">
        <f t="shared" si="133"/>
        <v>1</v>
      </c>
      <c r="C1053">
        <f t="shared" si="134"/>
        <v>0</v>
      </c>
      <c r="D1053">
        <f t="shared" si="135"/>
        <v>0</v>
      </c>
      <c r="E1053">
        <f t="shared" si="136"/>
        <v>0</v>
      </c>
      <c r="F1053">
        <f t="shared" si="137"/>
        <v>1</v>
      </c>
      <c r="G1053">
        <f t="shared" si="138"/>
        <v>0</v>
      </c>
      <c r="H1053">
        <v>1</v>
      </c>
      <c r="I1053">
        <f t="shared" si="139"/>
        <v>0</v>
      </c>
      <c r="J1053">
        <f t="shared" si="131"/>
        <v>21.642608642578171</v>
      </c>
      <c r="K1053" t="s">
        <v>137</v>
      </c>
      <c r="L1053" t="s">
        <v>138</v>
      </c>
      <c r="M1053" t="s">
        <v>27</v>
      </c>
      <c r="N1053" t="s">
        <v>27</v>
      </c>
      <c r="O1053">
        <v>7.7</v>
      </c>
      <c r="P1053">
        <v>10.0338907241821</v>
      </c>
      <c r="Q1053">
        <v>12.8522863388062</v>
      </c>
      <c r="R1053">
        <v>11.3800001144409</v>
      </c>
      <c r="S1053">
        <v>10.550000190734901</v>
      </c>
      <c r="T1053">
        <v>14.762611389160201</v>
      </c>
      <c r="U1053">
        <v>18.0769233703613</v>
      </c>
      <c r="V1053">
        <v>-25000000</v>
      </c>
      <c r="W1053">
        <v>4.8435921669006303</v>
      </c>
      <c r="X1053">
        <v>0.43000000715255698</v>
      </c>
      <c r="Y1053">
        <v>15.3162393569946</v>
      </c>
      <c r="Z1053">
        <v>8.7903223037719709</v>
      </c>
      <c r="AA1053">
        <v>42000000</v>
      </c>
      <c r="AB1053" t="s">
        <v>61</v>
      </c>
      <c r="AC1053" t="s">
        <v>65</v>
      </c>
      <c r="AD1053">
        <v>7.0000000298023196E-2</v>
      </c>
      <c r="AE1053">
        <v>12.078652381896999</v>
      </c>
      <c r="AF1053">
        <v>3.6975392201257899</v>
      </c>
      <c r="AG1053">
        <v>42159000</v>
      </c>
      <c r="AH1053">
        <v>27.884057998657202</v>
      </c>
      <c r="AI1053">
        <v>9.8630142211914098</v>
      </c>
    </row>
    <row r="1054" spans="1:35">
      <c r="A1054">
        <f t="shared" si="132"/>
        <v>0</v>
      </c>
      <c r="B1054">
        <f t="shared" si="133"/>
        <v>1</v>
      </c>
      <c r="C1054">
        <f t="shared" si="134"/>
        <v>0</v>
      </c>
      <c r="D1054">
        <f t="shared" si="135"/>
        <v>0</v>
      </c>
      <c r="E1054">
        <f t="shared" si="136"/>
        <v>0</v>
      </c>
      <c r="F1054">
        <f t="shared" si="137"/>
        <v>1</v>
      </c>
      <c r="G1054">
        <f t="shared" si="138"/>
        <v>0</v>
      </c>
      <c r="H1054">
        <v>1</v>
      </c>
      <c r="I1054">
        <f t="shared" si="139"/>
        <v>0</v>
      </c>
      <c r="J1054">
        <f t="shared" si="131"/>
        <v>21.57833003997807</v>
      </c>
      <c r="K1054" t="s">
        <v>3523</v>
      </c>
      <c r="L1054" t="s">
        <v>3524</v>
      </c>
      <c r="M1054" t="s">
        <v>27</v>
      </c>
      <c r="N1054" t="s">
        <v>27</v>
      </c>
      <c r="O1054">
        <v>8.81</v>
      </c>
      <c r="P1054">
        <v>56.228977203369098</v>
      </c>
      <c r="Q1054">
        <v>14.769819259643601</v>
      </c>
      <c r="R1054">
        <v>9.6800003051757795</v>
      </c>
      <c r="S1054">
        <v>9.5</v>
      </c>
      <c r="T1054">
        <v>0</v>
      </c>
      <c r="U1054">
        <v>47.044227600097699</v>
      </c>
      <c r="V1054">
        <v>-1404000</v>
      </c>
      <c r="W1054">
        <v>32.235061645507798</v>
      </c>
      <c r="X1054">
        <v>0.41999998688697798</v>
      </c>
      <c r="Y1054">
        <v>21.856208801269499</v>
      </c>
      <c r="Z1054">
        <v>6.80851078033447</v>
      </c>
      <c r="AA1054">
        <v>44598000</v>
      </c>
      <c r="AB1054" t="s">
        <v>27</v>
      </c>
      <c r="AC1054" t="s">
        <v>27</v>
      </c>
      <c r="AD1054">
        <v>0.15000000596046401</v>
      </c>
      <c r="AE1054">
        <v>30.898719787597699</v>
      </c>
      <c r="AF1054">
        <v>10.3065506007097</v>
      </c>
      <c r="AG1054">
        <v>42552000</v>
      </c>
      <c r="AH1054">
        <v>0</v>
      </c>
      <c r="AI1054">
        <v>36.597080230712898</v>
      </c>
    </row>
    <row r="1055" spans="1:35">
      <c r="A1055">
        <f t="shared" si="132"/>
        <v>0</v>
      </c>
      <c r="B1055">
        <f t="shared" si="133"/>
        <v>1</v>
      </c>
      <c r="C1055">
        <f t="shared" si="134"/>
        <v>1</v>
      </c>
      <c r="D1055">
        <f t="shared" si="135"/>
        <v>0</v>
      </c>
      <c r="E1055">
        <f t="shared" si="136"/>
        <v>0</v>
      </c>
      <c r="F1055">
        <f t="shared" si="137"/>
        <v>1</v>
      </c>
      <c r="G1055">
        <f t="shared" si="138"/>
        <v>0</v>
      </c>
      <c r="H1055">
        <v>1</v>
      </c>
      <c r="I1055">
        <f t="shared" si="139"/>
        <v>0</v>
      </c>
      <c r="J1055">
        <f t="shared" si="131"/>
        <v>21.49321937561038</v>
      </c>
      <c r="K1055" t="s">
        <v>3392</v>
      </c>
      <c r="L1055" t="s">
        <v>3393</v>
      </c>
      <c r="M1055" t="s">
        <v>27</v>
      </c>
      <c r="N1055" t="s">
        <v>27</v>
      </c>
      <c r="O1055">
        <v>41.37</v>
      </c>
      <c r="P1055">
        <v>20.670658111572301</v>
      </c>
      <c r="Q1055">
        <v>13.923210144043001</v>
      </c>
      <c r="R1055">
        <v>38.779998779296903</v>
      </c>
      <c r="S1055">
        <v>33.880001068115199</v>
      </c>
      <c r="T1055">
        <v>6.4208000898361206E-2</v>
      </c>
      <c r="U1055">
        <v>21.0740776062012</v>
      </c>
      <c r="V1055">
        <v>11766999</v>
      </c>
      <c r="W1055">
        <v>15.9495801925659</v>
      </c>
      <c r="X1055">
        <v>0.67000001668930098</v>
      </c>
      <c r="Y1055">
        <v>10.0628929138184</v>
      </c>
      <c r="Z1055">
        <v>7.5700092315673801</v>
      </c>
      <c r="AA1055">
        <v>25836000</v>
      </c>
      <c r="AB1055" t="s">
        <v>30</v>
      </c>
      <c r="AC1055" t="s">
        <v>1457</v>
      </c>
      <c r="AD1055">
        <v>0.40999999642372098</v>
      </c>
      <c r="AE1055">
        <v>15.311750411987299</v>
      </c>
      <c r="AF1055" t="s">
        <v>27</v>
      </c>
      <c r="AG1055">
        <v>25899000</v>
      </c>
      <c r="AH1055">
        <v>2.3050720691680899</v>
      </c>
      <c r="AI1055">
        <v>16.7911586761475</v>
      </c>
    </row>
    <row r="1056" spans="1:35">
      <c r="A1056">
        <f t="shared" si="132"/>
        <v>1</v>
      </c>
      <c r="B1056">
        <f t="shared" si="133"/>
        <v>0</v>
      </c>
      <c r="C1056">
        <f t="shared" si="134"/>
        <v>0</v>
      </c>
      <c r="D1056">
        <f t="shared" si="135"/>
        <v>1</v>
      </c>
      <c r="E1056">
        <f t="shared" si="136"/>
        <v>0</v>
      </c>
      <c r="F1056">
        <f t="shared" si="137"/>
        <v>1</v>
      </c>
      <c r="G1056">
        <f t="shared" si="138"/>
        <v>1</v>
      </c>
      <c r="H1056">
        <v>1</v>
      </c>
      <c r="I1056">
        <f t="shared" si="139"/>
        <v>1</v>
      </c>
      <c r="J1056">
        <f t="shared" ref="J1056:J1119" si="140">Z1056+Q1056</f>
        <v>21.487521171569782</v>
      </c>
      <c r="K1056" t="s">
        <v>3537</v>
      </c>
      <c r="L1056" t="s">
        <v>3538</v>
      </c>
      <c r="M1056" t="s">
        <v>27</v>
      </c>
      <c r="N1056" t="s">
        <v>27</v>
      </c>
      <c r="O1056">
        <v>36.909999999999997</v>
      </c>
      <c r="P1056">
        <v>8.5625219345092791</v>
      </c>
      <c r="Q1056">
        <v>9.8498172760009801</v>
      </c>
      <c r="R1056">
        <v>18.6149997711182</v>
      </c>
      <c r="S1056">
        <v>7.375</v>
      </c>
      <c r="T1056">
        <v>26.441633224487301</v>
      </c>
      <c r="U1056">
        <v>25.710914611816399</v>
      </c>
      <c r="V1056">
        <v>-18430000</v>
      </c>
      <c r="W1056">
        <v>6.3016610145568803</v>
      </c>
      <c r="X1056">
        <v>6.4999997615814195E-2</v>
      </c>
      <c r="Y1056">
        <v>17.545455932617202</v>
      </c>
      <c r="Z1056">
        <v>11.6377038955688</v>
      </c>
      <c r="AA1056">
        <v>17570292</v>
      </c>
      <c r="AB1056" t="s">
        <v>30</v>
      </c>
      <c r="AC1056" t="s">
        <v>68</v>
      </c>
      <c r="AD1056">
        <v>0.140000000596046</v>
      </c>
      <c r="AE1056">
        <v>27.062452316284201</v>
      </c>
      <c r="AF1056">
        <v>11.5800847238048</v>
      </c>
      <c r="AG1056">
        <v>17646266</v>
      </c>
      <c r="AH1056">
        <v>13.702144622802701</v>
      </c>
      <c r="AI1056">
        <v>5.1628060340881303</v>
      </c>
    </row>
    <row r="1057" spans="1:35">
      <c r="A1057">
        <f t="shared" ref="A1057:A1120" si="141">IF(AH1057&lt;T1057,1,0)</f>
        <v>1</v>
      </c>
      <c r="B1057">
        <f t="shared" ref="B1057:B1120" si="142">IF(AI1057&gt;W1057,1,0)</f>
        <v>0</v>
      </c>
      <c r="C1057">
        <f t="shared" ref="C1057:C1120" si="143">IF(V1057&gt;0,1,0)</f>
        <v>1</v>
      </c>
      <c r="D1057">
        <f t="shared" ref="D1057:D1120" si="144">IF(AD1057&gt;X1057,1,0)</f>
        <v>1</v>
      </c>
      <c r="E1057">
        <f t="shared" ref="E1057:E1120" si="145">IF(AA1057=AG1057,1,0)</f>
        <v>0</v>
      </c>
      <c r="F1057">
        <f t="shared" ref="F1057:F1120" si="146">IF(AI1057&gt;0,1,0)</f>
        <v>1</v>
      </c>
      <c r="G1057">
        <f t="shared" ref="G1057:G1120" si="147">IF(AE1057&gt;U1057,1,0)</f>
        <v>0</v>
      </c>
      <c r="H1057">
        <v>1</v>
      </c>
      <c r="I1057">
        <f t="shared" ref="I1057:I1120" si="148">IF(((O1057-R1057)/R1057)&gt;0.075,1,0)</f>
        <v>0</v>
      </c>
      <c r="J1057">
        <f t="shared" si="140"/>
        <v>21.465197086334189</v>
      </c>
      <c r="K1057" t="s">
        <v>3073</v>
      </c>
      <c r="L1057" t="s">
        <v>3074</v>
      </c>
      <c r="M1057" t="s">
        <v>27</v>
      </c>
      <c r="N1057" t="s">
        <v>27</v>
      </c>
      <c r="O1057">
        <v>22.15</v>
      </c>
      <c r="P1057">
        <v>16.0540657043457</v>
      </c>
      <c r="Q1057">
        <v>15.570460319519</v>
      </c>
      <c r="R1057">
        <v>21.0200004577637</v>
      </c>
      <c r="S1057">
        <v>17.600000381469702</v>
      </c>
      <c r="T1057">
        <v>103.16690063476599</v>
      </c>
      <c r="U1057" t="s">
        <v>27</v>
      </c>
      <c r="V1057">
        <v>1399000</v>
      </c>
      <c r="W1057">
        <v>4.6598992347717303</v>
      </c>
      <c r="X1057">
        <v>0.28000000119209301</v>
      </c>
      <c r="Y1057">
        <v>6.8392162322998002</v>
      </c>
      <c r="Z1057">
        <v>5.89473676681519</v>
      </c>
      <c r="AA1057">
        <v>13731000</v>
      </c>
      <c r="AB1057" t="s">
        <v>83</v>
      </c>
      <c r="AC1057" t="s">
        <v>84</v>
      </c>
      <c r="AD1057">
        <v>0.30000001192092901</v>
      </c>
      <c r="AE1057" t="s">
        <v>27</v>
      </c>
      <c r="AF1057">
        <v>10.2170389013388</v>
      </c>
      <c r="AG1057">
        <v>14355000</v>
      </c>
      <c r="AH1057">
        <v>102.280708312988</v>
      </c>
      <c r="AI1057">
        <v>4.4297962188720703</v>
      </c>
    </row>
    <row r="1058" spans="1:35">
      <c r="A1058">
        <f t="shared" si="141"/>
        <v>0</v>
      </c>
      <c r="B1058">
        <f t="shared" si="142"/>
        <v>0</v>
      </c>
      <c r="C1058">
        <f t="shared" si="143"/>
        <v>0</v>
      </c>
      <c r="D1058">
        <f t="shared" si="144"/>
        <v>0</v>
      </c>
      <c r="E1058">
        <f t="shared" si="145"/>
        <v>0</v>
      </c>
      <c r="F1058">
        <f t="shared" si="146"/>
        <v>1</v>
      </c>
      <c r="G1058">
        <f t="shared" si="147"/>
        <v>0</v>
      </c>
      <c r="H1058">
        <v>1</v>
      </c>
      <c r="I1058">
        <f t="shared" si="148"/>
        <v>0</v>
      </c>
      <c r="J1058">
        <f t="shared" si="140"/>
        <v>21.459785938262989</v>
      </c>
      <c r="K1058" t="s">
        <v>44</v>
      </c>
      <c r="L1058" t="s">
        <v>45</v>
      </c>
      <c r="M1058" t="s">
        <v>27</v>
      </c>
      <c r="N1058" t="s">
        <v>27</v>
      </c>
      <c r="O1058">
        <v>20</v>
      </c>
      <c r="P1058">
        <v>61.607887268066399</v>
      </c>
      <c r="Q1058">
        <v>14.424610137939499</v>
      </c>
      <c r="R1058">
        <v>18.889999389648398</v>
      </c>
      <c r="S1058">
        <v>14.199999809265099</v>
      </c>
      <c r="T1058">
        <v>0</v>
      </c>
      <c r="U1058" t="s">
        <v>27</v>
      </c>
      <c r="V1058">
        <v>-1739000</v>
      </c>
      <c r="W1058">
        <v>29.171012878418001</v>
      </c>
      <c r="X1058">
        <v>0.89999997615814198</v>
      </c>
      <c r="Y1058">
        <v>20.088888168335</v>
      </c>
      <c r="Z1058">
        <v>7.0351758003234899</v>
      </c>
      <c r="AA1058">
        <v>12063000</v>
      </c>
      <c r="AB1058" t="s">
        <v>27</v>
      </c>
      <c r="AC1058" t="s">
        <v>27</v>
      </c>
      <c r="AD1058">
        <v>0.119999997317791</v>
      </c>
      <c r="AE1058" t="s">
        <v>27</v>
      </c>
      <c r="AF1058">
        <v>10.520406618377899</v>
      </c>
      <c r="AG1058">
        <v>12202000</v>
      </c>
      <c r="AH1058">
        <v>0</v>
      </c>
      <c r="AI1058">
        <v>25.571233749389599</v>
      </c>
    </row>
    <row r="1059" spans="1:35">
      <c r="A1059">
        <f t="shared" si="141"/>
        <v>1</v>
      </c>
      <c r="B1059">
        <f t="shared" si="142"/>
        <v>1</v>
      </c>
      <c r="C1059">
        <f t="shared" si="143"/>
        <v>1</v>
      </c>
      <c r="D1059">
        <f t="shared" si="144"/>
        <v>0</v>
      </c>
      <c r="E1059">
        <f t="shared" si="145"/>
        <v>0</v>
      </c>
      <c r="F1059">
        <f t="shared" si="146"/>
        <v>1</v>
      </c>
      <c r="G1059">
        <f t="shared" si="147"/>
        <v>0</v>
      </c>
      <c r="H1059">
        <v>1</v>
      </c>
      <c r="I1059">
        <f t="shared" si="148"/>
        <v>1</v>
      </c>
      <c r="J1059">
        <f t="shared" si="140"/>
        <v>21.441568374633782</v>
      </c>
      <c r="K1059" t="s">
        <v>703</v>
      </c>
      <c r="L1059" t="s">
        <v>704</v>
      </c>
      <c r="M1059" t="s">
        <v>27</v>
      </c>
      <c r="N1059" t="s">
        <v>27</v>
      </c>
      <c r="O1059">
        <v>37.609000000000002</v>
      </c>
      <c r="P1059">
        <v>13.7825422286987</v>
      </c>
      <c r="Q1059">
        <v>13.1283369064331</v>
      </c>
      <c r="R1059">
        <v>31.055000305175799</v>
      </c>
      <c r="S1059">
        <v>31.90625</v>
      </c>
      <c r="T1059">
        <v>6.7870020866393999</v>
      </c>
      <c r="U1059" t="s">
        <v>27</v>
      </c>
      <c r="V1059">
        <v>19461000</v>
      </c>
      <c r="W1059">
        <v>1.6040469408035301</v>
      </c>
      <c r="X1059">
        <v>0.62999999523162797</v>
      </c>
      <c r="Y1059">
        <v>8.4923076629638707</v>
      </c>
      <c r="Z1059">
        <v>8.31323146820068</v>
      </c>
      <c r="AA1059">
        <v>18128000</v>
      </c>
      <c r="AB1059" t="s">
        <v>34</v>
      </c>
      <c r="AC1059" t="s">
        <v>35</v>
      </c>
      <c r="AD1059">
        <v>0.62999999523162797</v>
      </c>
      <c r="AE1059" t="s">
        <v>27</v>
      </c>
      <c r="AF1059" t="s">
        <v>27</v>
      </c>
      <c r="AG1059">
        <v>17972000</v>
      </c>
      <c r="AH1059">
        <v>2.2304880619049099</v>
      </c>
      <c r="AI1059">
        <v>1.83626997470856</v>
      </c>
    </row>
    <row r="1060" spans="1:35">
      <c r="A1060">
        <f t="shared" si="141"/>
        <v>0</v>
      </c>
      <c r="B1060">
        <f t="shared" si="142"/>
        <v>0</v>
      </c>
      <c r="C1060">
        <f t="shared" si="143"/>
        <v>1</v>
      </c>
      <c r="D1060">
        <f t="shared" si="144"/>
        <v>1</v>
      </c>
      <c r="E1060">
        <f t="shared" si="145"/>
        <v>0</v>
      </c>
      <c r="F1060">
        <f t="shared" si="146"/>
        <v>1</v>
      </c>
      <c r="G1060">
        <f t="shared" si="147"/>
        <v>0</v>
      </c>
      <c r="H1060">
        <v>1</v>
      </c>
      <c r="I1060">
        <f t="shared" si="148"/>
        <v>1</v>
      </c>
      <c r="J1060">
        <f t="shared" si="140"/>
        <v>21.381184101104779</v>
      </c>
      <c r="K1060" t="s">
        <v>2831</v>
      </c>
      <c r="L1060" t="s">
        <v>2832</v>
      </c>
      <c r="M1060" t="s">
        <v>27</v>
      </c>
      <c r="N1060" t="s">
        <v>27</v>
      </c>
      <c r="O1060">
        <v>18.989999999999998</v>
      </c>
      <c r="P1060">
        <v>20.762210845947301</v>
      </c>
      <c r="Q1060">
        <v>15.1555032730103</v>
      </c>
      <c r="R1060">
        <v>14.5</v>
      </c>
      <c r="S1060">
        <v>10.1875</v>
      </c>
      <c r="T1060">
        <v>1.7314039468765301</v>
      </c>
      <c r="U1060" t="s">
        <v>27</v>
      </c>
      <c r="V1060">
        <v>5474000</v>
      </c>
      <c r="W1060">
        <v>1.2390609979629501</v>
      </c>
      <c r="X1060">
        <v>0.17000000178813901</v>
      </c>
      <c r="Y1060">
        <v>7.2380948066711399</v>
      </c>
      <c r="Z1060">
        <v>6.2256808280944798</v>
      </c>
      <c r="AA1060">
        <v>10504000</v>
      </c>
      <c r="AB1060" t="s">
        <v>34</v>
      </c>
      <c r="AC1060" t="s">
        <v>35</v>
      </c>
      <c r="AD1060">
        <v>0.230000004172325</v>
      </c>
      <c r="AE1060" t="s">
        <v>27</v>
      </c>
      <c r="AF1060" t="s">
        <v>27</v>
      </c>
      <c r="AG1060">
        <v>16198000</v>
      </c>
      <c r="AH1060">
        <v>3.2845420837402299</v>
      </c>
      <c r="AI1060">
        <v>1.2196170091628999</v>
      </c>
    </row>
    <row r="1061" spans="1:35">
      <c r="A1061">
        <f t="shared" si="141"/>
        <v>0</v>
      </c>
      <c r="B1061">
        <f t="shared" si="142"/>
        <v>0</v>
      </c>
      <c r="C1061">
        <f t="shared" si="143"/>
        <v>1</v>
      </c>
      <c r="D1061">
        <f t="shared" si="144"/>
        <v>0</v>
      </c>
      <c r="E1061">
        <f t="shared" si="145"/>
        <v>0</v>
      </c>
      <c r="F1061">
        <f t="shared" si="146"/>
        <v>1</v>
      </c>
      <c r="G1061">
        <f t="shared" si="147"/>
        <v>0</v>
      </c>
      <c r="H1061">
        <v>1</v>
      </c>
      <c r="I1061">
        <f t="shared" si="148"/>
        <v>0</v>
      </c>
      <c r="J1061">
        <f t="shared" si="140"/>
        <v>21.381157875061</v>
      </c>
      <c r="K1061" t="s">
        <v>2939</v>
      </c>
      <c r="L1061" t="s">
        <v>2940</v>
      </c>
      <c r="M1061" t="s">
        <v>27</v>
      </c>
      <c r="N1061" t="s">
        <v>27</v>
      </c>
      <c r="O1061">
        <v>12.95</v>
      </c>
      <c r="P1061">
        <v>15.361549377441399</v>
      </c>
      <c r="Q1061">
        <v>11.0478248596191</v>
      </c>
      <c r="R1061">
        <v>12.8999996185303</v>
      </c>
      <c r="S1061">
        <v>11.3125</v>
      </c>
      <c r="T1061">
        <v>0</v>
      </c>
      <c r="U1061">
        <v>45.853538513183601</v>
      </c>
      <c r="V1061">
        <v>10911000</v>
      </c>
      <c r="W1061">
        <v>12.2052049636841</v>
      </c>
      <c r="X1061">
        <v>0.40999999642372098</v>
      </c>
      <c r="Y1061">
        <v>13.3019609451294</v>
      </c>
      <c r="Z1061">
        <v>10.3333330154419</v>
      </c>
      <c r="AA1061">
        <v>8903000</v>
      </c>
      <c r="AB1061" t="s">
        <v>27</v>
      </c>
      <c r="AC1061" t="s">
        <v>27</v>
      </c>
      <c r="AD1061">
        <v>0.21999999880790699</v>
      </c>
      <c r="AE1061">
        <v>39.080207824707003</v>
      </c>
      <c r="AF1061">
        <v>12.134953872220899</v>
      </c>
      <c r="AG1061">
        <v>8956000</v>
      </c>
      <c r="AH1061">
        <v>0</v>
      </c>
      <c r="AI1061">
        <v>6.5605020523071298</v>
      </c>
    </row>
    <row r="1062" spans="1:35">
      <c r="A1062">
        <f t="shared" si="141"/>
        <v>0</v>
      </c>
      <c r="B1062">
        <f t="shared" si="142"/>
        <v>1</v>
      </c>
      <c r="C1062">
        <f t="shared" si="143"/>
        <v>0</v>
      </c>
      <c r="D1062">
        <f t="shared" si="144"/>
        <v>0</v>
      </c>
      <c r="E1062">
        <f t="shared" si="145"/>
        <v>0</v>
      </c>
      <c r="F1062">
        <f t="shared" si="146"/>
        <v>1</v>
      </c>
      <c r="G1062">
        <f t="shared" si="147"/>
        <v>1</v>
      </c>
      <c r="H1062">
        <v>1</v>
      </c>
      <c r="I1062">
        <f t="shared" si="148"/>
        <v>0</v>
      </c>
      <c r="J1062">
        <f t="shared" si="140"/>
        <v>21.310392856597911</v>
      </c>
      <c r="K1062" t="s">
        <v>1658</v>
      </c>
      <c r="L1062" t="s">
        <v>1659</v>
      </c>
      <c r="M1062" t="s">
        <v>27</v>
      </c>
      <c r="N1062" t="s">
        <v>27</v>
      </c>
      <c r="O1062">
        <v>21.41</v>
      </c>
      <c r="P1062">
        <v>15.941016197204601</v>
      </c>
      <c r="Q1062">
        <v>14.7719316482544</v>
      </c>
      <c r="R1062">
        <v>20.259999593099</v>
      </c>
      <c r="S1062">
        <v>22.875</v>
      </c>
      <c r="T1062">
        <v>10.1944532394409</v>
      </c>
      <c r="U1062">
        <v>30.404224395751999</v>
      </c>
      <c r="V1062">
        <v>-4864000</v>
      </c>
      <c r="W1062">
        <v>11.407494544982899</v>
      </c>
      <c r="X1062">
        <v>0.27333333094914802</v>
      </c>
      <c r="Y1062">
        <v>6.375</v>
      </c>
      <c r="Z1062">
        <v>6.5384612083435103</v>
      </c>
      <c r="AA1062">
        <v>9709500</v>
      </c>
      <c r="AB1062" t="s">
        <v>30</v>
      </c>
      <c r="AC1062" t="s">
        <v>68</v>
      </c>
      <c r="AD1062">
        <v>0.259999990463257</v>
      </c>
      <c r="AE1062">
        <v>30.500373840331999</v>
      </c>
      <c r="AF1062">
        <v>7.6239340235129003</v>
      </c>
      <c r="AG1062">
        <v>9886045.5</v>
      </c>
      <c r="AH1062">
        <v>11.2810916900635</v>
      </c>
      <c r="AI1062">
        <v>11.7184200286865</v>
      </c>
    </row>
    <row r="1063" spans="1:35">
      <c r="A1063">
        <f t="shared" si="141"/>
        <v>1</v>
      </c>
      <c r="B1063">
        <f t="shared" si="142"/>
        <v>0</v>
      </c>
      <c r="C1063">
        <f t="shared" si="143"/>
        <v>1</v>
      </c>
      <c r="D1063">
        <f t="shared" si="144"/>
        <v>0</v>
      </c>
      <c r="E1063">
        <f t="shared" si="145"/>
        <v>0</v>
      </c>
      <c r="F1063">
        <f t="shared" si="146"/>
        <v>1</v>
      </c>
      <c r="G1063">
        <f t="shared" si="147"/>
        <v>0</v>
      </c>
      <c r="H1063">
        <v>1</v>
      </c>
      <c r="I1063">
        <f t="shared" si="148"/>
        <v>0</v>
      </c>
      <c r="J1063">
        <f t="shared" si="140"/>
        <v>21.280437469482401</v>
      </c>
      <c r="K1063" t="s">
        <v>1900</v>
      </c>
      <c r="L1063" t="s">
        <v>1901</v>
      </c>
      <c r="M1063" t="s">
        <v>27</v>
      </c>
      <c r="N1063" t="s">
        <v>27</v>
      </c>
      <c r="O1063">
        <v>7.69</v>
      </c>
      <c r="P1063" t="s">
        <v>27</v>
      </c>
      <c r="Q1063">
        <v>10.280437469482401</v>
      </c>
      <c r="R1063">
        <v>9.6000003814697301</v>
      </c>
      <c r="S1063">
        <v>7.7600002288818404</v>
      </c>
      <c r="T1063">
        <v>22.911291122436499</v>
      </c>
      <c r="U1063">
        <v>34.769744873046903</v>
      </c>
      <c r="V1063">
        <v>9906000</v>
      </c>
      <c r="W1063">
        <v>7.6917462348937997</v>
      </c>
      <c r="X1063">
        <v>0.17000000178813901</v>
      </c>
      <c r="Y1063">
        <v>10.9419345855713</v>
      </c>
      <c r="Z1063">
        <v>11</v>
      </c>
      <c r="AA1063">
        <v>9918132</v>
      </c>
      <c r="AB1063" t="s">
        <v>27</v>
      </c>
      <c r="AC1063" t="s">
        <v>27</v>
      </c>
      <c r="AD1063">
        <v>0.15999999642372101</v>
      </c>
      <c r="AE1063">
        <v>31.231145858764599</v>
      </c>
      <c r="AF1063">
        <v>4.2181124958786702</v>
      </c>
      <c r="AG1063">
        <v>12246000</v>
      </c>
      <c r="AH1063">
        <v>18.104820251464801</v>
      </c>
      <c r="AI1063">
        <v>6.1311130523681596</v>
      </c>
    </row>
    <row r="1064" spans="1:35">
      <c r="A1064">
        <f t="shared" si="141"/>
        <v>1</v>
      </c>
      <c r="B1064">
        <f t="shared" si="142"/>
        <v>1</v>
      </c>
      <c r="C1064">
        <f t="shared" si="143"/>
        <v>1</v>
      </c>
      <c r="D1064">
        <f t="shared" si="144"/>
        <v>1</v>
      </c>
      <c r="E1064">
        <f t="shared" si="145"/>
        <v>0</v>
      </c>
      <c r="F1064">
        <f t="shared" si="146"/>
        <v>1</v>
      </c>
      <c r="G1064">
        <f t="shared" si="147"/>
        <v>0</v>
      </c>
      <c r="H1064">
        <v>1</v>
      </c>
      <c r="I1064">
        <f t="shared" si="148"/>
        <v>1</v>
      </c>
      <c r="J1064">
        <f t="shared" si="140"/>
        <v>21.202802658081101</v>
      </c>
      <c r="K1064" t="s">
        <v>1362</v>
      </c>
      <c r="L1064" t="s">
        <v>1363</v>
      </c>
      <c r="M1064" t="s">
        <v>27</v>
      </c>
      <c r="N1064" t="s">
        <v>27</v>
      </c>
      <c r="O1064">
        <v>36.840000000000003</v>
      </c>
      <c r="P1064">
        <v>14.130175590515099</v>
      </c>
      <c r="Q1064">
        <v>13.2515668869019</v>
      </c>
      <c r="R1064">
        <v>31</v>
      </c>
      <c r="S1064">
        <v>27.15</v>
      </c>
      <c r="T1064">
        <v>1.52218294143677</v>
      </c>
      <c r="U1064" t="s">
        <v>27</v>
      </c>
      <c r="V1064">
        <v>13585000</v>
      </c>
      <c r="W1064">
        <v>1.5067379474639899</v>
      </c>
      <c r="X1064">
        <v>0.58400001525878897</v>
      </c>
      <c r="Y1064">
        <v>8.6159839630127006</v>
      </c>
      <c r="Z1064">
        <v>7.9512357711792001</v>
      </c>
      <c r="AA1064">
        <v>12347500</v>
      </c>
      <c r="AB1064" t="s">
        <v>34</v>
      </c>
      <c r="AC1064" t="s">
        <v>35</v>
      </c>
      <c r="AD1064">
        <v>0.61000001430511497</v>
      </c>
      <c r="AE1064" t="s">
        <v>27</v>
      </c>
      <c r="AF1064" t="s">
        <v>27</v>
      </c>
      <c r="AG1064">
        <v>12324000</v>
      </c>
      <c r="AH1064">
        <v>1.24782001972198</v>
      </c>
      <c r="AI1064">
        <v>1.62867403030396</v>
      </c>
    </row>
    <row r="1065" spans="1:35">
      <c r="A1065">
        <f t="shared" si="141"/>
        <v>1</v>
      </c>
      <c r="B1065">
        <f t="shared" si="142"/>
        <v>0</v>
      </c>
      <c r="C1065">
        <f t="shared" si="143"/>
        <v>1</v>
      </c>
      <c r="D1065">
        <f t="shared" si="144"/>
        <v>1</v>
      </c>
      <c r="E1065">
        <f t="shared" si="145"/>
        <v>0</v>
      </c>
      <c r="F1065">
        <f t="shared" si="146"/>
        <v>1</v>
      </c>
      <c r="G1065">
        <f t="shared" si="147"/>
        <v>0</v>
      </c>
      <c r="H1065">
        <v>1</v>
      </c>
      <c r="I1065">
        <f t="shared" si="148"/>
        <v>0</v>
      </c>
      <c r="J1065">
        <f t="shared" si="140"/>
        <v>21.156609535217299</v>
      </c>
      <c r="K1065" t="s">
        <v>1412</v>
      </c>
      <c r="L1065" t="s">
        <v>1413</v>
      </c>
      <c r="M1065" t="s">
        <v>27</v>
      </c>
      <c r="N1065" t="s">
        <v>27</v>
      </c>
      <c r="O1065">
        <v>10</v>
      </c>
      <c r="P1065">
        <v>10.8366651535034</v>
      </c>
      <c r="Q1065">
        <v>14.6002187728882</v>
      </c>
      <c r="R1065">
        <v>27.350000381469702</v>
      </c>
      <c r="S1065">
        <v>21.5625</v>
      </c>
      <c r="T1065">
        <v>22.1168098449707</v>
      </c>
      <c r="U1065" t="s">
        <v>27</v>
      </c>
      <c r="V1065">
        <v>21506000</v>
      </c>
      <c r="W1065">
        <v>10.8435506820679</v>
      </c>
      <c r="X1065">
        <v>5.9999998658895499E-2</v>
      </c>
      <c r="Y1065">
        <v>3.9238839149475102</v>
      </c>
      <c r="Z1065">
        <v>6.5563907623290998</v>
      </c>
      <c r="AA1065">
        <v>42180000</v>
      </c>
      <c r="AB1065" t="s">
        <v>27</v>
      </c>
      <c r="AC1065" t="s">
        <v>27</v>
      </c>
      <c r="AD1065">
        <v>0.28999999165535001</v>
      </c>
      <c r="AE1065" t="s">
        <v>27</v>
      </c>
      <c r="AF1065">
        <v>3.0428134782943901</v>
      </c>
      <c r="AG1065">
        <v>43911000</v>
      </c>
      <c r="AH1065">
        <v>15.801256179809601</v>
      </c>
      <c r="AI1065">
        <v>4.4807248115539604</v>
      </c>
    </row>
    <row r="1066" spans="1:35">
      <c r="A1066">
        <f t="shared" si="141"/>
        <v>0</v>
      </c>
      <c r="B1066">
        <f t="shared" si="142"/>
        <v>0</v>
      </c>
      <c r="C1066">
        <f t="shared" si="143"/>
        <v>1</v>
      </c>
      <c r="D1066">
        <f t="shared" si="144"/>
        <v>1</v>
      </c>
      <c r="E1066">
        <f t="shared" si="145"/>
        <v>0</v>
      </c>
      <c r="F1066">
        <f t="shared" si="146"/>
        <v>1</v>
      </c>
      <c r="G1066">
        <f t="shared" si="147"/>
        <v>0</v>
      </c>
      <c r="H1066">
        <v>1</v>
      </c>
      <c r="I1066">
        <f t="shared" si="148"/>
        <v>1</v>
      </c>
      <c r="J1066">
        <f t="shared" si="140"/>
        <v>21.125932693481488</v>
      </c>
      <c r="K1066" t="s">
        <v>2594</v>
      </c>
      <c r="L1066" t="s">
        <v>2595</v>
      </c>
      <c r="M1066" t="s">
        <v>27</v>
      </c>
      <c r="N1066" t="s">
        <v>27</v>
      </c>
      <c r="O1066">
        <v>28.21</v>
      </c>
      <c r="P1066">
        <v>13.8992776870728</v>
      </c>
      <c r="Q1066">
        <v>13.635425567626999</v>
      </c>
      <c r="R1066">
        <v>22.2299995422919</v>
      </c>
      <c r="S1066">
        <v>22.031250000055099</v>
      </c>
      <c r="T1066">
        <v>6.2112789154052699</v>
      </c>
      <c r="U1066" t="s">
        <v>27</v>
      </c>
      <c r="V1066">
        <v>23598000</v>
      </c>
      <c r="W1066">
        <v>1.6242660284042401</v>
      </c>
      <c r="X1066">
        <v>0.18750000000046901</v>
      </c>
      <c r="Y1066">
        <v>7.8504672050476101</v>
      </c>
      <c r="Z1066">
        <v>7.4905071258544904</v>
      </c>
      <c r="AA1066">
        <v>35230666.666578598</v>
      </c>
      <c r="AB1066" t="s">
        <v>27</v>
      </c>
      <c r="AC1066" t="s">
        <v>27</v>
      </c>
      <c r="AD1066">
        <v>0.31499999016602098</v>
      </c>
      <c r="AE1066" t="s">
        <v>27</v>
      </c>
      <c r="AF1066" t="s">
        <v>27</v>
      </c>
      <c r="AG1066">
        <v>35233333.333245203</v>
      </c>
      <c r="AH1066">
        <v>6.4939022064209002</v>
      </c>
      <c r="AI1066">
        <v>1.52283203601837</v>
      </c>
    </row>
    <row r="1067" spans="1:35">
      <c r="A1067">
        <f t="shared" si="141"/>
        <v>1</v>
      </c>
      <c r="B1067">
        <f t="shared" si="142"/>
        <v>1</v>
      </c>
      <c r="C1067">
        <f t="shared" si="143"/>
        <v>0</v>
      </c>
      <c r="D1067">
        <f t="shared" si="144"/>
        <v>1</v>
      </c>
      <c r="E1067">
        <f t="shared" si="145"/>
        <v>0</v>
      </c>
      <c r="F1067">
        <f t="shared" si="146"/>
        <v>1</v>
      </c>
      <c r="G1067">
        <f t="shared" si="147"/>
        <v>0</v>
      </c>
      <c r="H1067">
        <v>1</v>
      </c>
      <c r="I1067">
        <f t="shared" si="148"/>
        <v>0</v>
      </c>
      <c r="J1067">
        <f t="shared" si="140"/>
        <v>21.12401676177975</v>
      </c>
      <c r="K1067" t="s">
        <v>294</v>
      </c>
      <c r="L1067" t="s">
        <v>295</v>
      </c>
      <c r="M1067" t="s">
        <v>27</v>
      </c>
      <c r="N1067" t="s">
        <v>27</v>
      </c>
      <c r="O1067">
        <v>10.54</v>
      </c>
      <c r="P1067">
        <v>9.1887464523315394</v>
      </c>
      <c r="Q1067">
        <v>7.4701709747314498</v>
      </c>
      <c r="R1067">
        <v>11.2399997711182</v>
      </c>
      <c r="S1067">
        <v>8.75</v>
      </c>
      <c r="T1067">
        <v>73.866195678710895</v>
      </c>
      <c r="U1067" t="s">
        <v>27</v>
      </c>
      <c r="V1067">
        <v>-76226000</v>
      </c>
      <c r="W1067">
        <v>3.2606439590454102</v>
      </c>
      <c r="X1067">
        <v>0.36000001430511502</v>
      </c>
      <c r="Y1067">
        <v>15.015384674072299</v>
      </c>
      <c r="Z1067">
        <v>13.653845787048301</v>
      </c>
      <c r="AA1067">
        <v>25136000</v>
      </c>
      <c r="AB1067" t="s">
        <v>27</v>
      </c>
      <c r="AC1067" t="s">
        <v>27</v>
      </c>
      <c r="AD1067">
        <v>0.40000000596046398</v>
      </c>
      <c r="AE1067" t="s">
        <v>27</v>
      </c>
      <c r="AF1067">
        <v>16.534994617494899</v>
      </c>
      <c r="AG1067">
        <v>35786000</v>
      </c>
      <c r="AH1067">
        <v>64.332786560058594</v>
      </c>
      <c r="AI1067">
        <v>4.59063816070557</v>
      </c>
    </row>
    <row r="1068" spans="1:35">
      <c r="A1068">
        <f t="shared" si="141"/>
        <v>0</v>
      </c>
      <c r="B1068">
        <f t="shared" si="142"/>
        <v>0</v>
      </c>
      <c r="C1068">
        <f t="shared" si="143"/>
        <v>1</v>
      </c>
      <c r="D1068">
        <f t="shared" si="144"/>
        <v>0</v>
      </c>
      <c r="E1068">
        <f t="shared" si="145"/>
        <v>0</v>
      </c>
      <c r="F1068">
        <f t="shared" si="146"/>
        <v>1</v>
      </c>
      <c r="G1068">
        <f t="shared" si="147"/>
        <v>0</v>
      </c>
      <c r="H1068">
        <v>1</v>
      </c>
      <c r="I1068">
        <f t="shared" si="148"/>
        <v>1</v>
      </c>
      <c r="J1068">
        <f t="shared" si="140"/>
        <v>21.106495857238759</v>
      </c>
      <c r="K1068" t="s">
        <v>3364</v>
      </c>
      <c r="L1068" t="s">
        <v>3365</v>
      </c>
      <c r="M1068" t="s">
        <v>27</v>
      </c>
      <c r="N1068" t="s">
        <v>27</v>
      </c>
      <c r="O1068">
        <v>19.649999999999999</v>
      </c>
      <c r="P1068">
        <v>14.289654731750501</v>
      </c>
      <c r="Q1068">
        <v>13.089617729186999</v>
      </c>
      <c r="R1068">
        <v>18.2534999847412</v>
      </c>
      <c r="S1068">
        <v>19.5</v>
      </c>
      <c r="T1068">
        <v>3.1311309337615998</v>
      </c>
      <c r="U1068" t="s">
        <v>27</v>
      </c>
      <c r="V1068">
        <v>5804000</v>
      </c>
      <c r="W1068">
        <v>1.68046998977661</v>
      </c>
      <c r="X1068">
        <v>0.40000000596046398</v>
      </c>
      <c r="Y1068">
        <v>7.6083908081054696</v>
      </c>
      <c r="Z1068">
        <v>8.0168781280517596</v>
      </c>
      <c r="AA1068">
        <v>6355000</v>
      </c>
      <c r="AB1068" t="s">
        <v>27</v>
      </c>
      <c r="AC1068" t="s">
        <v>27</v>
      </c>
      <c r="AD1068">
        <v>0.37000000476837203</v>
      </c>
      <c r="AE1068" t="s">
        <v>27</v>
      </c>
      <c r="AF1068" t="s">
        <v>27</v>
      </c>
      <c r="AG1068">
        <v>6318000</v>
      </c>
      <c r="AH1068">
        <v>3.8314299583435099</v>
      </c>
      <c r="AI1068">
        <v>1.51633501052856</v>
      </c>
    </row>
    <row r="1069" spans="1:35">
      <c r="A1069">
        <f t="shared" si="141"/>
        <v>1</v>
      </c>
      <c r="B1069">
        <f t="shared" si="142"/>
        <v>0</v>
      </c>
      <c r="C1069">
        <f t="shared" si="143"/>
        <v>0</v>
      </c>
      <c r="D1069">
        <f t="shared" si="144"/>
        <v>1</v>
      </c>
      <c r="E1069">
        <f t="shared" si="145"/>
        <v>0</v>
      </c>
      <c r="F1069">
        <f t="shared" si="146"/>
        <v>0</v>
      </c>
      <c r="G1069">
        <f t="shared" si="147"/>
        <v>1</v>
      </c>
      <c r="H1069">
        <v>1</v>
      </c>
      <c r="I1069">
        <f t="shared" si="148"/>
        <v>0</v>
      </c>
      <c r="J1069">
        <f t="shared" si="140"/>
        <v>21.02466773986821</v>
      </c>
      <c r="K1069" t="s">
        <v>387</v>
      </c>
      <c r="L1069" t="s">
        <v>388</v>
      </c>
      <c r="M1069" t="s">
        <v>27</v>
      </c>
      <c r="N1069" t="s">
        <v>27</v>
      </c>
      <c r="O1069">
        <v>13.109</v>
      </c>
      <c r="P1069">
        <v>10.388323783874499</v>
      </c>
      <c r="Q1069">
        <v>11.8084516525269</v>
      </c>
      <c r="R1069">
        <v>18.069999694824201</v>
      </c>
      <c r="S1069">
        <v>4.5</v>
      </c>
      <c r="T1069">
        <v>64.289497375488295</v>
      </c>
      <c r="U1069">
        <v>33.629665374755902</v>
      </c>
      <c r="V1069">
        <v>-10403000</v>
      </c>
      <c r="W1069">
        <v>1.2328569889068599</v>
      </c>
      <c r="X1069">
        <v>0.28999999165535001</v>
      </c>
      <c r="Y1069">
        <v>20.666667938232401</v>
      </c>
      <c r="Z1069">
        <v>9.2162160873413104</v>
      </c>
      <c r="AA1069">
        <v>20740000</v>
      </c>
      <c r="AB1069" t="s">
        <v>27</v>
      </c>
      <c r="AC1069" t="s">
        <v>27</v>
      </c>
      <c r="AD1069">
        <v>0.31999999284744302</v>
      </c>
      <c r="AE1069">
        <v>35.7209663391113</v>
      </c>
      <c r="AF1069">
        <v>4.6543003236648701</v>
      </c>
      <c r="AG1069">
        <v>20521000</v>
      </c>
      <c r="AH1069">
        <v>53.806003570556598</v>
      </c>
      <c r="AI1069">
        <v>-19.774906158447301</v>
      </c>
    </row>
    <row r="1070" spans="1:35">
      <c r="A1070">
        <f t="shared" si="141"/>
        <v>1</v>
      </c>
      <c r="B1070">
        <f t="shared" si="142"/>
        <v>0</v>
      </c>
      <c r="C1070">
        <f t="shared" si="143"/>
        <v>1</v>
      </c>
      <c r="D1070">
        <f t="shared" si="144"/>
        <v>1</v>
      </c>
      <c r="E1070">
        <f t="shared" si="145"/>
        <v>0</v>
      </c>
      <c r="F1070">
        <f t="shared" si="146"/>
        <v>1</v>
      </c>
      <c r="G1070">
        <f t="shared" si="147"/>
        <v>0</v>
      </c>
      <c r="H1070">
        <v>1</v>
      </c>
      <c r="I1070">
        <f t="shared" si="148"/>
        <v>0</v>
      </c>
      <c r="J1070">
        <f t="shared" si="140"/>
        <v>20.94344162940974</v>
      </c>
      <c r="K1070" t="s">
        <v>516</v>
      </c>
      <c r="L1070" t="s">
        <v>517</v>
      </c>
      <c r="M1070" t="s">
        <v>27</v>
      </c>
      <c r="N1070" t="s">
        <v>27</v>
      </c>
      <c r="O1070">
        <v>22.82</v>
      </c>
      <c r="P1070">
        <v>20.286563873291001</v>
      </c>
      <c r="Q1070">
        <v>18.259105682373001</v>
      </c>
      <c r="R1070">
        <v>30.709999084472699</v>
      </c>
      <c r="S1070">
        <v>27.75</v>
      </c>
      <c r="T1070">
        <v>10.503508567810099</v>
      </c>
      <c r="U1070">
        <v>75.455429077148395</v>
      </c>
      <c r="V1070">
        <v>7352000.5</v>
      </c>
      <c r="W1070">
        <v>17.476743698120099</v>
      </c>
      <c r="X1070">
        <v>0.18000000715255701</v>
      </c>
      <c r="Y1070">
        <v>1.2232140302658101</v>
      </c>
      <c r="Z1070">
        <v>2.6843359470367401</v>
      </c>
      <c r="AA1070">
        <v>41450000</v>
      </c>
      <c r="AB1070" t="s">
        <v>73</v>
      </c>
      <c r="AC1070" t="s">
        <v>177</v>
      </c>
      <c r="AD1070">
        <v>0.20000000298023199</v>
      </c>
      <c r="AE1070">
        <v>74.707633972167997</v>
      </c>
      <c r="AF1070">
        <v>12.661753473934899</v>
      </c>
      <c r="AG1070">
        <v>41424000</v>
      </c>
      <c r="AH1070">
        <v>8.3759450912475604</v>
      </c>
      <c r="AI1070">
        <v>17.197309494018601</v>
      </c>
    </row>
    <row r="1071" spans="1:35">
      <c r="A1071">
        <f t="shared" si="141"/>
        <v>0</v>
      </c>
      <c r="B1071">
        <f t="shared" si="142"/>
        <v>0</v>
      </c>
      <c r="C1071">
        <f t="shared" si="143"/>
        <v>0</v>
      </c>
      <c r="D1071">
        <f t="shared" si="144"/>
        <v>1</v>
      </c>
      <c r="E1071">
        <f t="shared" si="145"/>
        <v>0</v>
      </c>
      <c r="F1071">
        <f t="shared" si="146"/>
        <v>0</v>
      </c>
      <c r="G1071">
        <f t="shared" si="147"/>
        <v>1</v>
      </c>
      <c r="H1071">
        <v>1</v>
      </c>
      <c r="I1071">
        <f t="shared" si="148"/>
        <v>0</v>
      </c>
      <c r="J1071">
        <f t="shared" si="140"/>
        <v>20.94272708892818</v>
      </c>
      <c r="K1071" t="s">
        <v>268</v>
      </c>
      <c r="L1071" t="s">
        <v>269</v>
      </c>
      <c r="M1071" t="s">
        <v>27</v>
      </c>
      <c r="N1071" t="s">
        <v>27</v>
      </c>
      <c r="O1071">
        <v>9.7289999999999992</v>
      </c>
      <c r="P1071" t="s">
        <v>27</v>
      </c>
      <c r="Q1071">
        <v>11.426225662231399</v>
      </c>
      <c r="R1071">
        <v>29.299999237060501</v>
      </c>
      <c r="S1071">
        <v>6.25</v>
      </c>
      <c r="T1071">
        <v>78.397064208984403</v>
      </c>
      <c r="U1071">
        <v>45.350830078125</v>
      </c>
      <c r="V1071">
        <v>-8837000</v>
      </c>
      <c r="W1071">
        <v>5.6131999939680099E-2</v>
      </c>
      <c r="X1071">
        <v>-1.8099999427795399</v>
      </c>
      <c r="Y1071">
        <v>1.7066669464111299</v>
      </c>
      <c r="Z1071">
        <v>9.5165014266967791</v>
      </c>
      <c r="AA1071">
        <v>20427000</v>
      </c>
      <c r="AB1071" t="s">
        <v>27</v>
      </c>
      <c r="AC1071" t="s">
        <v>27</v>
      </c>
      <c r="AD1071">
        <v>0.54000002145767201</v>
      </c>
      <c r="AE1071">
        <v>48.4179077148438</v>
      </c>
      <c r="AF1071">
        <v>5.5799258033903101</v>
      </c>
      <c r="AG1071">
        <v>20870000</v>
      </c>
      <c r="AH1071">
        <v>84.752143859863295</v>
      </c>
      <c r="AI1071">
        <v>-6.3497290611267099</v>
      </c>
    </row>
    <row r="1072" spans="1:35">
      <c r="A1072">
        <f t="shared" si="141"/>
        <v>1</v>
      </c>
      <c r="B1072">
        <f t="shared" si="142"/>
        <v>0</v>
      </c>
      <c r="C1072">
        <f t="shared" si="143"/>
        <v>0</v>
      </c>
      <c r="D1072">
        <f t="shared" si="144"/>
        <v>0</v>
      </c>
      <c r="E1072">
        <f t="shared" si="145"/>
        <v>0</v>
      </c>
      <c r="F1072">
        <f t="shared" si="146"/>
        <v>1</v>
      </c>
      <c r="G1072">
        <f t="shared" si="147"/>
        <v>0</v>
      </c>
      <c r="H1072">
        <v>1</v>
      </c>
      <c r="I1072">
        <f t="shared" si="148"/>
        <v>0</v>
      </c>
      <c r="J1072">
        <f t="shared" si="140"/>
        <v>20.938937187194849</v>
      </c>
      <c r="K1072" t="s">
        <v>2050</v>
      </c>
      <c r="L1072" t="s">
        <v>2051</v>
      </c>
      <c r="M1072" t="s">
        <v>27</v>
      </c>
      <c r="N1072" t="s">
        <v>27</v>
      </c>
      <c r="O1072">
        <v>23.84</v>
      </c>
      <c r="P1072">
        <v>14.458625793456999</v>
      </c>
      <c r="Q1072">
        <v>12.1327352523804</v>
      </c>
      <c r="R1072">
        <v>34.549999237060497</v>
      </c>
      <c r="S1072">
        <v>31.610000610351602</v>
      </c>
      <c r="T1072">
        <v>39.622356414794901</v>
      </c>
      <c r="U1072">
        <v>34.550441741943402</v>
      </c>
      <c r="V1072">
        <v>-6151000</v>
      </c>
      <c r="W1072" t="s">
        <v>27</v>
      </c>
      <c r="X1072">
        <v>0.93999999761581399</v>
      </c>
      <c r="Y1072">
        <v>9.7670679092407209</v>
      </c>
      <c r="Z1072">
        <v>8.8062019348144496</v>
      </c>
      <c r="AA1072">
        <v>15253400</v>
      </c>
      <c r="AB1072" t="s">
        <v>30</v>
      </c>
      <c r="AC1072" t="s">
        <v>410</v>
      </c>
      <c r="AD1072">
        <v>0.92000001668930098</v>
      </c>
      <c r="AE1072">
        <v>28.8167934417725</v>
      </c>
      <c r="AF1072">
        <v>7.5328840780830797</v>
      </c>
      <c r="AG1072">
        <v>15310000</v>
      </c>
      <c r="AH1072">
        <v>36.405559539794901</v>
      </c>
      <c r="AI1072" t="s">
        <v>27</v>
      </c>
    </row>
    <row r="1073" spans="1:35">
      <c r="A1073">
        <f t="shared" si="141"/>
        <v>1</v>
      </c>
      <c r="B1073">
        <f t="shared" si="142"/>
        <v>0</v>
      </c>
      <c r="C1073">
        <f t="shared" si="143"/>
        <v>0</v>
      </c>
      <c r="D1073">
        <f t="shared" si="144"/>
        <v>0</v>
      </c>
      <c r="E1073">
        <f t="shared" si="145"/>
        <v>0</v>
      </c>
      <c r="F1073">
        <f t="shared" si="146"/>
        <v>1</v>
      </c>
      <c r="G1073">
        <f t="shared" si="147"/>
        <v>0</v>
      </c>
      <c r="H1073">
        <v>1</v>
      </c>
      <c r="I1073">
        <f t="shared" si="148"/>
        <v>1</v>
      </c>
      <c r="J1073">
        <f t="shared" si="140"/>
        <v>20.89688014984128</v>
      </c>
      <c r="K1073" t="s">
        <v>538</v>
      </c>
      <c r="L1073" t="s">
        <v>539</v>
      </c>
      <c r="M1073" t="s">
        <v>27</v>
      </c>
      <c r="N1073" t="s">
        <v>27</v>
      </c>
      <c r="O1073">
        <v>26.32</v>
      </c>
      <c r="P1073">
        <v>15.9941053390503</v>
      </c>
      <c r="Q1073">
        <v>11.908693313598601</v>
      </c>
      <c r="R1073">
        <v>21.190000534057599</v>
      </c>
      <c r="S1073">
        <v>25.809999465942401</v>
      </c>
      <c r="T1073">
        <v>30.237852096557599</v>
      </c>
      <c r="U1073">
        <v>55.805324554443402</v>
      </c>
      <c r="V1073">
        <v>-2510000.25</v>
      </c>
      <c r="W1073">
        <v>14.325219154357899</v>
      </c>
      <c r="X1073">
        <v>0.63999998569488503</v>
      </c>
      <c r="Y1073">
        <v>7.8076920509338397</v>
      </c>
      <c r="Z1073">
        <v>8.9881868362426793</v>
      </c>
      <c r="AA1073">
        <v>44707000</v>
      </c>
      <c r="AB1073" t="s">
        <v>30</v>
      </c>
      <c r="AC1073" t="s">
        <v>410</v>
      </c>
      <c r="AD1073">
        <v>0.55000001192092896</v>
      </c>
      <c r="AE1073">
        <v>48.777999877929702</v>
      </c>
      <c r="AF1073">
        <v>7.3614042992425199</v>
      </c>
      <c r="AG1073">
        <v>47036880</v>
      </c>
      <c r="AH1073">
        <v>24.523048400878899</v>
      </c>
      <c r="AI1073">
        <v>10.7766256332397</v>
      </c>
    </row>
    <row r="1074" spans="1:35">
      <c r="A1074">
        <f t="shared" si="141"/>
        <v>1</v>
      </c>
      <c r="B1074">
        <f t="shared" si="142"/>
        <v>0</v>
      </c>
      <c r="C1074">
        <f t="shared" si="143"/>
        <v>1</v>
      </c>
      <c r="D1074">
        <f t="shared" si="144"/>
        <v>1</v>
      </c>
      <c r="E1074">
        <f t="shared" si="145"/>
        <v>1</v>
      </c>
      <c r="F1074">
        <f t="shared" si="146"/>
        <v>1</v>
      </c>
      <c r="G1074">
        <f t="shared" si="147"/>
        <v>1</v>
      </c>
      <c r="H1074">
        <v>1</v>
      </c>
      <c r="I1074">
        <f t="shared" si="148"/>
        <v>1</v>
      </c>
      <c r="J1074">
        <f t="shared" si="140"/>
        <v>20.84043788909916</v>
      </c>
      <c r="K1074" t="s">
        <v>2999</v>
      </c>
      <c r="L1074" t="s">
        <v>3000</v>
      </c>
      <c r="M1074" t="s">
        <v>27</v>
      </c>
      <c r="N1074" t="s">
        <v>27</v>
      </c>
      <c r="O1074">
        <v>25.72</v>
      </c>
      <c r="P1074">
        <v>14.765570640564</v>
      </c>
      <c r="Q1074">
        <v>12.5587482452393</v>
      </c>
      <c r="R1074">
        <v>19.829999923706101</v>
      </c>
      <c r="S1074">
        <v>18.375</v>
      </c>
      <c r="T1074">
        <v>3.7172930240631099</v>
      </c>
      <c r="U1074">
        <v>29.241065979003899</v>
      </c>
      <c r="V1074">
        <v>3575000</v>
      </c>
      <c r="W1074">
        <v>12.2647619247437</v>
      </c>
      <c r="X1074">
        <v>0.519999980926514</v>
      </c>
      <c r="Y1074">
        <v>8.9681529998779297</v>
      </c>
      <c r="Z1074">
        <v>8.2816896438598597</v>
      </c>
      <c r="AA1074">
        <v>14050000</v>
      </c>
      <c r="AB1074" t="s">
        <v>27</v>
      </c>
      <c r="AC1074" t="s">
        <v>27</v>
      </c>
      <c r="AD1074">
        <v>0.56000000238418601</v>
      </c>
      <c r="AE1074">
        <v>29.4400825500488</v>
      </c>
      <c r="AF1074">
        <v>8.2832997389154599</v>
      </c>
      <c r="AG1074">
        <v>14050000</v>
      </c>
      <c r="AH1074">
        <v>1.15901803970337</v>
      </c>
      <c r="AI1074">
        <v>9.2197561264038104</v>
      </c>
    </row>
    <row r="1075" spans="1:35">
      <c r="A1075">
        <f t="shared" si="141"/>
        <v>1</v>
      </c>
      <c r="B1075">
        <f t="shared" si="142"/>
        <v>0</v>
      </c>
      <c r="C1075">
        <f t="shared" si="143"/>
        <v>1</v>
      </c>
      <c r="D1075">
        <f t="shared" si="144"/>
        <v>0</v>
      </c>
      <c r="E1075">
        <f t="shared" si="145"/>
        <v>0</v>
      </c>
      <c r="F1075">
        <f t="shared" si="146"/>
        <v>1</v>
      </c>
      <c r="G1075">
        <f t="shared" si="147"/>
        <v>0</v>
      </c>
      <c r="H1075">
        <v>1</v>
      </c>
      <c r="I1075">
        <f t="shared" si="148"/>
        <v>1</v>
      </c>
      <c r="J1075">
        <f t="shared" si="140"/>
        <v>20.768041133880658</v>
      </c>
      <c r="K1075" t="s">
        <v>3627</v>
      </c>
      <c r="L1075" t="s">
        <v>3628</v>
      </c>
      <c r="M1075" t="s">
        <v>27</v>
      </c>
      <c r="N1075" t="s">
        <v>27</v>
      </c>
      <c r="O1075">
        <v>19.559999999999999</v>
      </c>
      <c r="P1075">
        <v>22.534275054931602</v>
      </c>
      <c r="Q1075">
        <v>15.100025177001999</v>
      </c>
      <c r="R1075">
        <v>13.3999996185303</v>
      </c>
      <c r="S1075">
        <v>9.5</v>
      </c>
      <c r="T1075">
        <v>4.7116851806640598</v>
      </c>
      <c r="U1075" t="s">
        <v>27</v>
      </c>
      <c r="V1075">
        <v>5873000</v>
      </c>
      <c r="W1075">
        <v>1.92104303836823</v>
      </c>
      <c r="X1075">
        <v>0.18000000715255701</v>
      </c>
      <c r="Y1075">
        <v>8.9600000381469709</v>
      </c>
      <c r="Z1075">
        <v>5.6680159568786603</v>
      </c>
      <c r="AA1075">
        <v>7625627</v>
      </c>
      <c r="AB1075" t="s">
        <v>34</v>
      </c>
      <c r="AC1075" t="s">
        <v>35</v>
      </c>
      <c r="AD1075">
        <v>0.17000000178813901</v>
      </c>
      <c r="AE1075" t="s">
        <v>27</v>
      </c>
      <c r="AF1075" t="s">
        <v>27</v>
      </c>
      <c r="AG1075">
        <v>14489000</v>
      </c>
      <c r="AH1075">
        <v>3.2843649387359601</v>
      </c>
      <c r="AI1075">
        <v>1.1966910362243699</v>
      </c>
    </row>
    <row r="1076" spans="1:35">
      <c r="A1076">
        <f t="shared" si="141"/>
        <v>1</v>
      </c>
      <c r="B1076">
        <f t="shared" si="142"/>
        <v>1</v>
      </c>
      <c r="C1076">
        <f t="shared" si="143"/>
        <v>1</v>
      </c>
      <c r="D1076">
        <f t="shared" si="144"/>
        <v>0</v>
      </c>
      <c r="E1076">
        <f t="shared" si="145"/>
        <v>0</v>
      </c>
      <c r="F1076">
        <f t="shared" si="146"/>
        <v>1</v>
      </c>
      <c r="G1076">
        <f t="shared" si="147"/>
        <v>0</v>
      </c>
      <c r="H1076">
        <v>1</v>
      </c>
      <c r="I1076">
        <f t="shared" si="148"/>
        <v>0</v>
      </c>
      <c r="J1076">
        <f t="shared" si="140"/>
        <v>20.71695661544803</v>
      </c>
      <c r="K1076" t="s">
        <v>2094</v>
      </c>
      <c r="L1076" t="s">
        <v>2095</v>
      </c>
      <c r="M1076" t="s">
        <v>27</v>
      </c>
      <c r="N1076" t="s">
        <v>27</v>
      </c>
      <c r="O1076">
        <v>6.2</v>
      </c>
      <c r="P1076" t="s">
        <v>27</v>
      </c>
      <c r="Q1076">
        <v>3.7189059257507302</v>
      </c>
      <c r="R1076">
        <v>7.2199997901916504</v>
      </c>
      <c r="S1076">
        <v>4.6700000762939498</v>
      </c>
      <c r="T1076">
        <v>40.648799896240199</v>
      </c>
      <c r="U1076" t="s">
        <v>27</v>
      </c>
      <c r="V1076">
        <v>10426000</v>
      </c>
      <c r="W1076">
        <v>4.5092711448669398</v>
      </c>
      <c r="X1076">
        <v>0.25</v>
      </c>
      <c r="Y1076">
        <v>36.857143402099602</v>
      </c>
      <c r="Z1076">
        <v>16.998050689697301</v>
      </c>
      <c r="AA1076">
        <v>26048000</v>
      </c>
      <c r="AB1076" t="s">
        <v>83</v>
      </c>
      <c r="AC1076" t="s">
        <v>84</v>
      </c>
      <c r="AD1076">
        <v>9.00000035762787E-2</v>
      </c>
      <c r="AE1076" t="s">
        <v>27</v>
      </c>
      <c r="AF1076">
        <v>9.6050417654568694</v>
      </c>
      <c r="AG1076">
        <v>24491000</v>
      </c>
      <c r="AH1076">
        <v>34.676212310791001</v>
      </c>
      <c r="AI1076">
        <v>4.5247550010681197</v>
      </c>
    </row>
    <row r="1077" spans="1:35">
      <c r="A1077">
        <f t="shared" si="141"/>
        <v>0</v>
      </c>
      <c r="B1077">
        <f t="shared" si="142"/>
        <v>1</v>
      </c>
      <c r="C1077">
        <f t="shared" si="143"/>
        <v>1</v>
      </c>
      <c r="D1077">
        <f t="shared" si="144"/>
        <v>1</v>
      </c>
      <c r="E1077">
        <f t="shared" si="145"/>
        <v>0</v>
      </c>
      <c r="F1077">
        <f t="shared" si="146"/>
        <v>1</v>
      </c>
      <c r="G1077">
        <f t="shared" si="147"/>
        <v>0</v>
      </c>
      <c r="H1077">
        <v>1</v>
      </c>
      <c r="I1077">
        <f t="shared" si="148"/>
        <v>1</v>
      </c>
      <c r="J1077">
        <f t="shared" si="140"/>
        <v>20.70487308502199</v>
      </c>
      <c r="K1077" t="s">
        <v>937</v>
      </c>
      <c r="L1077" t="s">
        <v>938</v>
      </c>
      <c r="M1077" t="s">
        <v>27</v>
      </c>
      <c r="N1077" t="s">
        <v>27</v>
      </c>
      <c r="O1077">
        <v>25.61</v>
      </c>
      <c r="P1077">
        <v>17.544448852539102</v>
      </c>
      <c r="Q1077">
        <v>15.684040069580099</v>
      </c>
      <c r="R1077">
        <v>23.424999237060501</v>
      </c>
      <c r="S1077">
        <v>19.299999237060501</v>
      </c>
      <c r="T1077">
        <v>14.9895372390747</v>
      </c>
      <c r="U1077">
        <v>68.487892150878906</v>
      </c>
      <c r="V1077">
        <v>713999.75</v>
      </c>
      <c r="W1077">
        <v>9.5220880508422905</v>
      </c>
      <c r="X1077">
        <v>0.31999999284744302</v>
      </c>
      <c r="Y1077">
        <v>5.5944061279296902</v>
      </c>
      <c r="Z1077">
        <v>5.0208330154418901</v>
      </c>
      <c r="AA1077">
        <v>28920000</v>
      </c>
      <c r="AB1077" t="s">
        <v>73</v>
      </c>
      <c r="AC1077" t="s">
        <v>74</v>
      </c>
      <c r="AD1077">
        <v>0.37999999523162797</v>
      </c>
      <c r="AE1077">
        <v>67.905570983886705</v>
      </c>
      <c r="AF1077">
        <v>11.683744049114701</v>
      </c>
      <c r="AG1077">
        <v>30430000</v>
      </c>
      <c r="AH1077">
        <v>17.337072372436499</v>
      </c>
      <c r="AI1077">
        <v>10.3239593505859</v>
      </c>
    </row>
    <row r="1078" spans="1:35">
      <c r="A1078">
        <f t="shared" si="141"/>
        <v>0</v>
      </c>
      <c r="B1078">
        <f t="shared" si="142"/>
        <v>0</v>
      </c>
      <c r="C1078">
        <f t="shared" si="143"/>
        <v>1</v>
      </c>
      <c r="D1078">
        <f t="shared" si="144"/>
        <v>0</v>
      </c>
      <c r="E1078">
        <f t="shared" si="145"/>
        <v>0</v>
      </c>
      <c r="F1078">
        <f t="shared" si="146"/>
        <v>1</v>
      </c>
      <c r="G1078">
        <f t="shared" si="147"/>
        <v>1</v>
      </c>
      <c r="H1078">
        <v>1</v>
      </c>
      <c r="I1078">
        <f t="shared" si="148"/>
        <v>0</v>
      </c>
      <c r="J1078">
        <f t="shared" si="140"/>
        <v>20.672083139419602</v>
      </c>
      <c r="K1078" t="s">
        <v>1443</v>
      </c>
      <c r="L1078" t="s">
        <v>1444</v>
      </c>
      <c r="M1078" t="s">
        <v>27</v>
      </c>
      <c r="N1078" t="s">
        <v>27</v>
      </c>
      <c r="O1078">
        <v>9.75</v>
      </c>
      <c r="P1078">
        <v>8.7827777862548793</v>
      </c>
      <c r="Q1078">
        <v>3.8165590763092001</v>
      </c>
      <c r="R1078">
        <v>9.6999998092651403</v>
      </c>
      <c r="S1078">
        <v>7</v>
      </c>
      <c r="T1078">
        <v>15.208804130554199</v>
      </c>
      <c r="U1078">
        <v>44.272174835205099</v>
      </c>
      <c r="V1078">
        <v>706000</v>
      </c>
      <c r="W1078">
        <v>6.6489291191101101</v>
      </c>
      <c r="X1078">
        <v>-1.9999999552965199E-2</v>
      </c>
      <c r="Y1078">
        <v>27.599998474121101</v>
      </c>
      <c r="Z1078">
        <v>16.855524063110401</v>
      </c>
      <c r="AA1078">
        <v>14467000</v>
      </c>
      <c r="AB1078" t="s">
        <v>27</v>
      </c>
      <c r="AC1078" t="s">
        <v>27</v>
      </c>
      <c r="AD1078">
        <v>-2.9999999329447701E-2</v>
      </c>
      <c r="AE1078">
        <v>45.148902893066399</v>
      </c>
      <c r="AF1078">
        <v>6.3189965778901902</v>
      </c>
      <c r="AG1078">
        <v>14519000</v>
      </c>
      <c r="AH1078">
        <v>37.447998046875</v>
      </c>
      <c r="AI1078">
        <v>3.1720008850097701</v>
      </c>
    </row>
    <row r="1079" spans="1:35">
      <c r="A1079">
        <f t="shared" si="141"/>
        <v>0</v>
      </c>
      <c r="B1079">
        <f t="shared" si="142"/>
        <v>1</v>
      </c>
      <c r="C1079">
        <f t="shared" si="143"/>
        <v>1</v>
      </c>
      <c r="D1079">
        <f t="shared" si="144"/>
        <v>0</v>
      </c>
      <c r="E1079">
        <f t="shared" si="145"/>
        <v>0</v>
      </c>
      <c r="F1079">
        <f t="shared" si="146"/>
        <v>1</v>
      </c>
      <c r="G1079">
        <f t="shared" si="147"/>
        <v>0</v>
      </c>
      <c r="H1079">
        <v>1</v>
      </c>
      <c r="I1079">
        <f t="shared" si="148"/>
        <v>0</v>
      </c>
      <c r="J1079">
        <f t="shared" si="140"/>
        <v>20.670280456542951</v>
      </c>
      <c r="K1079" t="s">
        <v>2128</v>
      </c>
      <c r="L1079" t="s">
        <v>2129</v>
      </c>
      <c r="M1079" t="s">
        <v>27</v>
      </c>
      <c r="N1079" t="s">
        <v>27</v>
      </c>
      <c r="O1079">
        <v>24.14</v>
      </c>
      <c r="P1079">
        <v>18.248916625976602</v>
      </c>
      <c r="Q1079">
        <v>16.4249973297119</v>
      </c>
      <c r="R1079">
        <v>26.659999847412099</v>
      </c>
      <c r="S1079">
        <v>37.625</v>
      </c>
      <c r="T1079">
        <v>0.69896602630615201</v>
      </c>
      <c r="U1079">
        <v>59.340133666992202</v>
      </c>
      <c r="V1079">
        <v>9139000</v>
      </c>
      <c r="W1079">
        <v>1.4808540344238299</v>
      </c>
      <c r="X1079">
        <v>0.20999999344348899</v>
      </c>
      <c r="Y1079">
        <v>0.83265298604965199</v>
      </c>
      <c r="Z1079">
        <v>4.2452831268310502</v>
      </c>
      <c r="AA1079">
        <v>25714000</v>
      </c>
      <c r="AB1079" t="s">
        <v>38</v>
      </c>
      <c r="AC1079" t="s">
        <v>89</v>
      </c>
      <c r="AD1079">
        <v>0.17000000178813901</v>
      </c>
      <c r="AE1079">
        <v>58.709236145019503</v>
      </c>
      <c r="AF1079">
        <v>12.8331671307368</v>
      </c>
      <c r="AG1079">
        <v>27303000</v>
      </c>
      <c r="AH1079">
        <v>4.4322819709777797</v>
      </c>
      <c r="AI1079">
        <v>13.9461116790771</v>
      </c>
    </row>
    <row r="1080" spans="1:35">
      <c r="A1080">
        <f t="shared" si="141"/>
        <v>0</v>
      </c>
      <c r="B1080">
        <f t="shared" si="142"/>
        <v>0</v>
      </c>
      <c r="C1080">
        <f t="shared" si="143"/>
        <v>1</v>
      </c>
      <c r="D1080">
        <f t="shared" si="144"/>
        <v>1</v>
      </c>
      <c r="E1080">
        <f t="shared" si="145"/>
        <v>0</v>
      </c>
      <c r="F1080">
        <f t="shared" si="146"/>
        <v>1</v>
      </c>
      <c r="G1080">
        <f t="shared" si="147"/>
        <v>0</v>
      </c>
      <c r="H1080">
        <v>1</v>
      </c>
      <c r="I1080">
        <f t="shared" si="148"/>
        <v>1</v>
      </c>
      <c r="J1080">
        <f t="shared" si="140"/>
        <v>20.661457538604719</v>
      </c>
      <c r="K1080" t="s">
        <v>3178</v>
      </c>
      <c r="L1080" t="s">
        <v>3179</v>
      </c>
      <c r="M1080" t="s">
        <v>27</v>
      </c>
      <c r="N1080" t="s">
        <v>27</v>
      </c>
      <c r="O1080">
        <v>34.549999999999997</v>
      </c>
      <c r="P1080">
        <v>17.658140182495099</v>
      </c>
      <c r="Q1080">
        <v>14.4350423812866</v>
      </c>
      <c r="R1080">
        <v>26.340000152587901</v>
      </c>
      <c r="S1080">
        <v>26.284999847412099</v>
      </c>
      <c r="T1080">
        <v>0.91940701007842995</v>
      </c>
      <c r="U1080">
        <v>40.594566345214801</v>
      </c>
      <c r="V1080">
        <v>34649000</v>
      </c>
      <c r="W1080">
        <v>17.5306587219238</v>
      </c>
      <c r="X1080">
        <v>0.48500001430511502</v>
      </c>
      <c r="Y1080">
        <v>7.6531472206115696</v>
      </c>
      <c r="Z1080">
        <v>6.2264151573181197</v>
      </c>
      <c r="AA1080">
        <v>24034000</v>
      </c>
      <c r="AB1080" t="s">
        <v>61</v>
      </c>
      <c r="AC1080" t="s">
        <v>62</v>
      </c>
      <c r="AD1080">
        <v>0.5</v>
      </c>
      <c r="AE1080">
        <v>38.277469635009801</v>
      </c>
      <c r="AF1080">
        <v>7.8817067144594501</v>
      </c>
      <c r="AG1080">
        <v>24292000</v>
      </c>
      <c r="AH1080">
        <v>2.1385879516601598</v>
      </c>
      <c r="AI1080">
        <v>14.9480657577515</v>
      </c>
    </row>
    <row r="1081" spans="1:35">
      <c r="A1081">
        <f t="shared" si="141"/>
        <v>1</v>
      </c>
      <c r="B1081">
        <f t="shared" si="142"/>
        <v>0</v>
      </c>
      <c r="C1081">
        <f t="shared" si="143"/>
        <v>0</v>
      </c>
      <c r="D1081">
        <f t="shared" si="144"/>
        <v>1</v>
      </c>
      <c r="E1081">
        <f t="shared" si="145"/>
        <v>0</v>
      </c>
      <c r="F1081">
        <f t="shared" si="146"/>
        <v>1</v>
      </c>
      <c r="G1081">
        <f t="shared" si="147"/>
        <v>1</v>
      </c>
      <c r="H1081">
        <v>1</v>
      </c>
      <c r="I1081">
        <f t="shared" si="148"/>
        <v>1</v>
      </c>
      <c r="J1081">
        <f t="shared" si="140"/>
        <v>20.643351554870659</v>
      </c>
      <c r="K1081" t="s">
        <v>2614</v>
      </c>
      <c r="L1081" t="s">
        <v>2615</v>
      </c>
      <c r="M1081" t="s">
        <v>27</v>
      </c>
      <c r="N1081" t="s">
        <v>27</v>
      </c>
      <c r="O1081">
        <v>26</v>
      </c>
      <c r="P1081">
        <v>7.9308390617370597</v>
      </c>
      <c r="Q1081">
        <v>7.8960981369018599</v>
      </c>
      <c r="R1081">
        <v>18.5</v>
      </c>
      <c r="S1081">
        <v>9</v>
      </c>
      <c r="T1081">
        <v>36.413158416747997</v>
      </c>
      <c r="U1081">
        <v>20.399147033691399</v>
      </c>
      <c r="V1081">
        <v>-3422000</v>
      </c>
      <c r="W1081">
        <v>7.6288280487060502</v>
      </c>
      <c r="X1081">
        <v>0.15999999642372101</v>
      </c>
      <c r="Y1081">
        <v>10.199999809265099</v>
      </c>
      <c r="Z1081">
        <v>12.7472534179688</v>
      </c>
      <c r="AA1081">
        <v>8470000</v>
      </c>
      <c r="AB1081" t="s">
        <v>61</v>
      </c>
      <c r="AC1081" t="s">
        <v>234</v>
      </c>
      <c r="AD1081">
        <v>0.230000004172325</v>
      </c>
      <c r="AE1081">
        <v>21.2832126617432</v>
      </c>
      <c r="AF1081">
        <v>5.5988570987177502</v>
      </c>
      <c r="AG1081">
        <v>8524000</v>
      </c>
      <c r="AH1081">
        <v>35.946857452392599</v>
      </c>
      <c r="AI1081">
        <v>5.1925311088562003</v>
      </c>
    </row>
    <row r="1082" spans="1:35">
      <c r="A1082">
        <f t="shared" si="141"/>
        <v>1</v>
      </c>
      <c r="B1082">
        <f t="shared" si="142"/>
        <v>0</v>
      </c>
      <c r="C1082">
        <f t="shared" si="143"/>
        <v>1</v>
      </c>
      <c r="D1082">
        <f t="shared" si="144"/>
        <v>1</v>
      </c>
      <c r="E1082">
        <f t="shared" si="145"/>
        <v>0</v>
      </c>
      <c r="F1082">
        <f t="shared" si="146"/>
        <v>1</v>
      </c>
      <c r="G1082">
        <f t="shared" si="147"/>
        <v>0</v>
      </c>
      <c r="H1082">
        <v>1</v>
      </c>
      <c r="I1082">
        <f t="shared" si="148"/>
        <v>0</v>
      </c>
      <c r="J1082">
        <f t="shared" si="140"/>
        <v>20.554942131042459</v>
      </c>
      <c r="K1082" t="s">
        <v>2174</v>
      </c>
      <c r="L1082" t="s">
        <v>2175</v>
      </c>
      <c r="M1082" t="s">
        <v>27</v>
      </c>
      <c r="N1082" t="s">
        <v>27</v>
      </c>
      <c r="O1082">
        <v>23.89</v>
      </c>
      <c r="P1082">
        <v>15.925097465515099</v>
      </c>
      <c r="Q1082">
        <v>16.276060104370099</v>
      </c>
      <c r="R1082">
        <v>35.349998474121101</v>
      </c>
      <c r="S1082">
        <v>31.649999618530298</v>
      </c>
      <c r="T1082">
        <v>0.29738798737525901</v>
      </c>
      <c r="U1082">
        <v>32.561611175537102</v>
      </c>
      <c r="V1082">
        <v>14548000</v>
      </c>
      <c r="W1082">
        <v>12.696613311767599</v>
      </c>
      <c r="X1082">
        <v>0.270000010728836</v>
      </c>
      <c r="Y1082">
        <v>7.18644094467163</v>
      </c>
      <c r="Z1082">
        <v>4.2788820266723597</v>
      </c>
      <c r="AA1082">
        <v>21126000</v>
      </c>
      <c r="AB1082" t="s">
        <v>38</v>
      </c>
      <c r="AC1082" t="s">
        <v>628</v>
      </c>
      <c r="AD1082">
        <v>0.52999997138977095</v>
      </c>
      <c r="AE1082">
        <v>30.351758956909201</v>
      </c>
      <c r="AF1082">
        <v>5.7541094899683101</v>
      </c>
      <c r="AG1082">
        <v>22986000</v>
      </c>
      <c r="AH1082">
        <v>0</v>
      </c>
      <c r="AI1082">
        <v>11.989718437194799</v>
      </c>
    </row>
    <row r="1083" spans="1:35">
      <c r="A1083">
        <f t="shared" si="141"/>
        <v>1</v>
      </c>
      <c r="B1083">
        <f t="shared" si="142"/>
        <v>1</v>
      </c>
      <c r="C1083">
        <f t="shared" si="143"/>
        <v>1</v>
      </c>
      <c r="D1083">
        <f t="shared" si="144"/>
        <v>1</v>
      </c>
      <c r="E1083">
        <f t="shared" si="145"/>
        <v>0</v>
      </c>
      <c r="F1083">
        <f t="shared" si="146"/>
        <v>1</v>
      </c>
      <c r="G1083">
        <f t="shared" si="147"/>
        <v>1</v>
      </c>
      <c r="H1083">
        <v>1</v>
      </c>
      <c r="I1083">
        <f t="shared" si="148"/>
        <v>1</v>
      </c>
      <c r="J1083">
        <f t="shared" si="140"/>
        <v>20.54484987258909</v>
      </c>
      <c r="K1083" t="s">
        <v>1696</v>
      </c>
      <c r="L1083" t="s">
        <v>1697</v>
      </c>
      <c r="M1083" t="s">
        <v>27</v>
      </c>
      <c r="N1083" t="s">
        <v>27</v>
      </c>
      <c r="O1083">
        <v>24.009</v>
      </c>
      <c r="P1083" t="s">
        <v>27</v>
      </c>
      <c r="Q1083">
        <v>13.22252368927</v>
      </c>
      <c r="R1083">
        <v>17.149999618530298</v>
      </c>
      <c r="S1083">
        <v>16.75</v>
      </c>
      <c r="T1083">
        <v>30.571590423583999</v>
      </c>
      <c r="U1083">
        <v>31.893018722534201</v>
      </c>
      <c r="V1083">
        <v>13024000</v>
      </c>
      <c r="W1083">
        <v>-3.07381296157837</v>
      </c>
      <c r="X1083">
        <v>0.230000004172325</v>
      </c>
      <c r="Y1083" t="s">
        <v>27</v>
      </c>
      <c r="Z1083">
        <v>7.32232618331909</v>
      </c>
      <c r="AA1083">
        <v>19379000</v>
      </c>
      <c r="AB1083" t="s">
        <v>27</v>
      </c>
      <c r="AC1083" t="s">
        <v>27</v>
      </c>
      <c r="AD1083">
        <v>0.34000000357627902</v>
      </c>
      <c r="AE1083">
        <v>34.921535491943402</v>
      </c>
      <c r="AF1083">
        <v>9.0773236753181408</v>
      </c>
      <c r="AG1083">
        <v>22294000</v>
      </c>
      <c r="AH1083">
        <v>21.785871505737301</v>
      </c>
      <c r="AI1083">
        <v>6.6948089599609402</v>
      </c>
    </row>
    <row r="1084" spans="1:35">
      <c r="A1084">
        <f t="shared" si="141"/>
        <v>1</v>
      </c>
      <c r="B1084">
        <f t="shared" si="142"/>
        <v>1</v>
      </c>
      <c r="C1084">
        <f t="shared" si="143"/>
        <v>1</v>
      </c>
      <c r="D1084">
        <f t="shared" si="144"/>
        <v>0</v>
      </c>
      <c r="E1084">
        <f t="shared" si="145"/>
        <v>0</v>
      </c>
      <c r="F1084">
        <f t="shared" si="146"/>
        <v>1</v>
      </c>
      <c r="G1084">
        <f t="shared" si="147"/>
        <v>0</v>
      </c>
      <c r="H1084">
        <v>1</v>
      </c>
      <c r="I1084">
        <f t="shared" si="148"/>
        <v>1</v>
      </c>
      <c r="J1084">
        <f t="shared" si="140"/>
        <v>20.534691333770741</v>
      </c>
      <c r="K1084" t="s">
        <v>3673</v>
      </c>
      <c r="L1084" t="s">
        <v>3674</v>
      </c>
      <c r="M1084" t="s">
        <v>27</v>
      </c>
      <c r="N1084" t="s">
        <v>27</v>
      </c>
      <c r="O1084">
        <v>26.45</v>
      </c>
      <c r="P1084">
        <v>12.312793731689499</v>
      </c>
      <c r="Q1084">
        <v>13.085298538208001</v>
      </c>
      <c r="R1084">
        <v>24.149999618530298</v>
      </c>
      <c r="S1084">
        <v>20.049999237060501</v>
      </c>
      <c r="T1084">
        <v>45.954929351806598</v>
      </c>
      <c r="U1084" t="s">
        <v>27</v>
      </c>
      <c r="V1084">
        <v>6024000</v>
      </c>
      <c r="W1084">
        <v>8.0246505737304705</v>
      </c>
      <c r="X1084">
        <v>0.43000000715255698</v>
      </c>
      <c r="Y1084">
        <v>9.7809190750122106</v>
      </c>
      <c r="Z1084">
        <v>7.4493927955627397</v>
      </c>
      <c r="AA1084">
        <v>8980000</v>
      </c>
      <c r="AB1084" t="s">
        <v>83</v>
      </c>
      <c r="AC1084" t="s">
        <v>84</v>
      </c>
      <c r="AD1084">
        <v>0.41999998688697798</v>
      </c>
      <c r="AE1084" t="s">
        <v>27</v>
      </c>
      <c r="AF1084">
        <v>14.391303213786699</v>
      </c>
      <c r="AG1084">
        <v>11622000</v>
      </c>
      <c r="AH1084">
        <v>17.160236358642599</v>
      </c>
      <c r="AI1084">
        <v>8.9693470001220703</v>
      </c>
    </row>
    <row r="1085" spans="1:35">
      <c r="A1085">
        <f t="shared" si="141"/>
        <v>0</v>
      </c>
      <c r="B1085">
        <f t="shared" si="142"/>
        <v>1</v>
      </c>
      <c r="C1085">
        <f t="shared" si="143"/>
        <v>1</v>
      </c>
      <c r="D1085">
        <f t="shared" si="144"/>
        <v>0</v>
      </c>
      <c r="E1085">
        <f t="shared" si="145"/>
        <v>0</v>
      </c>
      <c r="F1085">
        <f t="shared" si="146"/>
        <v>1</v>
      </c>
      <c r="G1085">
        <f t="shared" si="147"/>
        <v>0</v>
      </c>
      <c r="H1085">
        <v>1</v>
      </c>
      <c r="I1085">
        <f t="shared" si="148"/>
        <v>0</v>
      </c>
      <c r="J1085">
        <f t="shared" si="140"/>
        <v>20.499616622924812</v>
      </c>
      <c r="K1085" t="s">
        <v>2905</v>
      </c>
      <c r="L1085" t="s">
        <v>2906</v>
      </c>
      <c r="M1085" t="s">
        <v>27</v>
      </c>
      <c r="N1085" t="s">
        <v>27</v>
      </c>
      <c r="O1085">
        <v>28.5</v>
      </c>
      <c r="P1085">
        <v>13.004687309265099</v>
      </c>
      <c r="Q1085">
        <v>12.134108543396</v>
      </c>
      <c r="R1085">
        <v>26.719999313354499</v>
      </c>
      <c r="S1085">
        <v>28.6875</v>
      </c>
      <c r="T1085">
        <v>22.981672286987301</v>
      </c>
      <c r="U1085">
        <v>63.982192993164098</v>
      </c>
      <c r="V1085">
        <v>1266999.25</v>
      </c>
      <c r="W1085">
        <v>5.6305098533630398</v>
      </c>
      <c r="X1085">
        <v>0.259999990463257</v>
      </c>
      <c r="Y1085">
        <v>5.5787320137023899</v>
      </c>
      <c r="Z1085">
        <v>8.3655080795288104</v>
      </c>
      <c r="AA1085">
        <v>18588000</v>
      </c>
      <c r="AB1085" t="s">
        <v>27</v>
      </c>
      <c r="AC1085" t="s">
        <v>27</v>
      </c>
      <c r="AD1085">
        <v>0.21999999880790699</v>
      </c>
      <c r="AE1085">
        <v>63.167335510253899</v>
      </c>
      <c r="AF1085">
        <v>8.2406345835990802</v>
      </c>
      <c r="AG1085">
        <v>21448000</v>
      </c>
      <c r="AH1085">
        <v>40.807762145996101</v>
      </c>
      <c r="AI1085">
        <v>8.7361669540405291</v>
      </c>
    </row>
    <row r="1086" spans="1:35">
      <c r="A1086">
        <f t="shared" si="141"/>
        <v>0</v>
      </c>
      <c r="B1086">
        <f t="shared" si="142"/>
        <v>1</v>
      </c>
      <c r="C1086">
        <f t="shared" si="143"/>
        <v>1</v>
      </c>
      <c r="D1086">
        <f t="shared" si="144"/>
        <v>1</v>
      </c>
      <c r="E1086">
        <f t="shared" si="145"/>
        <v>0</v>
      </c>
      <c r="F1086">
        <f t="shared" si="146"/>
        <v>1</v>
      </c>
      <c r="G1086">
        <f t="shared" si="147"/>
        <v>0</v>
      </c>
      <c r="H1086">
        <v>1</v>
      </c>
      <c r="I1086">
        <f t="shared" si="148"/>
        <v>0</v>
      </c>
      <c r="J1086">
        <f t="shared" si="140"/>
        <v>20.48955345153805</v>
      </c>
      <c r="K1086" t="s">
        <v>339</v>
      </c>
      <c r="L1086" t="s">
        <v>340</v>
      </c>
      <c r="M1086" t="s">
        <v>27</v>
      </c>
      <c r="N1086" t="s">
        <v>27</v>
      </c>
      <c r="O1086">
        <v>17.350000000000001</v>
      </c>
      <c r="P1086">
        <v>26.790077209472699</v>
      </c>
      <c r="Q1086">
        <v>12.817797660827599</v>
      </c>
      <c r="R1086">
        <v>36.9799995422363</v>
      </c>
      <c r="S1086">
        <v>23.5200004577637</v>
      </c>
      <c r="T1086">
        <v>52.705684661865199</v>
      </c>
      <c r="U1086">
        <v>55.547878265380902</v>
      </c>
      <c r="V1086">
        <v>53023000</v>
      </c>
      <c r="W1086">
        <v>2.03715991973877</v>
      </c>
      <c r="X1086">
        <v>0.46000000834464999</v>
      </c>
      <c r="Y1086">
        <v>7.6137928962707502</v>
      </c>
      <c r="Z1086">
        <v>7.6717557907104501</v>
      </c>
      <c r="AA1086">
        <v>28393000</v>
      </c>
      <c r="AB1086" t="s">
        <v>27</v>
      </c>
      <c r="AC1086" t="s">
        <v>27</v>
      </c>
      <c r="AD1086">
        <v>0.60000002384185802</v>
      </c>
      <c r="AE1086">
        <v>48.552944183349602</v>
      </c>
      <c r="AF1086">
        <v>4.9866966972313698</v>
      </c>
      <c r="AG1086">
        <v>28773000</v>
      </c>
      <c r="AH1086">
        <v>77.973464965820298</v>
      </c>
      <c r="AI1086">
        <v>8.2193937301635707</v>
      </c>
    </row>
    <row r="1087" spans="1:35">
      <c r="A1087">
        <f t="shared" si="141"/>
        <v>1</v>
      </c>
      <c r="B1087">
        <f t="shared" si="142"/>
        <v>1</v>
      </c>
      <c r="C1087">
        <f t="shared" si="143"/>
        <v>1</v>
      </c>
      <c r="D1087">
        <f t="shared" si="144"/>
        <v>1</v>
      </c>
      <c r="E1087">
        <f t="shared" si="145"/>
        <v>0</v>
      </c>
      <c r="F1087">
        <f t="shared" si="146"/>
        <v>1</v>
      </c>
      <c r="G1087">
        <f t="shared" si="147"/>
        <v>0</v>
      </c>
      <c r="H1087">
        <v>1</v>
      </c>
      <c r="I1087">
        <f t="shared" si="148"/>
        <v>0</v>
      </c>
      <c r="J1087">
        <f t="shared" si="140"/>
        <v>20.445482730865439</v>
      </c>
      <c r="K1087" t="s">
        <v>806</v>
      </c>
      <c r="L1087" t="s">
        <v>807</v>
      </c>
      <c r="M1087" t="s">
        <v>27</v>
      </c>
      <c r="N1087" t="s">
        <v>27</v>
      </c>
      <c r="O1087">
        <v>25.8</v>
      </c>
      <c r="P1087">
        <v>11.6437540054321</v>
      </c>
      <c r="Q1087">
        <v>13.4061126708984</v>
      </c>
      <c r="R1087">
        <v>27.5</v>
      </c>
      <c r="S1087">
        <v>23.247999572753901</v>
      </c>
      <c r="T1087">
        <v>4.3301720619201696</v>
      </c>
      <c r="U1087" t="s">
        <v>27</v>
      </c>
      <c r="V1087">
        <v>32734998</v>
      </c>
      <c r="W1087">
        <v>-6.1749000102281598E-2</v>
      </c>
      <c r="X1087">
        <v>0.44000000953674301</v>
      </c>
      <c r="Y1087">
        <v>8.4749393463134801</v>
      </c>
      <c r="Z1087">
        <v>7.0393700599670401</v>
      </c>
      <c r="AA1087">
        <v>32971250</v>
      </c>
      <c r="AB1087" t="s">
        <v>27</v>
      </c>
      <c r="AC1087" t="s">
        <v>27</v>
      </c>
      <c r="AD1087">
        <v>0.46000000834464999</v>
      </c>
      <c r="AE1087" t="s">
        <v>27</v>
      </c>
      <c r="AF1087" t="s">
        <v>27</v>
      </c>
      <c r="AG1087">
        <v>32025002</v>
      </c>
      <c r="AH1087">
        <v>1.12544500827789</v>
      </c>
      <c r="AI1087">
        <v>1.5447690486907999</v>
      </c>
    </row>
    <row r="1088" spans="1:35">
      <c r="A1088">
        <f t="shared" si="141"/>
        <v>1</v>
      </c>
      <c r="B1088">
        <f t="shared" si="142"/>
        <v>1</v>
      </c>
      <c r="C1088">
        <f t="shared" si="143"/>
        <v>0</v>
      </c>
      <c r="D1088">
        <f t="shared" si="144"/>
        <v>0</v>
      </c>
      <c r="E1088">
        <f t="shared" si="145"/>
        <v>0</v>
      </c>
      <c r="F1088">
        <f t="shared" si="146"/>
        <v>1</v>
      </c>
      <c r="G1088">
        <f t="shared" si="147"/>
        <v>0</v>
      </c>
      <c r="H1088">
        <v>1</v>
      </c>
      <c r="I1088">
        <f t="shared" si="148"/>
        <v>0</v>
      </c>
      <c r="J1088">
        <f t="shared" si="140"/>
        <v>20.417392730712862</v>
      </c>
      <c r="K1088" t="s">
        <v>322</v>
      </c>
      <c r="L1088" t="s">
        <v>323</v>
      </c>
      <c r="M1088" t="s">
        <v>27</v>
      </c>
      <c r="N1088" t="s">
        <v>27</v>
      </c>
      <c r="O1088">
        <v>24.21</v>
      </c>
      <c r="P1088">
        <v>16.7730827331543</v>
      </c>
      <c r="Q1088">
        <v>10.953365325927701</v>
      </c>
      <c r="R1088">
        <v>30.190000534057599</v>
      </c>
      <c r="S1088">
        <v>20.5625</v>
      </c>
      <c r="T1088">
        <v>25.240398406982401</v>
      </c>
      <c r="U1088" t="s">
        <v>27</v>
      </c>
      <c r="V1088">
        <v>-749001</v>
      </c>
      <c r="W1088">
        <v>7.0030479431152299</v>
      </c>
      <c r="X1088">
        <v>1.12000000476837</v>
      </c>
      <c r="Y1088">
        <v>19.121950149536101</v>
      </c>
      <c r="Z1088">
        <v>9.4640274047851598</v>
      </c>
      <c r="AA1088">
        <v>19925218</v>
      </c>
      <c r="AB1088" t="s">
        <v>61</v>
      </c>
      <c r="AC1088" t="s">
        <v>234</v>
      </c>
      <c r="AD1088">
        <v>0.56999999284744296</v>
      </c>
      <c r="AE1088">
        <v>12.197482109069799</v>
      </c>
      <c r="AF1088" t="s">
        <v>27</v>
      </c>
      <c r="AG1088">
        <v>24363000</v>
      </c>
      <c r="AH1088">
        <v>19.879844665527301</v>
      </c>
      <c r="AI1088">
        <v>9.9610671997070295</v>
      </c>
    </row>
    <row r="1089" spans="1:35">
      <c r="A1089">
        <f t="shared" si="141"/>
        <v>0</v>
      </c>
      <c r="B1089">
        <f t="shared" si="142"/>
        <v>1</v>
      </c>
      <c r="C1089">
        <f t="shared" si="143"/>
        <v>0</v>
      </c>
      <c r="D1089">
        <f t="shared" si="144"/>
        <v>0</v>
      </c>
      <c r="E1089">
        <f t="shared" si="145"/>
        <v>0</v>
      </c>
      <c r="F1089">
        <f t="shared" si="146"/>
        <v>1</v>
      </c>
      <c r="G1089">
        <f t="shared" si="147"/>
        <v>0</v>
      </c>
      <c r="H1089">
        <v>1</v>
      </c>
      <c r="I1089">
        <f t="shared" si="148"/>
        <v>0</v>
      </c>
      <c r="J1089">
        <f t="shared" si="140"/>
        <v>20.377576828002901</v>
      </c>
      <c r="K1089" t="s">
        <v>1562</v>
      </c>
      <c r="L1089" t="s">
        <v>1563</v>
      </c>
      <c r="M1089" t="s">
        <v>27</v>
      </c>
      <c r="N1089" t="s">
        <v>27</v>
      </c>
      <c r="O1089">
        <v>16.149999999999999</v>
      </c>
      <c r="P1089">
        <v>9.5412921905517596</v>
      </c>
      <c r="Q1089">
        <v>10.2548770904541</v>
      </c>
      <c r="R1089">
        <v>15.699999809265099</v>
      </c>
      <c r="S1089">
        <v>17.629999160766602</v>
      </c>
      <c r="T1089">
        <v>45.771228790283203</v>
      </c>
      <c r="U1089" t="s">
        <v>27</v>
      </c>
      <c r="V1089">
        <v>-18868998</v>
      </c>
      <c r="W1089">
        <v>6.3629522323608398</v>
      </c>
      <c r="X1089">
        <v>0.30000001192092901</v>
      </c>
      <c r="Y1089">
        <v>7.6546759605407697</v>
      </c>
      <c r="Z1089">
        <v>10.1226997375488</v>
      </c>
      <c r="AA1089">
        <v>16645000</v>
      </c>
      <c r="AB1089" t="s">
        <v>27</v>
      </c>
      <c r="AC1089" t="s">
        <v>27</v>
      </c>
      <c r="AD1089">
        <v>0.270000010728836</v>
      </c>
      <c r="AE1089" t="s">
        <v>27</v>
      </c>
      <c r="AF1089">
        <v>10.175820908820899</v>
      </c>
      <c r="AG1089">
        <v>16718000</v>
      </c>
      <c r="AH1089">
        <v>50.109218597412102</v>
      </c>
      <c r="AI1089">
        <v>7.7105407714843803</v>
      </c>
    </row>
    <row r="1090" spans="1:35">
      <c r="A1090">
        <f t="shared" si="141"/>
        <v>1</v>
      </c>
      <c r="B1090">
        <f t="shared" si="142"/>
        <v>0</v>
      </c>
      <c r="C1090">
        <f t="shared" si="143"/>
        <v>1</v>
      </c>
      <c r="D1090">
        <f t="shared" si="144"/>
        <v>0</v>
      </c>
      <c r="E1090">
        <f t="shared" si="145"/>
        <v>0</v>
      </c>
      <c r="F1090">
        <f t="shared" si="146"/>
        <v>1</v>
      </c>
      <c r="G1090">
        <f t="shared" si="147"/>
        <v>0</v>
      </c>
      <c r="H1090">
        <v>1</v>
      </c>
      <c r="I1090">
        <f t="shared" si="148"/>
        <v>0</v>
      </c>
      <c r="J1090">
        <f t="shared" si="140"/>
        <v>20.357999801635721</v>
      </c>
      <c r="K1090" t="s">
        <v>3276</v>
      </c>
      <c r="L1090" t="s">
        <v>3277</v>
      </c>
      <c r="M1090" t="s">
        <v>27</v>
      </c>
      <c r="N1090" t="s">
        <v>27</v>
      </c>
      <c r="O1090">
        <v>21.92</v>
      </c>
      <c r="P1090">
        <v>9.8866548538208008</v>
      </c>
      <c r="Q1090">
        <v>8.8169946670532209</v>
      </c>
      <c r="R1090">
        <v>34.819999694824197</v>
      </c>
      <c r="S1090">
        <v>50</v>
      </c>
      <c r="T1090">
        <v>35.614162445068402</v>
      </c>
      <c r="U1090">
        <v>21.709123611450199</v>
      </c>
      <c r="V1090">
        <v>183000.5625</v>
      </c>
      <c r="W1090">
        <v>7.8306131362915004</v>
      </c>
      <c r="X1090">
        <v>0.91000002622604403</v>
      </c>
      <c r="Y1090">
        <v>7.62886619567871</v>
      </c>
      <c r="Z1090">
        <v>11.5410051345825</v>
      </c>
      <c r="AA1090">
        <v>12727000</v>
      </c>
      <c r="AB1090" t="s">
        <v>27</v>
      </c>
      <c r="AC1090" t="s">
        <v>27</v>
      </c>
      <c r="AD1090">
        <v>0.63999998569488503</v>
      </c>
      <c r="AE1090">
        <v>18.549850463867202</v>
      </c>
      <c r="AF1090">
        <v>6.7031553178647103</v>
      </c>
      <c r="AG1090">
        <v>13110550</v>
      </c>
      <c r="AH1090">
        <v>31.400367736816399</v>
      </c>
      <c r="AI1090">
        <v>5.8722348213195801</v>
      </c>
    </row>
    <row r="1091" spans="1:35">
      <c r="A1091">
        <f t="shared" si="141"/>
        <v>1</v>
      </c>
      <c r="B1091">
        <f t="shared" si="142"/>
        <v>1</v>
      </c>
      <c r="C1091">
        <f t="shared" si="143"/>
        <v>1</v>
      </c>
      <c r="D1091">
        <f t="shared" si="144"/>
        <v>1</v>
      </c>
      <c r="E1091">
        <f t="shared" si="145"/>
        <v>0</v>
      </c>
      <c r="F1091">
        <f t="shared" si="146"/>
        <v>1</v>
      </c>
      <c r="G1091">
        <f t="shared" si="147"/>
        <v>0</v>
      </c>
      <c r="H1091">
        <v>1</v>
      </c>
      <c r="I1091">
        <f t="shared" si="148"/>
        <v>0</v>
      </c>
      <c r="J1091">
        <f t="shared" si="140"/>
        <v>20.344957590103164</v>
      </c>
      <c r="K1091" t="s">
        <v>2931</v>
      </c>
      <c r="L1091" t="s">
        <v>2932</v>
      </c>
      <c r="M1091" t="s">
        <v>27</v>
      </c>
      <c r="N1091" t="s">
        <v>27</v>
      </c>
      <c r="O1091">
        <v>17.75</v>
      </c>
      <c r="P1091">
        <v>15.9450273513794</v>
      </c>
      <c r="Q1091">
        <v>16.506759643554702</v>
      </c>
      <c r="R1091">
        <v>23.0200004577637</v>
      </c>
      <c r="S1091">
        <v>36.75</v>
      </c>
      <c r="T1091">
        <v>28.931371688842798</v>
      </c>
      <c r="U1091">
        <v>28.597826004028299</v>
      </c>
      <c r="V1091">
        <v>9854000</v>
      </c>
      <c r="W1091">
        <v>8.7744894027709996</v>
      </c>
      <c r="X1091">
        <v>0.40999999642372098</v>
      </c>
      <c r="Y1091">
        <v>3.11764693260193</v>
      </c>
      <c r="Z1091">
        <v>3.8381979465484601</v>
      </c>
      <c r="AA1091">
        <v>14969000</v>
      </c>
      <c r="AB1091" t="s">
        <v>27</v>
      </c>
      <c r="AC1091" t="s">
        <v>27</v>
      </c>
      <c r="AD1091">
        <v>0.46999999880790699</v>
      </c>
      <c r="AE1091">
        <v>28.3478393554688</v>
      </c>
      <c r="AF1091">
        <v>8.1628808970945297</v>
      </c>
      <c r="AG1091">
        <v>17312000</v>
      </c>
      <c r="AH1091">
        <v>1.2485430240631099</v>
      </c>
      <c r="AI1091">
        <v>11.3047218322754</v>
      </c>
    </row>
    <row r="1092" spans="1:35">
      <c r="A1092">
        <f t="shared" si="141"/>
        <v>1</v>
      </c>
      <c r="B1092">
        <f t="shared" si="142"/>
        <v>1</v>
      </c>
      <c r="C1092">
        <f t="shared" si="143"/>
        <v>1</v>
      </c>
      <c r="D1092">
        <f t="shared" si="144"/>
        <v>1</v>
      </c>
      <c r="E1092">
        <f t="shared" si="145"/>
        <v>0</v>
      </c>
      <c r="F1092">
        <f t="shared" si="146"/>
        <v>1</v>
      </c>
      <c r="G1092">
        <f t="shared" si="147"/>
        <v>1</v>
      </c>
      <c r="H1092">
        <v>1</v>
      </c>
      <c r="I1092">
        <f t="shared" si="148"/>
        <v>0</v>
      </c>
      <c r="J1092">
        <f t="shared" si="140"/>
        <v>20.29048061370851</v>
      </c>
      <c r="K1092" t="s">
        <v>2098</v>
      </c>
      <c r="L1092" t="s">
        <v>2099</v>
      </c>
      <c r="M1092" t="s">
        <v>27</v>
      </c>
      <c r="N1092" t="s">
        <v>27</v>
      </c>
      <c r="O1092">
        <v>22.53</v>
      </c>
      <c r="P1092">
        <v>3.2290480136871298</v>
      </c>
      <c r="Q1092">
        <v>8.4667453765869105</v>
      </c>
      <c r="R1092">
        <v>24.700000762939499</v>
      </c>
      <c r="S1092">
        <v>19</v>
      </c>
      <c r="T1092">
        <v>9.3700714111328107</v>
      </c>
      <c r="U1092">
        <v>17.615098953247099</v>
      </c>
      <c r="V1092">
        <v>11727000</v>
      </c>
      <c r="W1092">
        <v>-0.54636198282241799</v>
      </c>
      <c r="X1092">
        <v>0.36000001430511502</v>
      </c>
      <c r="Y1092">
        <v>4.1717791557312003</v>
      </c>
      <c r="Z1092">
        <v>11.8237352371216</v>
      </c>
      <c r="AA1092">
        <v>6262000</v>
      </c>
      <c r="AB1092" t="s">
        <v>27</v>
      </c>
      <c r="AC1092" t="s">
        <v>27</v>
      </c>
      <c r="AD1092">
        <v>1.03999996185303</v>
      </c>
      <c r="AE1092">
        <v>25.118984222412099</v>
      </c>
      <c r="AF1092">
        <v>4.0385293238942603</v>
      </c>
      <c r="AG1092">
        <v>6320000</v>
      </c>
      <c r="AH1092">
        <v>2.9536669254303001</v>
      </c>
      <c r="AI1092">
        <v>3.0515899658203098</v>
      </c>
    </row>
    <row r="1093" spans="1:35">
      <c r="A1093">
        <f t="shared" si="141"/>
        <v>1</v>
      </c>
      <c r="B1093">
        <f t="shared" si="142"/>
        <v>0</v>
      </c>
      <c r="C1093">
        <f t="shared" si="143"/>
        <v>1</v>
      </c>
      <c r="D1093">
        <f t="shared" si="144"/>
        <v>0</v>
      </c>
      <c r="E1093">
        <f t="shared" si="145"/>
        <v>0</v>
      </c>
      <c r="F1093">
        <f t="shared" si="146"/>
        <v>1</v>
      </c>
      <c r="G1093">
        <f t="shared" si="147"/>
        <v>0</v>
      </c>
      <c r="H1093">
        <v>1</v>
      </c>
      <c r="I1093">
        <f t="shared" si="148"/>
        <v>0</v>
      </c>
      <c r="J1093">
        <f t="shared" si="140"/>
        <v>20.190015792846637</v>
      </c>
      <c r="K1093" t="s">
        <v>3298</v>
      </c>
      <c r="L1093" t="s">
        <v>3299</v>
      </c>
      <c r="M1093" t="s">
        <v>27</v>
      </c>
      <c r="N1093" t="s">
        <v>27</v>
      </c>
      <c r="O1093">
        <v>22.02</v>
      </c>
      <c r="P1093">
        <v>17.285190582275401</v>
      </c>
      <c r="Q1093">
        <v>11.690844535827599</v>
      </c>
      <c r="R1093">
        <v>26.5</v>
      </c>
      <c r="S1093">
        <v>25.5</v>
      </c>
      <c r="T1093">
        <v>27.298599243164102</v>
      </c>
      <c r="U1093">
        <v>24.4848823547363</v>
      </c>
      <c r="V1093">
        <v>5930000</v>
      </c>
      <c r="W1093">
        <v>11.827169418335</v>
      </c>
      <c r="X1093">
        <v>0.70999997854232799</v>
      </c>
      <c r="Y1093">
        <v>11.340206146240201</v>
      </c>
      <c r="Z1093">
        <v>8.4991712570190394</v>
      </c>
      <c r="AA1093">
        <v>6913531</v>
      </c>
      <c r="AB1093" t="s">
        <v>30</v>
      </c>
      <c r="AC1093" t="s">
        <v>410</v>
      </c>
      <c r="AD1093">
        <v>0.490000009536743</v>
      </c>
      <c r="AE1093">
        <v>23.0173149108887</v>
      </c>
      <c r="AF1093">
        <v>5.6932265166843896</v>
      </c>
      <c r="AG1093">
        <v>6580000</v>
      </c>
      <c r="AH1093">
        <v>26.3941040039063</v>
      </c>
      <c r="AI1093">
        <v>11.174399375915501</v>
      </c>
    </row>
    <row r="1094" spans="1:35">
      <c r="A1094">
        <f t="shared" si="141"/>
        <v>1</v>
      </c>
      <c r="B1094">
        <f t="shared" si="142"/>
        <v>1</v>
      </c>
      <c r="C1094">
        <f t="shared" si="143"/>
        <v>0</v>
      </c>
      <c r="D1094">
        <f t="shared" si="144"/>
        <v>0</v>
      </c>
      <c r="E1094">
        <f t="shared" si="145"/>
        <v>0</v>
      </c>
      <c r="F1094">
        <f t="shared" si="146"/>
        <v>1</v>
      </c>
      <c r="G1094">
        <f t="shared" si="147"/>
        <v>0</v>
      </c>
      <c r="H1094">
        <v>1</v>
      </c>
      <c r="I1094">
        <f t="shared" si="148"/>
        <v>1</v>
      </c>
      <c r="J1094">
        <f t="shared" si="140"/>
        <v>20.174091339111339</v>
      </c>
      <c r="K1094" t="s">
        <v>3841</v>
      </c>
      <c r="L1094" t="s">
        <v>3842</v>
      </c>
      <c r="M1094" t="s">
        <v>27</v>
      </c>
      <c r="N1094" t="s">
        <v>27</v>
      </c>
      <c r="O1094">
        <v>34.22</v>
      </c>
      <c r="P1094" t="s">
        <v>27</v>
      </c>
      <c r="Q1094">
        <v>10.4929542541504</v>
      </c>
      <c r="R1094">
        <v>30.600000381469702</v>
      </c>
      <c r="S1094">
        <v>26.700000762939499</v>
      </c>
      <c r="T1094">
        <v>29.947668075561499</v>
      </c>
      <c r="U1094">
        <v>4.0222659111022896</v>
      </c>
      <c r="V1094">
        <v>-33903000</v>
      </c>
      <c r="W1094">
        <v>-1.5094790458679199</v>
      </c>
      <c r="X1094">
        <v>0.37000000476837203</v>
      </c>
      <c r="Y1094">
        <v>3.5112218856811501</v>
      </c>
      <c r="Z1094">
        <v>9.6811370849609393</v>
      </c>
      <c r="AA1094">
        <v>32299000</v>
      </c>
      <c r="AB1094" t="s">
        <v>27</v>
      </c>
      <c r="AC1094" t="s">
        <v>27</v>
      </c>
      <c r="AD1094">
        <v>0.37000000476837203</v>
      </c>
      <c r="AE1094">
        <v>2.1958129405975302</v>
      </c>
      <c r="AF1094">
        <v>9.7847573255354092</v>
      </c>
      <c r="AG1094">
        <v>32639000</v>
      </c>
      <c r="AH1094">
        <v>24.633346557617202</v>
      </c>
      <c r="AI1094">
        <v>4.5231828689575204</v>
      </c>
    </row>
    <row r="1095" spans="1:35">
      <c r="A1095">
        <f t="shared" si="141"/>
        <v>0</v>
      </c>
      <c r="B1095">
        <f t="shared" si="142"/>
        <v>0</v>
      </c>
      <c r="C1095">
        <f t="shared" si="143"/>
        <v>1</v>
      </c>
      <c r="D1095">
        <f t="shared" si="144"/>
        <v>1</v>
      </c>
      <c r="E1095">
        <f t="shared" si="145"/>
        <v>0</v>
      </c>
      <c r="F1095">
        <f t="shared" si="146"/>
        <v>1</v>
      </c>
      <c r="G1095">
        <f t="shared" si="147"/>
        <v>0</v>
      </c>
      <c r="H1095">
        <v>1</v>
      </c>
      <c r="I1095">
        <f t="shared" si="148"/>
        <v>0</v>
      </c>
      <c r="J1095">
        <f t="shared" si="140"/>
        <v>20.161139011383071</v>
      </c>
      <c r="K1095" t="s">
        <v>441</v>
      </c>
      <c r="L1095" t="s">
        <v>442</v>
      </c>
      <c r="M1095" t="s">
        <v>27</v>
      </c>
      <c r="N1095" t="s">
        <v>27</v>
      </c>
      <c r="O1095">
        <v>23.75</v>
      </c>
      <c r="P1095" t="s">
        <v>27</v>
      </c>
      <c r="Q1095">
        <v>16.028121948242202</v>
      </c>
      <c r="R1095">
        <v>25</v>
      </c>
      <c r="S1095" t="s">
        <v>27</v>
      </c>
      <c r="T1095">
        <v>30.0927639007568</v>
      </c>
      <c r="U1095">
        <v>19.076341629028299</v>
      </c>
      <c r="V1095">
        <v>64312996</v>
      </c>
      <c r="W1095">
        <v>2.1549921035766602</v>
      </c>
      <c r="X1095">
        <v>9.00000035762787E-2</v>
      </c>
      <c r="Y1095" t="s">
        <v>27</v>
      </c>
      <c r="Z1095">
        <v>4.13301706314087</v>
      </c>
      <c r="AA1095">
        <v>40582500</v>
      </c>
      <c r="AB1095" t="s">
        <v>27</v>
      </c>
      <c r="AC1095" t="s">
        <v>27</v>
      </c>
      <c r="AD1095">
        <v>0.140000000596046</v>
      </c>
      <c r="AE1095">
        <v>18.242782592773398</v>
      </c>
      <c r="AF1095">
        <v>8.2416100624081405</v>
      </c>
      <c r="AG1095">
        <v>50916000</v>
      </c>
      <c r="AH1095">
        <v>46.427284240722699</v>
      </c>
      <c r="AI1095">
        <v>0.96231299638748202</v>
      </c>
    </row>
    <row r="1096" spans="1:35">
      <c r="A1096">
        <f t="shared" si="141"/>
        <v>0</v>
      </c>
      <c r="B1096">
        <f t="shared" si="142"/>
        <v>0</v>
      </c>
      <c r="C1096">
        <f t="shared" si="143"/>
        <v>1</v>
      </c>
      <c r="D1096">
        <f t="shared" si="144"/>
        <v>0</v>
      </c>
      <c r="E1096">
        <f t="shared" si="145"/>
        <v>0</v>
      </c>
      <c r="F1096">
        <f t="shared" si="146"/>
        <v>1</v>
      </c>
      <c r="G1096">
        <f t="shared" si="147"/>
        <v>1</v>
      </c>
      <c r="H1096">
        <v>1</v>
      </c>
      <c r="I1096">
        <f t="shared" si="148"/>
        <v>0</v>
      </c>
      <c r="J1096">
        <f t="shared" si="140"/>
        <v>20.113155841827428</v>
      </c>
      <c r="K1096" t="s">
        <v>1040</v>
      </c>
      <c r="L1096" t="s">
        <v>1041</v>
      </c>
      <c r="M1096" t="s">
        <v>27</v>
      </c>
      <c r="N1096" t="s">
        <v>27</v>
      </c>
      <c r="O1096">
        <v>22.81</v>
      </c>
      <c r="P1096">
        <v>13.215443611145</v>
      </c>
      <c r="Q1096">
        <v>14.2854099273682</v>
      </c>
      <c r="R1096">
        <v>31.889999389648398</v>
      </c>
      <c r="S1096">
        <v>36.75</v>
      </c>
      <c r="T1096">
        <v>0</v>
      </c>
      <c r="U1096">
        <v>59.499267578125</v>
      </c>
      <c r="V1096">
        <v>6432000</v>
      </c>
      <c r="W1096">
        <v>11.7228002548218</v>
      </c>
      <c r="X1096">
        <v>0.40999999642372098</v>
      </c>
      <c r="Y1096">
        <v>5.9402990341186497</v>
      </c>
      <c r="Z1096">
        <v>5.8277459144592303</v>
      </c>
      <c r="AA1096">
        <v>14789000</v>
      </c>
      <c r="AB1096" t="s">
        <v>27</v>
      </c>
      <c r="AC1096" t="s">
        <v>27</v>
      </c>
      <c r="AD1096">
        <v>0.230000004172325</v>
      </c>
      <c r="AE1096">
        <v>60.640338897705099</v>
      </c>
      <c r="AF1096" t="s">
        <v>27</v>
      </c>
      <c r="AG1096">
        <v>14764000</v>
      </c>
      <c r="AH1096">
        <v>0</v>
      </c>
      <c r="AI1096">
        <v>11.3176431655884</v>
      </c>
    </row>
    <row r="1097" spans="1:35">
      <c r="A1097">
        <f t="shared" si="141"/>
        <v>0</v>
      </c>
      <c r="B1097">
        <f t="shared" si="142"/>
        <v>1</v>
      </c>
      <c r="C1097">
        <f t="shared" si="143"/>
        <v>1</v>
      </c>
      <c r="D1097">
        <f t="shared" si="144"/>
        <v>0</v>
      </c>
      <c r="E1097">
        <f t="shared" si="145"/>
        <v>0</v>
      </c>
      <c r="F1097">
        <f t="shared" si="146"/>
        <v>1</v>
      </c>
      <c r="G1097">
        <f t="shared" si="147"/>
        <v>0</v>
      </c>
      <c r="H1097">
        <v>1</v>
      </c>
      <c r="I1097">
        <f t="shared" si="148"/>
        <v>0</v>
      </c>
      <c r="J1097">
        <f t="shared" si="140"/>
        <v>20.085802555084221</v>
      </c>
      <c r="K1097" t="s">
        <v>2270</v>
      </c>
      <c r="L1097" t="s">
        <v>2271</v>
      </c>
      <c r="M1097" t="s">
        <v>27</v>
      </c>
      <c r="N1097" t="s">
        <v>27</v>
      </c>
      <c r="O1097">
        <v>16.809999999999999</v>
      </c>
      <c r="P1097">
        <v>14.7210702896118</v>
      </c>
      <c r="Q1097">
        <v>13.290254592895501</v>
      </c>
      <c r="R1097">
        <v>16.450000762939499</v>
      </c>
      <c r="S1097">
        <v>16.5625</v>
      </c>
      <c r="T1097">
        <v>0.63827997446060203</v>
      </c>
      <c r="U1097" t="s">
        <v>27</v>
      </c>
      <c r="V1097">
        <v>8384990</v>
      </c>
      <c r="W1097">
        <v>1.6070430278778101</v>
      </c>
      <c r="X1097">
        <v>0.31999999284744302</v>
      </c>
      <c r="Y1097">
        <v>7.5840001106262198</v>
      </c>
      <c r="Z1097">
        <v>6.7955479621887198</v>
      </c>
      <c r="AA1097">
        <v>22012000</v>
      </c>
      <c r="AB1097" t="s">
        <v>27</v>
      </c>
      <c r="AC1097" t="s">
        <v>27</v>
      </c>
      <c r="AD1097">
        <v>0.259999990463257</v>
      </c>
      <c r="AE1097" t="s">
        <v>27</v>
      </c>
      <c r="AF1097" t="s">
        <v>27</v>
      </c>
      <c r="AG1097">
        <v>24197000</v>
      </c>
      <c r="AH1097">
        <v>0.76396799087524403</v>
      </c>
      <c r="AI1097">
        <v>1.94578897953033</v>
      </c>
    </row>
    <row r="1098" spans="1:35">
      <c r="A1098">
        <f t="shared" si="141"/>
        <v>0</v>
      </c>
      <c r="B1098">
        <f t="shared" si="142"/>
        <v>1</v>
      </c>
      <c r="C1098">
        <f t="shared" si="143"/>
        <v>1</v>
      </c>
      <c r="D1098">
        <f t="shared" si="144"/>
        <v>1</v>
      </c>
      <c r="E1098">
        <f t="shared" si="145"/>
        <v>0</v>
      </c>
      <c r="F1098">
        <f t="shared" si="146"/>
        <v>1</v>
      </c>
      <c r="G1098">
        <f t="shared" si="147"/>
        <v>1</v>
      </c>
      <c r="H1098">
        <v>1</v>
      </c>
      <c r="I1098">
        <f t="shared" si="148"/>
        <v>0</v>
      </c>
      <c r="J1098">
        <f t="shared" si="140"/>
        <v>20.071659088134759</v>
      </c>
      <c r="K1098" t="s">
        <v>553</v>
      </c>
      <c r="L1098" t="s">
        <v>554</v>
      </c>
      <c r="M1098" t="s">
        <v>27</v>
      </c>
      <c r="N1098" t="s">
        <v>27</v>
      </c>
      <c r="O1098">
        <v>14.7</v>
      </c>
      <c r="P1098">
        <v>10.3803491592407</v>
      </c>
      <c r="Q1098">
        <v>13.4390058517456</v>
      </c>
      <c r="R1098">
        <v>15.449999809265099</v>
      </c>
      <c r="S1098">
        <v>9</v>
      </c>
      <c r="T1098">
        <v>0</v>
      </c>
      <c r="U1098">
        <v>56.880695343017599</v>
      </c>
      <c r="V1098">
        <v>11939000</v>
      </c>
      <c r="W1098">
        <v>9.4130039215087908</v>
      </c>
      <c r="X1098">
        <v>0.119999997317791</v>
      </c>
      <c r="Y1098">
        <v>6.28965520858765</v>
      </c>
      <c r="Z1098">
        <v>6.6326532363891602</v>
      </c>
      <c r="AA1098">
        <v>18035000</v>
      </c>
      <c r="AB1098" t="s">
        <v>194</v>
      </c>
      <c r="AC1098" t="s">
        <v>555</v>
      </c>
      <c r="AD1098">
        <v>0.17000000178813901</v>
      </c>
      <c r="AE1098">
        <v>58.462478637695298</v>
      </c>
      <c r="AF1098">
        <v>18.892882766082401</v>
      </c>
      <c r="AG1098">
        <v>16256000</v>
      </c>
      <c r="AH1098">
        <v>0</v>
      </c>
      <c r="AI1098">
        <v>10.636344909668001</v>
      </c>
    </row>
    <row r="1099" spans="1:35">
      <c r="A1099">
        <f t="shared" si="141"/>
        <v>1</v>
      </c>
      <c r="B1099">
        <f t="shared" si="142"/>
        <v>0</v>
      </c>
      <c r="C1099">
        <f t="shared" si="143"/>
        <v>1</v>
      </c>
      <c r="D1099">
        <f t="shared" si="144"/>
        <v>0</v>
      </c>
      <c r="E1099">
        <f t="shared" si="145"/>
        <v>0</v>
      </c>
      <c r="F1099">
        <f t="shared" si="146"/>
        <v>1</v>
      </c>
      <c r="G1099">
        <f t="shared" si="147"/>
        <v>0</v>
      </c>
      <c r="H1099">
        <v>1</v>
      </c>
      <c r="I1099">
        <f t="shared" si="148"/>
        <v>0</v>
      </c>
      <c r="J1099">
        <f t="shared" si="140"/>
        <v>20.048838615417509</v>
      </c>
      <c r="K1099" t="s">
        <v>1261</v>
      </c>
      <c r="L1099" t="s">
        <v>1262</v>
      </c>
      <c r="M1099" t="s">
        <v>27</v>
      </c>
      <c r="N1099" t="s">
        <v>27</v>
      </c>
      <c r="O1099">
        <v>15.9</v>
      </c>
      <c r="P1099">
        <v>9.3644943237304705</v>
      </c>
      <c r="Q1099">
        <v>8.6005630493164098</v>
      </c>
      <c r="R1099">
        <v>17.450000762939499</v>
      </c>
      <c r="S1099">
        <v>24.75</v>
      </c>
      <c r="T1099">
        <v>24.7399005889893</v>
      </c>
      <c r="U1099">
        <v>36.786033630371101</v>
      </c>
      <c r="V1099">
        <v>8177000.5</v>
      </c>
      <c r="W1099">
        <v>7.02744483947754</v>
      </c>
      <c r="X1099">
        <v>0.63999998569488503</v>
      </c>
      <c r="Y1099">
        <v>7.9772081375122097</v>
      </c>
      <c r="Z1099">
        <v>11.448275566101101</v>
      </c>
      <c r="AA1099">
        <v>17425000</v>
      </c>
      <c r="AB1099" t="s">
        <v>61</v>
      </c>
      <c r="AC1099" t="s">
        <v>65</v>
      </c>
      <c r="AD1099">
        <v>0.36000001430511502</v>
      </c>
      <c r="AE1099">
        <v>34.781562805175803</v>
      </c>
      <c r="AF1099">
        <v>6.6456838661840703</v>
      </c>
      <c r="AG1099">
        <v>20716000</v>
      </c>
      <c r="AH1099">
        <v>19.766778945922901</v>
      </c>
      <c r="AI1099">
        <v>6.2768640518188503</v>
      </c>
    </row>
    <row r="1100" spans="1:35">
      <c r="A1100">
        <f t="shared" si="141"/>
        <v>1</v>
      </c>
      <c r="B1100">
        <f t="shared" si="142"/>
        <v>0</v>
      </c>
      <c r="C1100">
        <f t="shared" si="143"/>
        <v>1</v>
      </c>
      <c r="D1100">
        <f t="shared" si="144"/>
        <v>1</v>
      </c>
      <c r="E1100">
        <f t="shared" si="145"/>
        <v>0</v>
      </c>
      <c r="F1100">
        <f t="shared" si="146"/>
        <v>1</v>
      </c>
      <c r="G1100">
        <f t="shared" si="147"/>
        <v>0</v>
      </c>
      <c r="H1100">
        <v>1</v>
      </c>
      <c r="I1100">
        <f t="shared" si="148"/>
        <v>1</v>
      </c>
      <c r="J1100">
        <f t="shared" si="140"/>
        <v>20.041825294494629</v>
      </c>
      <c r="K1100" t="s">
        <v>3304</v>
      </c>
      <c r="L1100" t="s">
        <v>3305</v>
      </c>
      <c r="M1100" t="s">
        <v>27</v>
      </c>
      <c r="N1100" t="s">
        <v>27</v>
      </c>
      <c r="O1100">
        <v>18.190000000000001</v>
      </c>
      <c r="P1100">
        <v>8.0970277786254901</v>
      </c>
      <c r="Q1100">
        <v>11.4749813079834</v>
      </c>
      <c r="R1100">
        <v>16.476189749581501</v>
      </c>
      <c r="S1100">
        <v>12.244897959183699</v>
      </c>
      <c r="T1100">
        <v>4.4836058616638201</v>
      </c>
      <c r="U1100" t="s">
        <v>27</v>
      </c>
      <c r="V1100">
        <v>2400000</v>
      </c>
      <c r="W1100">
        <v>1.2276799678802499</v>
      </c>
      <c r="X1100">
        <v>0.299319739785054</v>
      </c>
      <c r="Y1100">
        <v>10.5828094482422</v>
      </c>
      <c r="Z1100">
        <v>8.5668439865112305</v>
      </c>
      <c r="AA1100">
        <v>8355847.5</v>
      </c>
      <c r="AB1100" t="s">
        <v>27</v>
      </c>
      <c r="AC1100" t="s">
        <v>27</v>
      </c>
      <c r="AD1100">
        <v>0.31047619524456199</v>
      </c>
      <c r="AE1100" t="s">
        <v>27</v>
      </c>
      <c r="AF1100" t="s">
        <v>27</v>
      </c>
      <c r="AG1100">
        <v>8207850</v>
      </c>
      <c r="AH1100">
        <v>4.4696512222290004</v>
      </c>
      <c r="AI1100">
        <v>1.0867290496826201</v>
      </c>
    </row>
    <row r="1101" spans="1:35">
      <c r="A1101">
        <f t="shared" si="141"/>
        <v>1</v>
      </c>
      <c r="B1101">
        <f t="shared" si="142"/>
        <v>0</v>
      </c>
      <c r="C1101">
        <f t="shared" si="143"/>
        <v>0</v>
      </c>
      <c r="D1101">
        <f t="shared" si="144"/>
        <v>0</v>
      </c>
      <c r="E1101">
        <f t="shared" si="145"/>
        <v>0</v>
      </c>
      <c r="F1101">
        <f t="shared" si="146"/>
        <v>1</v>
      </c>
      <c r="G1101">
        <f t="shared" si="147"/>
        <v>0</v>
      </c>
      <c r="H1101">
        <v>1</v>
      </c>
      <c r="I1101">
        <f t="shared" si="148"/>
        <v>0</v>
      </c>
      <c r="J1101">
        <f t="shared" si="140"/>
        <v>20.020023822784459</v>
      </c>
      <c r="K1101" t="s">
        <v>3593</v>
      </c>
      <c r="L1101" t="s">
        <v>3594</v>
      </c>
      <c r="M1101" t="s">
        <v>27</v>
      </c>
      <c r="N1101" t="s">
        <v>27</v>
      </c>
      <c r="O1101">
        <v>17.2</v>
      </c>
      <c r="P1101">
        <v>20.341800689697301</v>
      </c>
      <c r="Q1101">
        <v>14.246603012085</v>
      </c>
      <c r="R1101">
        <v>17.9899997711182</v>
      </c>
      <c r="S1101">
        <v>7.75</v>
      </c>
      <c r="T1101">
        <v>87.079719543457003</v>
      </c>
      <c r="U1101">
        <v>34.0879516601563</v>
      </c>
      <c r="V1101">
        <v>-5007000</v>
      </c>
      <c r="W1101">
        <v>14.043755531311</v>
      </c>
      <c r="X1101">
        <v>0.119999997317791</v>
      </c>
      <c r="Y1101">
        <v>10.2399997711182</v>
      </c>
      <c r="Z1101">
        <v>5.7734208106994602</v>
      </c>
      <c r="AA1101">
        <v>39549000</v>
      </c>
      <c r="AB1101" t="s">
        <v>30</v>
      </c>
      <c r="AC1101" t="s">
        <v>1295</v>
      </c>
      <c r="AD1101">
        <v>1.9999999552965199E-2</v>
      </c>
      <c r="AE1101">
        <v>33.068698883056598</v>
      </c>
      <c r="AF1101">
        <v>9.7044095742805805</v>
      </c>
      <c r="AG1101">
        <v>39707000</v>
      </c>
      <c r="AH1101">
        <v>71.988059997558594</v>
      </c>
      <c r="AI1101">
        <v>10.9953155517578</v>
      </c>
    </row>
    <row r="1102" spans="1:35">
      <c r="A1102">
        <f t="shared" si="141"/>
        <v>1</v>
      </c>
      <c r="B1102">
        <f t="shared" si="142"/>
        <v>1</v>
      </c>
      <c r="C1102">
        <f t="shared" si="143"/>
        <v>1</v>
      </c>
      <c r="D1102">
        <f t="shared" si="144"/>
        <v>0</v>
      </c>
      <c r="E1102">
        <f t="shared" si="145"/>
        <v>0</v>
      </c>
      <c r="F1102">
        <f t="shared" si="146"/>
        <v>1</v>
      </c>
      <c r="G1102">
        <f t="shared" si="147"/>
        <v>0</v>
      </c>
      <c r="H1102">
        <v>1</v>
      </c>
      <c r="I1102">
        <f t="shared" si="148"/>
        <v>0</v>
      </c>
      <c r="J1102">
        <f t="shared" si="140"/>
        <v>19.986142635345491</v>
      </c>
      <c r="K1102" t="s">
        <v>3310</v>
      </c>
      <c r="L1102" t="s">
        <v>3311</v>
      </c>
      <c r="M1102" t="s">
        <v>27</v>
      </c>
      <c r="N1102" t="s">
        <v>27</v>
      </c>
      <c r="O1102">
        <v>2.5</v>
      </c>
      <c r="P1102" t="s">
        <v>27</v>
      </c>
      <c r="Q1102">
        <v>7.57234907150269</v>
      </c>
      <c r="R1102">
        <v>5.0999999046325701</v>
      </c>
      <c r="S1102">
        <v>5.0625</v>
      </c>
      <c r="T1102">
        <v>16.150148391723601</v>
      </c>
      <c r="U1102">
        <v>21.6033744812012</v>
      </c>
      <c r="V1102">
        <v>4955000</v>
      </c>
      <c r="W1102">
        <v>26.2621173858643</v>
      </c>
      <c r="X1102">
        <v>0.270000010728836</v>
      </c>
      <c r="Y1102" t="s">
        <v>27</v>
      </c>
      <c r="Z1102">
        <v>12.4137935638428</v>
      </c>
      <c r="AA1102">
        <v>37573000</v>
      </c>
      <c r="AB1102" t="s">
        <v>27</v>
      </c>
      <c r="AC1102" t="s">
        <v>27</v>
      </c>
      <c r="AD1102">
        <v>-1.9999999552965199E-2</v>
      </c>
      <c r="AE1102">
        <v>17.032882690429702</v>
      </c>
      <c r="AF1102">
        <v>34.0217943726595</v>
      </c>
      <c r="AG1102">
        <v>38254000</v>
      </c>
      <c r="AH1102">
        <v>2.4100608825683598</v>
      </c>
      <c r="AI1102">
        <v>32.0169677734375</v>
      </c>
    </row>
    <row r="1103" spans="1:35">
      <c r="A1103">
        <f t="shared" si="141"/>
        <v>0</v>
      </c>
      <c r="B1103">
        <f t="shared" si="142"/>
        <v>1</v>
      </c>
      <c r="C1103">
        <f t="shared" si="143"/>
        <v>1</v>
      </c>
      <c r="D1103">
        <f t="shared" si="144"/>
        <v>1</v>
      </c>
      <c r="E1103">
        <f t="shared" si="145"/>
        <v>0</v>
      </c>
      <c r="F1103">
        <f t="shared" si="146"/>
        <v>1</v>
      </c>
      <c r="G1103">
        <f t="shared" si="147"/>
        <v>0</v>
      </c>
      <c r="H1103">
        <v>1</v>
      </c>
      <c r="I1103">
        <f t="shared" si="148"/>
        <v>1</v>
      </c>
      <c r="J1103">
        <f t="shared" si="140"/>
        <v>19.920917510986278</v>
      </c>
      <c r="K1103" t="s">
        <v>3525</v>
      </c>
      <c r="L1103" t="s">
        <v>3526</v>
      </c>
      <c r="M1103" t="s">
        <v>27</v>
      </c>
      <c r="N1103" t="s">
        <v>27</v>
      </c>
      <c r="O1103">
        <v>63.01</v>
      </c>
      <c r="P1103">
        <v>11.7072410583496</v>
      </c>
      <c r="Q1103">
        <v>11.0164880752563</v>
      </c>
      <c r="R1103">
        <v>48.950000762939503</v>
      </c>
      <c r="S1103">
        <v>37.450000762939503</v>
      </c>
      <c r="T1103">
        <v>26.4414463043213</v>
      </c>
      <c r="U1103">
        <v>35.921695709228501</v>
      </c>
      <c r="V1103">
        <v>83175000</v>
      </c>
      <c r="W1103">
        <v>5.7814278602600098</v>
      </c>
      <c r="X1103">
        <v>7.9999998211860698E-2</v>
      </c>
      <c r="Y1103">
        <v>9.9714288711547905</v>
      </c>
      <c r="Z1103">
        <v>8.9044294357299805</v>
      </c>
      <c r="AA1103">
        <v>12569190</v>
      </c>
      <c r="AB1103" t="s">
        <v>61</v>
      </c>
      <c r="AC1103" t="s">
        <v>101</v>
      </c>
      <c r="AD1103">
        <v>0.17000000178813901</v>
      </c>
      <c r="AE1103">
        <v>33.073020935058601</v>
      </c>
      <c r="AF1103">
        <v>6.56017976371706</v>
      </c>
      <c r="AG1103">
        <v>12266000</v>
      </c>
      <c r="AH1103">
        <v>27.461784362793001</v>
      </c>
      <c r="AI1103">
        <v>6.2471828460693404</v>
      </c>
    </row>
    <row r="1104" spans="1:35">
      <c r="A1104">
        <f t="shared" si="141"/>
        <v>0</v>
      </c>
      <c r="B1104">
        <f t="shared" si="142"/>
        <v>0</v>
      </c>
      <c r="C1104">
        <f t="shared" si="143"/>
        <v>1</v>
      </c>
      <c r="D1104">
        <f t="shared" si="144"/>
        <v>0</v>
      </c>
      <c r="E1104">
        <f t="shared" si="145"/>
        <v>0</v>
      </c>
      <c r="F1104">
        <f t="shared" si="146"/>
        <v>1</v>
      </c>
      <c r="G1104">
        <f t="shared" si="147"/>
        <v>1</v>
      </c>
      <c r="H1104">
        <v>1</v>
      </c>
      <c r="I1104">
        <f t="shared" si="148"/>
        <v>0</v>
      </c>
      <c r="J1104">
        <f t="shared" si="140"/>
        <v>19.88048124313352</v>
      </c>
      <c r="K1104" t="s">
        <v>2272</v>
      </c>
      <c r="L1104" t="s">
        <v>2273</v>
      </c>
      <c r="M1104" t="s">
        <v>27</v>
      </c>
      <c r="N1104" t="s">
        <v>27</v>
      </c>
      <c r="O1104">
        <v>8.6999999999999993</v>
      </c>
      <c r="P1104">
        <v>16.329206466674801</v>
      </c>
      <c r="Q1104">
        <v>7.3552289009094203</v>
      </c>
      <c r="R1104">
        <v>11.5</v>
      </c>
      <c r="S1104">
        <v>14.7200002670288</v>
      </c>
      <c r="T1104">
        <v>30.74534034729</v>
      </c>
      <c r="U1104">
        <v>44.962886810302699</v>
      </c>
      <c r="V1104">
        <v>7700000.5</v>
      </c>
      <c r="W1104">
        <v>12.1673011779785</v>
      </c>
      <c r="X1104">
        <v>0.79000002145767201</v>
      </c>
      <c r="Y1104">
        <v>14.428571701049799</v>
      </c>
      <c r="Z1104">
        <v>12.5252523422241</v>
      </c>
      <c r="AA1104">
        <v>15200000</v>
      </c>
      <c r="AB1104" t="s">
        <v>27</v>
      </c>
      <c r="AC1104" t="s">
        <v>27</v>
      </c>
      <c r="AD1104">
        <v>0.34999999403953602</v>
      </c>
      <c r="AE1104">
        <v>45.8672904968262</v>
      </c>
      <c r="AF1104">
        <v>7.1493154901960798</v>
      </c>
      <c r="AG1104">
        <v>14900000</v>
      </c>
      <c r="AH1104">
        <v>32.932369232177699</v>
      </c>
      <c r="AI1104">
        <v>9.7195672988891602</v>
      </c>
    </row>
    <row r="1105" spans="1:35">
      <c r="A1105">
        <f t="shared" si="141"/>
        <v>1</v>
      </c>
      <c r="B1105">
        <f t="shared" si="142"/>
        <v>0</v>
      </c>
      <c r="C1105">
        <f t="shared" si="143"/>
        <v>1</v>
      </c>
      <c r="D1105">
        <f t="shared" si="144"/>
        <v>1</v>
      </c>
      <c r="E1105">
        <f t="shared" si="145"/>
        <v>0</v>
      </c>
      <c r="F1105">
        <f t="shared" si="146"/>
        <v>0</v>
      </c>
      <c r="G1105">
        <f t="shared" si="147"/>
        <v>0</v>
      </c>
      <c r="H1105">
        <v>1</v>
      </c>
      <c r="I1105">
        <f t="shared" si="148"/>
        <v>0</v>
      </c>
      <c r="J1105">
        <f t="shared" si="140"/>
        <v>19.878411293029828</v>
      </c>
      <c r="K1105" t="s">
        <v>2995</v>
      </c>
      <c r="L1105" t="s">
        <v>2996</v>
      </c>
      <c r="M1105" t="s">
        <v>27</v>
      </c>
      <c r="N1105" t="s">
        <v>27</v>
      </c>
      <c r="O1105">
        <v>13.7</v>
      </c>
      <c r="P1105">
        <v>10.385800361633301</v>
      </c>
      <c r="Q1105">
        <v>14.9079332351685</v>
      </c>
      <c r="R1105">
        <v>13.8333333333333</v>
      </c>
      <c r="S1105">
        <v>5.2962962962963003</v>
      </c>
      <c r="T1105">
        <v>32.337673187255902</v>
      </c>
      <c r="U1105" t="s">
        <v>27</v>
      </c>
      <c r="V1105">
        <v>13849000</v>
      </c>
      <c r="W1105">
        <v>7.3371400833129901</v>
      </c>
      <c r="X1105">
        <v>7.3777777177316206E-2</v>
      </c>
      <c r="Y1105">
        <v>11.9043483734131</v>
      </c>
      <c r="Z1105">
        <v>4.9704780578613299</v>
      </c>
      <c r="AA1105">
        <v>21184875</v>
      </c>
      <c r="AB1105" t="s">
        <v>27</v>
      </c>
      <c r="AC1105" t="s">
        <v>27</v>
      </c>
      <c r="AD1105">
        <v>0.19999999470180899</v>
      </c>
      <c r="AE1105" t="s">
        <v>27</v>
      </c>
      <c r="AF1105">
        <v>4.6467185548363599</v>
      </c>
      <c r="AG1105">
        <v>21852000</v>
      </c>
      <c r="AH1105">
        <v>18.8707885742188</v>
      </c>
      <c r="AI1105">
        <v>-2.0599310398101802</v>
      </c>
    </row>
    <row r="1106" spans="1:35">
      <c r="A1106">
        <f t="shared" si="141"/>
        <v>1</v>
      </c>
      <c r="B1106">
        <f t="shared" si="142"/>
        <v>1</v>
      </c>
      <c r="C1106">
        <f t="shared" si="143"/>
        <v>0</v>
      </c>
      <c r="D1106">
        <f t="shared" si="144"/>
        <v>0</v>
      </c>
      <c r="E1106">
        <f t="shared" si="145"/>
        <v>0</v>
      </c>
      <c r="F1106">
        <f t="shared" si="146"/>
        <v>1</v>
      </c>
      <c r="G1106">
        <f t="shared" si="147"/>
        <v>1</v>
      </c>
      <c r="H1106">
        <v>0</v>
      </c>
      <c r="I1106">
        <f t="shared" si="148"/>
        <v>0</v>
      </c>
      <c r="J1106">
        <f t="shared" si="140"/>
        <v>19.857918262481679</v>
      </c>
      <c r="K1106" t="s">
        <v>1848</v>
      </c>
      <c r="L1106" t="s">
        <v>1849</v>
      </c>
      <c r="M1106" t="s">
        <v>27</v>
      </c>
      <c r="N1106" t="s">
        <v>27</v>
      </c>
      <c r="O1106">
        <v>12.99</v>
      </c>
      <c r="P1106">
        <v>6.5438909530639604</v>
      </c>
      <c r="Q1106">
        <v>16.7843723297119</v>
      </c>
      <c r="R1106">
        <v>40.919998168945298</v>
      </c>
      <c r="S1106">
        <v>71.0625</v>
      </c>
      <c r="T1106">
        <v>0.17107999324798601</v>
      </c>
      <c r="U1106">
        <v>68.314437866210895</v>
      </c>
      <c r="V1106">
        <v>-4474999.5</v>
      </c>
      <c r="W1106">
        <v>5.5570192337036097</v>
      </c>
      <c r="X1106">
        <v>0.119999997317791</v>
      </c>
      <c r="Y1106">
        <v>0.43926799297332803</v>
      </c>
      <c r="Z1106">
        <v>3.0735459327697798</v>
      </c>
      <c r="AA1106">
        <v>42062000</v>
      </c>
      <c r="AB1106" t="s">
        <v>27</v>
      </c>
      <c r="AC1106" t="s">
        <v>27</v>
      </c>
      <c r="AD1106">
        <v>-0.129999995231628</v>
      </c>
      <c r="AE1106">
        <v>73.09326171875</v>
      </c>
      <c r="AF1106">
        <v>11.2110365203119</v>
      </c>
      <c r="AG1106">
        <v>47708000</v>
      </c>
      <c r="AH1106">
        <v>0</v>
      </c>
      <c r="AI1106">
        <v>8.6170997619628906</v>
      </c>
    </row>
    <row r="1107" spans="1:35">
      <c r="A1107">
        <f t="shared" si="141"/>
        <v>0</v>
      </c>
      <c r="B1107">
        <f t="shared" si="142"/>
        <v>1</v>
      </c>
      <c r="C1107">
        <f t="shared" si="143"/>
        <v>1</v>
      </c>
      <c r="D1107">
        <f t="shared" si="144"/>
        <v>0</v>
      </c>
      <c r="E1107">
        <f t="shared" si="145"/>
        <v>0</v>
      </c>
      <c r="F1107">
        <f t="shared" si="146"/>
        <v>1</v>
      </c>
      <c r="G1107">
        <f t="shared" si="147"/>
        <v>0</v>
      </c>
      <c r="H1107">
        <v>0</v>
      </c>
      <c r="I1107">
        <f t="shared" si="148"/>
        <v>1</v>
      </c>
      <c r="J1107">
        <f t="shared" si="140"/>
        <v>19.844447612762451</v>
      </c>
      <c r="K1107" t="s">
        <v>2112</v>
      </c>
      <c r="L1107" t="s">
        <v>2113</v>
      </c>
      <c r="M1107" t="s">
        <v>27</v>
      </c>
      <c r="N1107" t="s">
        <v>27</v>
      </c>
      <c r="O1107">
        <v>21.05</v>
      </c>
      <c r="P1107">
        <v>18.184909820556602</v>
      </c>
      <c r="Q1107">
        <v>13.504824638366699</v>
      </c>
      <c r="R1107">
        <v>17.969999313354499</v>
      </c>
      <c r="S1107">
        <v>19.200000762939499</v>
      </c>
      <c r="T1107">
        <v>51.8226127624512</v>
      </c>
      <c r="U1107">
        <v>48.320785522460902</v>
      </c>
      <c r="V1107">
        <v>5132000</v>
      </c>
      <c r="W1107">
        <v>9.0715084075927699</v>
      </c>
      <c r="X1107">
        <v>0.52999997138977095</v>
      </c>
      <c r="Y1107">
        <v>4.65561723709106</v>
      </c>
      <c r="Z1107">
        <v>6.3396229743957502</v>
      </c>
      <c r="AA1107">
        <v>25145000</v>
      </c>
      <c r="AB1107" t="s">
        <v>27</v>
      </c>
      <c r="AC1107" t="s">
        <v>27</v>
      </c>
      <c r="AD1107">
        <v>0.38999998569488498</v>
      </c>
      <c r="AE1107">
        <v>46.170501708984403</v>
      </c>
      <c r="AF1107">
        <v>8.0025315224731806</v>
      </c>
      <c r="AG1107">
        <v>31144000</v>
      </c>
      <c r="AH1107">
        <v>52.0255737304688</v>
      </c>
      <c r="AI1107" t="s">
        <v>27</v>
      </c>
    </row>
    <row r="1108" spans="1:35">
      <c r="A1108">
        <f t="shared" si="141"/>
        <v>0</v>
      </c>
      <c r="B1108">
        <f t="shared" si="142"/>
        <v>1</v>
      </c>
      <c r="C1108">
        <f t="shared" si="143"/>
        <v>1</v>
      </c>
      <c r="D1108">
        <f t="shared" si="144"/>
        <v>1</v>
      </c>
      <c r="E1108">
        <f t="shared" si="145"/>
        <v>0</v>
      </c>
      <c r="F1108">
        <f t="shared" si="146"/>
        <v>1</v>
      </c>
      <c r="G1108">
        <f t="shared" si="147"/>
        <v>1</v>
      </c>
      <c r="H1108">
        <v>0</v>
      </c>
      <c r="I1108">
        <f t="shared" si="148"/>
        <v>1</v>
      </c>
      <c r="J1108">
        <f t="shared" si="140"/>
        <v>19.828059673309362</v>
      </c>
      <c r="K1108" t="s">
        <v>3913</v>
      </c>
      <c r="L1108" t="s">
        <v>3914</v>
      </c>
      <c r="M1108" t="s">
        <v>27</v>
      </c>
      <c r="N1108" t="s">
        <v>27</v>
      </c>
      <c r="O1108">
        <v>23.35</v>
      </c>
      <c r="P1108">
        <v>13.894310951232899</v>
      </c>
      <c r="Q1108">
        <v>12.8024187088013</v>
      </c>
      <c r="R1108">
        <v>17.6666666666667</v>
      </c>
      <c r="S1108">
        <v>12.4166666666667</v>
      </c>
      <c r="T1108">
        <v>4.6293997764587402</v>
      </c>
      <c r="U1108">
        <v>51.616096496582003</v>
      </c>
      <c r="V1108">
        <v>2540000</v>
      </c>
      <c r="W1108">
        <v>12.429614067077599</v>
      </c>
      <c r="X1108">
        <v>0.220000008742015</v>
      </c>
      <c r="Y1108">
        <v>7.7439999580383301</v>
      </c>
      <c r="Z1108">
        <v>7.0256409645080602</v>
      </c>
      <c r="AA1108">
        <v>9292500</v>
      </c>
      <c r="AB1108" t="s">
        <v>27</v>
      </c>
      <c r="AC1108" t="s">
        <v>27</v>
      </c>
      <c r="AD1108">
        <v>0.246666669845581</v>
      </c>
      <c r="AE1108">
        <v>53.072795867919901</v>
      </c>
      <c r="AF1108">
        <v>10.159869612322799</v>
      </c>
      <c r="AG1108">
        <v>9457500</v>
      </c>
      <c r="AH1108">
        <v>8.5657062530517596</v>
      </c>
      <c r="AI1108">
        <v>12.784004211425801</v>
      </c>
    </row>
    <row r="1109" spans="1:35">
      <c r="A1109">
        <f t="shared" si="141"/>
        <v>0</v>
      </c>
      <c r="B1109">
        <f t="shared" si="142"/>
        <v>0</v>
      </c>
      <c r="C1109">
        <f t="shared" si="143"/>
        <v>1</v>
      </c>
      <c r="D1109">
        <f t="shared" si="144"/>
        <v>0</v>
      </c>
      <c r="E1109">
        <f t="shared" si="145"/>
        <v>0</v>
      </c>
      <c r="F1109">
        <f t="shared" si="146"/>
        <v>1</v>
      </c>
      <c r="G1109">
        <f t="shared" si="147"/>
        <v>0</v>
      </c>
      <c r="H1109">
        <v>0</v>
      </c>
      <c r="I1109">
        <f t="shared" si="148"/>
        <v>0</v>
      </c>
      <c r="J1109">
        <f t="shared" si="140"/>
        <v>19.796627998352051</v>
      </c>
      <c r="K1109" t="s">
        <v>1552</v>
      </c>
      <c r="L1109" t="s">
        <v>1553</v>
      </c>
      <c r="M1109" t="s">
        <v>27</v>
      </c>
      <c r="N1109" t="s">
        <v>27</v>
      </c>
      <c r="O1109">
        <v>15.23</v>
      </c>
      <c r="P1109">
        <v>29.3451442718506</v>
      </c>
      <c r="Q1109">
        <v>10.6506233215332</v>
      </c>
      <c r="R1109">
        <v>18.600000381469702</v>
      </c>
      <c r="S1109">
        <v>19.600000381469702</v>
      </c>
      <c r="T1109">
        <v>1.93967998027802</v>
      </c>
      <c r="U1109" t="s">
        <v>27</v>
      </c>
      <c r="V1109" t="s">
        <v>27</v>
      </c>
      <c r="W1109">
        <v>0.798852980136871</v>
      </c>
      <c r="X1109">
        <v>0.72000002861022905</v>
      </c>
      <c r="Y1109">
        <v>9.3597269058227504</v>
      </c>
      <c r="Z1109">
        <v>9.1460046768188494</v>
      </c>
      <c r="AA1109">
        <v>42289000</v>
      </c>
      <c r="AB1109" t="s">
        <v>27</v>
      </c>
      <c r="AC1109" t="s">
        <v>27</v>
      </c>
      <c r="AD1109">
        <v>0.43000000715255698</v>
      </c>
      <c r="AE1109" t="s">
        <v>27</v>
      </c>
      <c r="AF1109" t="s">
        <v>27</v>
      </c>
      <c r="AG1109">
        <v>42314000</v>
      </c>
      <c r="AH1109">
        <v>2.6844670772552499</v>
      </c>
      <c r="AI1109">
        <v>0.70550602674484297</v>
      </c>
    </row>
    <row r="1110" spans="1:35">
      <c r="A1110">
        <f t="shared" si="141"/>
        <v>0</v>
      </c>
      <c r="B1110">
        <f t="shared" si="142"/>
        <v>0</v>
      </c>
      <c r="C1110">
        <f t="shared" si="143"/>
        <v>1</v>
      </c>
      <c r="D1110">
        <f t="shared" si="144"/>
        <v>0</v>
      </c>
      <c r="E1110">
        <f t="shared" si="145"/>
        <v>0</v>
      </c>
      <c r="F1110">
        <f t="shared" si="146"/>
        <v>1</v>
      </c>
      <c r="G1110">
        <f t="shared" si="147"/>
        <v>0</v>
      </c>
      <c r="H1110">
        <v>0</v>
      </c>
      <c r="I1110">
        <f t="shared" si="148"/>
        <v>1</v>
      </c>
      <c r="J1110">
        <f t="shared" si="140"/>
        <v>19.756958961486859</v>
      </c>
      <c r="K1110" t="s">
        <v>540</v>
      </c>
      <c r="L1110" t="s">
        <v>541</v>
      </c>
      <c r="M1110" t="s">
        <v>27</v>
      </c>
      <c r="N1110" t="s">
        <v>27</v>
      </c>
      <c r="O1110">
        <v>26.35</v>
      </c>
      <c r="P1110">
        <v>13.8718423843384</v>
      </c>
      <c r="Q1110">
        <v>10.873131752014199</v>
      </c>
      <c r="R1110">
        <v>18.360000610351602</v>
      </c>
      <c r="S1110">
        <v>24.909999847412099</v>
      </c>
      <c r="T1110">
        <v>32.3115234375</v>
      </c>
      <c r="U1110">
        <v>39.785751342773402</v>
      </c>
      <c r="V1110">
        <v>5620000</v>
      </c>
      <c r="W1110">
        <v>10.2959985733032</v>
      </c>
      <c r="X1110">
        <v>0.43999999761581399</v>
      </c>
      <c r="Y1110">
        <v>7.2156858444213903</v>
      </c>
      <c r="Z1110">
        <v>8.8838272094726598</v>
      </c>
      <c r="AA1110">
        <v>22513000</v>
      </c>
      <c r="AB1110" t="s">
        <v>30</v>
      </c>
      <c r="AC1110" t="s">
        <v>542</v>
      </c>
      <c r="AD1110">
        <v>0.10000000149011599</v>
      </c>
      <c r="AE1110">
        <v>37.375484466552699</v>
      </c>
      <c r="AF1110">
        <v>9.3834060257238505</v>
      </c>
      <c r="AG1110">
        <v>23169000</v>
      </c>
      <c r="AH1110">
        <v>32.643798828125</v>
      </c>
      <c r="AI1110">
        <v>7.2081599235534703</v>
      </c>
    </row>
    <row r="1111" spans="1:35">
      <c r="A1111">
        <f t="shared" si="141"/>
        <v>0</v>
      </c>
      <c r="B1111">
        <f t="shared" si="142"/>
        <v>0</v>
      </c>
      <c r="C1111">
        <f t="shared" si="143"/>
        <v>1</v>
      </c>
      <c r="D1111">
        <f t="shared" si="144"/>
        <v>0</v>
      </c>
      <c r="E1111">
        <f t="shared" si="145"/>
        <v>0</v>
      </c>
      <c r="F1111">
        <f t="shared" si="146"/>
        <v>1</v>
      </c>
      <c r="G1111">
        <f t="shared" si="147"/>
        <v>0</v>
      </c>
      <c r="H1111">
        <v>0</v>
      </c>
      <c r="I1111">
        <f t="shared" si="148"/>
        <v>0</v>
      </c>
      <c r="J1111">
        <f t="shared" si="140"/>
        <v>19.755797863006642</v>
      </c>
      <c r="K1111" t="s">
        <v>1566</v>
      </c>
      <c r="L1111" t="s">
        <v>1567</v>
      </c>
      <c r="M1111" t="s">
        <v>27</v>
      </c>
      <c r="N1111" t="s">
        <v>27</v>
      </c>
      <c r="O1111">
        <v>20.62</v>
      </c>
      <c r="P1111">
        <v>8.2147779464721697</v>
      </c>
      <c r="Q1111">
        <v>5.7638630867004403</v>
      </c>
      <c r="R1111">
        <v>33.049999237060497</v>
      </c>
      <c r="S1111">
        <v>25.6875</v>
      </c>
      <c r="T1111">
        <v>25.017805099487301</v>
      </c>
      <c r="U1111">
        <v>24.76438331604</v>
      </c>
      <c r="V1111">
        <v>19945000</v>
      </c>
      <c r="W1111">
        <v>8.1925420761108398</v>
      </c>
      <c r="X1111">
        <v>0.70999997854232799</v>
      </c>
      <c r="Y1111">
        <v>8.3125</v>
      </c>
      <c r="Z1111">
        <v>13.9919347763062</v>
      </c>
      <c r="AA1111">
        <v>22370000</v>
      </c>
      <c r="AB1111" t="s">
        <v>52</v>
      </c>
      <c r="AC1111" t="s">
        <v>134</v>
      </c>
      <c r="AD1111">
        <v>0.50999999046325695</v>
      </c>
      <c r="AE1111">
        <v>21.315200805664102</v>
      </c>
      <c r="AF1111">
        <v>6.2490697287110502</v>
      </c>
      <c r="AG1111">
        <v>22339000</v>
      </c>
      <c r="AH1111">
        <v>40.314582824707003</v>
      </c>
      <c r="AI1111">
        <v>6.55033206939697</v>
      </c>
    </row>
    <row r="1112" spans="1:35">
      <c r="A1112">
        <f t="shared" si="141"/>
        <v>1</v>
      </c>
      <c r="B1112">
        <f t="shared" si="142"/>
        <v>1</v>
      </c>
      <c r="C1112">
        <f t="shared" si="143"/>
        <v>1</v>
      </c>
      <c r="D1112">
        <f t="shared" si="144"/>
        <v>0</v>
      </c>
      <c r="E1112">
        <f t="shared" si="145"/>
        <v>0</v>
      </c>
      <c r="F1112">
        <f t="shared" si="146"/>
        <v>1</v>
      </c>
      <c r="G1112">
        <f t="shared" si="147"/>
        <v>1</v>
      </c>
      <c r="H1112">
        <v>0</v>
      </c>
      <c r="I1112">
        <f t="shared" si="148"/>
        <v>0</v>
      </c>
      <c r="J1112">
        <f t="shared" si="140"/>
        <v>19.73476266860958</v>
      </c>
      <c r="K1112" t="s">
        <v>488</v>
      </c>
      <c r="L1112" t="s">
        <v>489</v>
      </c>
      <c r="M1112" t="s">
        <v>27</v>
      </c>
      <c r="N1112" t="s">
        <v>27</v>
      </c>
      <c r="O1112">
        <v>10.061999999999999</v>
      </c>
      <c r="P1112">
        <v>12.982518196106</v>
      </c>
      <c r="Q1112">
        <v>14.625728607177701</v>
      </c>
      <c r="R1112">
        <v>17.350000381469702</v>
      </c>
      <c r="S1112">
        <v>13.875</v>
      </c>
      <c r="T1112">
        <v>26.573528289794901</v>
      </c>
      <c r="U1112">
        <v>26.9233913421631</v>
      </c>
      <c r="V1112">
        <v>3119000</v>
      </c>
      <c r="W1112">
        <v>7.3434538841247603</v>
      </c>
      <c r="X1112">
        <v>0.21999999880790699</v>
      </c>
      <c r="Y1112">
        <v>3.1137719154357901</v>
      </c>
      <c r="Z1112">
        <v>5.1090340614318803</v>
      </c>
      <c r="AA1112">
        <v>14308000</v>
      </c>
      <c r="AB1112" t="s">
        <v>27</v>
      </c>
      <c r="AC1112" t="s">
        <v>27</v>
      </c>
      <c r="AD1112">
        <v>0.15000000596046401</v>
      </c>
      <c r="AE1112">
        <v>27.891273498535199</v>
      </c>
      <c r="AF1112">
        <v>11.7505078446023</v>
      </c>
      <c r="AG1112">
        <v>14326000</v>
      </c>
      <c r="AH1112">
        <v>25.038093566894499</v>
      </c>
      <c r="AI1112">
        <v>8.2327108383178693</v>
      </c>
    </row>
    <row r="1113" spans="1:35">
      <c r="A1113">
        <f t="shared" si="141"/>
        <v>1</v>
      </c>
      <c r="B1113">
        <f t="shared" si="142"/>
        <v>1</v>
      </c>
      <c r="C1113">
        <f t="shared" si="143"/>
        <v>1</v>
      </c>
      <c r="D1113">
        <f t="shared" si="144"/>
        <v>0</v>
      </c>
      <c r="E1113">
        <f t="shared" si="145"/>
        <v>0</v>
      </c>
      <c r="F1113">
        <f t="shared" si="146"/>
        <v>1</v>
      </c>
      <c r="G1113">
        <f t="shared" si="147"/>
        <v>0</v>
      </c>
      <c r="H1113">
        <v>0</v>
      </c>
      <c r="I1113">
        <f t="shared" si="148"/>
        <v>1</v>
      </c>
      <c r="J1113">
        <f t="shared" si="140"/>
        <v>19.54757118225098</v>
      </c>
      <c r="K1113" t="s">
        <v>1028</v>
      </c>
      <c r="L1113" t="s">
        <v>1029</v>
      </c>
      <c r="M1113" t="s">
        <v>27</v>
      </c>
      <c r="N1113" t="s">
        <v>27</v>
      </c>
      <c r="O1113">
        <v>29.17</v>
      </c>
      <c r="P1113">
        <v>13.5484781265259</v>
      </c>
      <c r="Q1113">
        <v>9.8715448379516602</v>
      </c>
      <c r="R1113">
        <v>23.790000915527301</v>
      </c>
      <c r="S1113">
        <v>31.829999923706101</v>
      </c>
      <c r="T1113">
        <v>21.7322101593018</v>
      </c>
      <c r="U1113">
        <v>29.2397651672363</v>
      </c>
      <c r="V1113">
        <v>20900002</v>
      </c>
      <c r="W1113">
        <v>6.9690618515014604</v>
      </c>
      <c r="X1113">
        <v>0.68000000715255704</v>
      </c>
      <c r="Y1113">
        <v>8.4635505676269496</v>
      </c>
      <c r="Z1113">
        <v>9.67602634429932</v>
      </c>
      <c r="AA1113">
        <v>40196000</v>
      </c>
      <c r="AB1113" t="s">
        <v>52</v>
      </c>
      <c r="AC1113" t="s">
        <v>53</v>
      </c>
      <c r="AD1113">
        <v>0.64999997615814198</v>
      </c>
      <c r="AE1113">
        <v>24.8465366363525</v>
      </c>
      <c r="AF1113">
        <v>6.84658454302512</v>
      </c>
      <c r="AG1113">
        <v>39703000</v>
      </c>
      <c r="AH1113">
        <v>18.816978454589801</v>
      </c>
      <c r="AI1113">
        <v>10.230120658874499</v>
      </c>
    </row>
    <row r="1114" spans="1:35">
      <c r="A1114">
        <f t="shared" si="141"/>
        <v>0</v>
      </c>
      <c r="B1114">
        <f t="shared" si="142"/>
        <v>1</v>
      </c>
      <c r="C1114">
        <f t="shared" si="143"/>
        <v>1</v>
      </c>
      <c r="D1114">
        <f t="shared" si="144"/>
        <v>0</v>
      </c>
      <c r="E1114">
        <f t="shared" si="145"/>
        <v>0</v>
      </c>
      <c r="F1114">
        <f t="shared" si="146"/>
        <v>1</v>
      </c>
      <c r="G1114">
        <f t="shared" si="147"/>
        <v>0</v>
      </c>
      <c r="H1114">
        <v>0</v>
      </c>
      <c r="I1114">
        <f t="shared" si="148"/>
        <v>0</v>
      </c>
      <c r="J1114">
        <f t="shared" si="140"/>
        <v>19.494697570800749</v>
      </c>
      <c r="K1114" t="s">
        <v>1474</v>
      </c>
      <c r="L1114" t="s">
        <v>1475</v>
      </c>
      <c r="M1114" t="s">
        <v>27</v>
      </c>
      <c r="N1114" t="s">
        <v>27</v>
      </c>
      <c r="O1114">
        <v>19.940000000000001</v>
      </c>
      <c r="P1114">
        <v>15.657844543456999</v>
      </c>
      <c r="Q1114">
        <v>12.095594406127899</v>
      </c>
      <c r="R1114">
        <v>31.75</v>
      </c>
      <c r="S1114">
        <v>31.0625</v>
      </c>
      <c r="T1114">
        <v>4.3285717964172399</v>
      </c>
      <c r="U1114" t="s">
        <v>27</v>
      </c>
      <c r="V1114">
        <v>12601000</v>
      </c>
      <c r="W1114">
        <v>1.7511119842529299</v>
      </c>
      <c r="X1114">
        <v>0.87000000476837203</v>
      </c>
      <c r="Y1114">
        <v>10.6568813323975</v>
      </c>
      <c r="Z1114">
        <v>7.3991031646728498</v>
      </c>
      <c r="AA1114">
        <v>11537000</v>
      </c>
      <c r="AB1114" t="s">
        <v>27</v>
      </c>
      <c r="AC1114" t="s">
        <v>27</v>
      </c>
      <c r="AD1114">
        <v>0.83999997377395597</v>
      </c>
      <c r="AE1114" t="s">
        <v>27</v>
      </c>
      <c r="AF1114" t="s">
        <v>27</v>
      </c>
      <c r="AG1114">
        <v>11542000</v>
      </c>
      <c r="AH1114">
        <v>8.2197628021240199</v>
      </c>
      <c r="AI1114">
        <v>2.0723299980163601</v>
      </c>
    </row>
    <row r="1115" spans="1:35">
      <c r="A1115">
        <f t="shared" si="141"/>
        <v>1</v>
      </c>
      <c r="B1115">
        <f t="shared" si="142"/>
        <v>1</v>
      </c>
      <c r="C1115">
        <f t="shared" si="143"/>
        <v>1</v>
      </c>
      <c r="D1115">
        <f t="shared" si="144"/>
        <v>1</v>
      </c>
      <c r="E1115">
        <f t="shared" si="145"/>
        <v>0</v>
      </c>
      <c r="F1115">
        <f t="shared" si="146"/>
        <v>1</v>
      </c>
      <c r="G1115">
        <f t="shared" si="147"/>
        <v>1</v>
      </c>
      <c r="H1115">
        <v>0</v>
      </c>
      <c r="I1115">
        <f t="shared" si="148"/>
        <v>0</v>
      </c>
      <c r="J1115">
        <f t="shared" si="140"/>
        <v>19.48708057403563</v>
      </c>
      <c r="K1115" t="s">
        <v>3683</v>
      </c>
      <c r="L1115" t="s">
        <v>3684</v>
      </c>
      <c r="M1115" t="s">
        <v>27</v>
      </c>
      <c r="N1115" t="s">
        <v>27</v>
      </c>
      <c r="O1115">
        <v>10.89</v>
      </c>
      <c r="P1115">
        <v>8.6266336441040004</v>
      </c>
      <c r="Q1115">
        <v>8.7281513214111293</v>
      </c>
      <c r="R1115">
        <v>30.180000305175799</v>
      </c>
      <c r="S1115">
        <v>19.440000534057599</v>
      </c>
      <c r="T1115">
        <v>45.4302787780762</v>
      </c>
      <c r="U1115">
        <v>36.198276519775398</v>
      </c>
      <c r="V1115">
        <v>31132000</v>
      </c>
      <c r="W1115">
        <v>3.4752039909362802</v>
      </c>
      <c r="X1115">
        <v>0.85000002384185802</v>
      </c>
      <c r="Y1115">
        <v>17.7170734405518</v>
      </c>
      <c r="Z1115">
        <v>10.758929252624499</v>
      </c>
      <c r="AA1115">
        <v>16834000</v>
      </c>
      <c r="AB1115" t="s">
        <v>61</v>
      </c>
      <c r="AC1115" t="s">
        <v>131</v>
      </c>
      <c r="AD1115">
        <v>0.980000019073486</v>
      </c>
      <c r="AE1115">
        <v>38.964218139648402</v>
      </c>
      <c r="AF1115">
        <v>7.3511547699245599</v>
      </c>
      <c r="AG1115">
        <v>18198000</v>
      </c>
      <c r="AH1115">
        <v>43.128284454345703</v>
      </c>
      <c r="AI1115">
        <v>4.0028920173645002</v>
      </c>
    </row>
    <row r="1116" spans="1:35">
      <c r="A1116">
        <f t="shared" si="141"/>
        <v>1</v>
      </c>
      <c r="B1116">
        <f t="shared" si="142"/>
        <v>0</v>
      </c>
      <c r="C1116">
        <f t="shared" si="143"/>
        <v>1</v>
      </c>
      <c r="D1116">
        <f t="shared" si="144"/>
        <v>0</v>
      </c>
      <c r="E1116">
        <f t="shared" si="145"/>
        <v>0</v>
      </c>
      <c r="F1116">
        <f t="shared" si="146"/>
        <v>1</v>
      </c>
      <c r="G1116">
        <f t="shared" si="147"/>
        <v>0</v>
      </c>
      <c r="H1116">
        <v>0</v>
      </c>
      <c r="I1116">
        <f t="shared" si="148"/>
        <v>0</v>
      </c>
      <c r="J1116">
        <f t="shared" si="140"/>
        <v>19.459515571594231</v>
      </c>
      <c r="K1116" t="s">
        <v>3677</v>
      </c>
      <c r="L1116" t="s">
        <v>3678</v>
      </c>
      <c r="M1116" t="s">
        <v>27</v>
      </c>
      <c r="N1116" t="s">
        <v>27</v>
      </c>
      <c r="O1116">
        <v>16.45</v>
      </c>
      <c r="P1116">
        <v>6.5578317642211896</v>
      </c>
      <c r="Q1116">
        <v>6.6023721694946298</v>
      </c>
      <c r="R1116">
        <v>18.379999160766602</v>
      </c>
      <c r="S1116">
        <v>17.75</v>
      </c>
      <c r="T1116">
        <v>77.277458190917997</v>
      </c>
      <c r="U1116">
        <v>50.5386962890625</v>
      </c>
      <c r="V1116">
        <v>12296999</v>
      </c>
      <c r="W1116">
        <v>2.9906411170959499</v>
      </c>
      <c r="X1116">
        <v>0.52999997138977095</v>
      </c>
      <c r="Y1116">
        <v>6.8925299644470197</v>
      </c>
      <c r="Z1116">
        <v>12.8571434020996</v>
      </c>
      <c r="AA1116">
        <v>32418998</v>
      </c>
      <c r="AB1116" t="s">
        <v>254</v>
      </c>
      <c r="AC1116" t="s">
        <v>848</v>
      </c>
      <c r="AD1116">
        <v>0.46000000834464999</v>
      </c>
      <c r="AE1116">
        <v>35.720008850097699</v>
      </c>
      <c r="AF1116">
        <v>7.0803393736447102</v>
      </c>
      <c r="AG1116">
        <v>33492000</v>
      </c>
      <c r="AH1116">
        <v>73.755615234375</v>
      </c>
      <c r="AI1116">
        <v>1.5725909471511801</v>
      </c>
    </row>
    <row r="1117" spans="1:35">
      <c r="A1117">
        <f t="shared" si="141"/>
        <v>0</v>
      </c>
      <c r="B1117">
        <f t="shared" si="142"/>
        <v>1</v>
      </c>
      <c r="C1117">
        <f t="shared" si="143"/>
        <v>1</v>
      </c>
      <c r="D1117">
        <f t="shared" si="144"/>
        <v>1</v>
      </c>
      <c r="E1117">
        <f t="shared" si="145"/>
        <v>0</v>
      </c>
      <c r="F1117">
        <f t="shared" si="146"/>
        <v>1</v>
      </c>
      <c r="G1117">
        <f t="shared" si="147"/>
        <v>1</v>
      </c>
      <c r="H1117">
        <v>0</v>
      </c>
      <c r="I1117">
        <f t="shared" si="148"/>
        <v>0</v>
      </c>
      <c r="J1117">
        <f t="shared" si="140"/>
        <v>19.383059024810841</v>
      </c>
      <c r="K1117" t="s">
        <v>1642</v>
      </c>
      <c r="L1117" t="s">
        <v>1643</v>
      </c>
      <c r="M1117" t="s">
        <v>27</v>
      </c>
      <c r="N1117" t="s">
        <v>27</v>
      </c>
      <c r="O1117">
        <v>17.43</v>
      </c>
      <c r="P1117">
        <v>14.3104133605957</v>
      </c>
      <c r="Q1117">
        <v>14.5200748443604</v>
      </c>
      <c r="R1117">
        <v>22.227399323868799</v>
      </c>
      <c r="S1117">
        <v>12.810084910569801</v>
      </c>
      <c r="T1117">
        <v>0</v>
      </c>
      <c r="U1117">
        <v>24.465915679931602</v>
      </c>
      <c r="V1117">
        <v>15438000</v>
      </c>
      <c r="W1117">
        <v>13.16175365448</v>
      </c>
      <c r="X1117">
        <v>0.16741893815710701</v>
      </c>
      <c r="Y1117">
        <v>7.7122302055358896</v>
      </c>
      <c r="Z1117">
        <v>4.8629841804504403</v>
      </c>
      <c r="AA1117">
        <v>50000976.142750002</v>
      </c>
      <c r="AB1117" t="s">
        <v>61</v>
      </c>
      <c r="AC1117" t="s">
        <v>234</v>
      </c>
      <c r="AD1117">
        <v>0.18390715431532401</v>
      </c>
      <c r="AE1117">
        <v>25.418703079223601</v>
      </c>
      <c r="AF1117">
        <v>9.1198571920384595</v>
      </c>
      <c r="AG1117">
        <v>49999793.480800003</v>
      </c>
      <c r="AH1117">
        <v>0</v>
      </c>
      <c r="AI1117">
        <v>13.3336191177368</v>
      </c>
    </row>
    <row r="1118" spans="1:35">
      <c r="A1118">
        <f t="shared" si="141"/>
        <v>1</v>
      </c>
      <c r="B1118">
        <f t="shared" si="142"/>
        <v>1</v>
      </c>
      <c r="C1118">
        <f t="shared" si="143"/>
        <v>1</v>
      </c>
      <c r="D1118">
        <f t="shared" si="144"/>
        <v>0</v>
      </c>
      <c r="E1118">
        <f t="shared" si="145"/>
        <v>0</v>
      </c>
      <c r="F1118">
        <f t="shared" si="146"/>
        <v>1</v>
      </c>
      <c r="G1118">
        <f t="shared" si="147"/>
        <v>0</v>
      </c>
      <c r="H1118">
        <v>0</v>
      </c>
      <c r="I1118">
        <f t="shared" si="148"/>
        <v>1</v>
      </c>
      <c r="J1118">
        <f t="shared" si="140"/>
        <v>19.282245635986328</v>
      </c>
      <c r="K1118" t="s">
        <v>452</v>
      </c>
      <c r="L1118" t="s">
        <v>453</v>
      </c>
      <c r="M1118" t="s">
        <v>27</v>
      </c>
      <c r="N1118" t="s">
        <v>27</v>
      </c>
      <c r="O1118">
        <v>45.19</v>
      </c>
      <c r="P1118">
        <v>10.6985921859741</v>
      </c>
      <c r="Q1118">
        <v>9.60388278961182</v>
      </c>
      <c r="R1118">
        <v>35.099998474121101</v>
      </c>
      <c r="S1118">
        <v>40.25</v>
      </c>
      <c r="T1118">
        <v>3.8017780780792201</v>
      </c>
      <c r="U1118" t="s">
        <v>27</v>
      </c>
      <c r="V1118">
        <v>11110000</v>
      </c>
      <c r="W1118">
        <v>1.0252820253372199</v>
      </c>
      <c r="X1118">
        <v>0.86000001430511497</v>
      </c>
      <c r="Y1118">
        <v>9.6941175460815394</v>
      </c>
      <c r="Z1118">
        <v>9.6783628463745099</v>
      </c>
      <c r="AA1118">
        <v>8074000</v>
      </c>
      <c r="AB1118" t="s">
        <v>34</v>
      </c>
      <c r="AC1118" t="s">
        <v>35</v>
      </c>
      <c r="AD1118">
        <v>0.82999998331069902</v>
      </c>
      <c r="AE1118" t="s">
        <v>27</v>
      </c>
      <c r="AF1118" t="s">
        <v>27</v>
      </c>
      <c r="AG1118">
        <v>8252000</v>
      </c>
      <c r="AH1118">
        <v>3.0125050544738801</v>
      </c>
      <c r="AI1118">
        <v>1.06875896453857</v>
      </c>
    </row>
    <row r="1119" spans="1:35">
      <c r="A1119">
        <f t="shared" si="141"/>
        <v>1</v>
      </c>
      <c r="B1119">
        <f t="shared" si="142"/>
        <v>1</v>
      </c>
      <c r="C1119">
        <f t="shared" si="143"/>
        <v>1</v>
      </c>
      <c r="D1119">
        <f t="shared" si="144"/>
        <v>1</v>
      </c>
      <c r="E1119">
        <f t="shared" si="145"/>
        <v>0</v>
      </c>
      <c r="F1119">
        <f t="shared" si="146"/>
        <v>1</v>
      </c>
      <c r="G1119">
        <f t="shared" si="147"/>
        <v>1</v>
      </c>
      <c r="H1119">
        <v>0</v>
      </c>
      <c r="I1119">
        <f t="shared" si="148"/>
        <v>1</v>
      </c>
      <c r="J1119">
        <f t="shared" si="140"/>
        <v>19.276214122772181</v>
      </c>
      <c r="K1119" t="s">
        <v>2702</v>
      </c>
      <c r="L1119" t="s">
        <v>2703</v>
      </c>
      <c r="M1119" t="s">
        <v>27</v>
      </c>
      <c r="N1119" t="s">
        <v>27</v>
      </c>
      <c r="O1119">
        <v>35.25</v>
      </c>
      <c r="P1119">
        <v>16.6601371765137</v>
      </c>
      <c r="Q1119">
        <v>16.186014175415</v>
      </c>
      <c r="R1119">
        <v>29.014999389648398</v>
      </c>
      <c r="S1119">
        <v>19.1875</v>
      </c>
      <c r="T1119">
        <v>15.509654045105</v>
      </c>
      <c r="U1119">
        <v>72.219223022460895</v>
      </c>
      <c r="V1119">
        <v>4352000</v>
      </c>
      <c r="W1119">
        <v>8.0003175735473597</v>
      </c>
      <c r="X1119">
        <v>0.10000000149011599</v>
      </c>
      <c r="Y1119">
        <v>2.3435800075531001</v>
      </c>
      <c r="Z1119">
        <v>3.09019994735718</v>
      </c>
      <c r="AA1119">
        <v>20824000</v>
      </c>
      <c r="AB1119" t="s">
        <v>27</v>
      </c>
      <c r="AC1119" t="s">
        <v>27</v>
      </c>
      <c r="AD1119">
        <v>0.15000000596046401</v>
      </c>
      <c r="AE1119">
        <v>72.970016479492202</v>
      </c>
      <c r="AF1119">
        <v>19.223999093196699</v>
      </c>
      <c r="AG1119">
        <v>23888000</v>
      </c>
      <c r="AH1119">
        <v>1.2791789770126301</v>
      </c>
      <c r="AI1119">
        <v>9.8455219268798793</v>
      </c>
    </row>
    <row r="1120" spans="1:35">
      <c r="A1120">
        <f t="shared" si="141"/>
        <v>1</v>
      </c>
      <c r="B1120">
        <f t="shared" si="142"/>
        <v>1</v>
      </c>
      <c r="C1120">
        <f t="shared" si="143"/>
        <v>0</v>
      </c>
      <c r="D1120">
        <f t="shared" si="144"/>
        <v>0</v>
      </c>
      <c r="E1120">
        <f t="shared" si="145"/>
        <v>0</v>
      </c>
      <c r="F1120">
        <f t="shared" si="146"/>
        <v>1</v>
      </c>
      <c r="G1120">
        <f t="shared" si="147"/>
        <v>0</v>
      </c>
      <c r="H1120">
        <v>0</v>
      </c>
      <c r="I1120">
        <f t="shared" si="148"/>
        <v>1</v>
      </c>
      <c r="J1120">
        <f t="shared" ref="J1120:J1183" si="149">Z1120+Q1120</f>
        <v>19.256669998168949</v>
      </c>
      <c r="K1120" t="s">
        <v>2875</v>
      </c>
      <c r="L1120" t="s">
        <v>2876</v>
      </c>
      <c r="M1120" t="s">
        <v>27</v>
      </c>
      <c r="N1120" t="s">
        <v>27</v>
      </c>
      <c r="O1120">
        <v>20.25</v>
      </c>
      <c r="P1120">
        <v>7.0637869834899902</v>
      </c>
      <c r="Q1120">
        <v>9.8449048995971697</v>
      </c>
      <c r="R1120">
        <v>17.579999923706101</v>
      </c>
      <c r="S1120">
        <v>9.6999998092651403</v>
      </c>
      <c r="T1120">
        <v>58.895126342773402</v>
      </c>
      <c r="U1120">
        <v>43.887702941894503</v>
      </c>
      <c r="V1120">
        <v>-6197000</v>
      </c>
      <c r="W1120">
        <v>1.8660260438919101</v>
      </c>
      <c r="X1120">
        <v>0.259999990463257</v>
      </c>
      <c r="Y1120">
        <v>7.3846149444580096</v>
      </c>
      <c r="Z1120">
        <v>9.4117650985717791</v>
      </c>
      <c r="AA1120">
        <v>18283000</v>
      </c>
      <c r="AB1120" t="s">
        <v>328</v>
      </c>
      <c r="AC1120" t="s">
        <v>329</v>
      </c>
      <c r="AD1120">
        <v>0.17000000178813901</v>
      </c>
      <c r="AE1120">
        <v>40.098670959472699</v>
      </c>
      <c r="AF1120">
        <v>9.7401912269700492</v>
      </c>
      <c r="AG1120">
        <v>18783000</v>
      </c>
      <c r="AH1120">
        <v>52.195991516113303</v>
      </c>
      <c r="AI1120">
        <v>5.5541110038757298</v>
      </c>
    </row>
    <row r="1121" spans="1:35">
      <c r="A1121">
        <f t="shared" ref="A1121:A1184" si="150">IF(AH1121&lt;T1121,1,0)</f>
        <v>1</v>
      </c>
      <c r="B1121">
        <f t="shared" ref="B1121:B1184" si="151">IF(AI1121&gt;W1121,1,0)</f>
        <v>1</v>
      </c>
      <c r="C1121">
        <f t="shared" ref="C1121:C1184" si="152">IF(V1121&gt;0,1,0)</f>
        <v>1</v>
      </c>
      <c r="D1121">
        <f t="shared" ref="D1121:D1184" si="153">IF(AD1121&gt;X1121,1,0)</f>
        <v>0</v>
      </c>
      <c r="E1121">
        <f t="shared" ref="E1121:E1184" si="154">IF(AA1121=AG1121,1,0)</f>
        <v>0</v>
      </c>
      <c r="F1121">
        <f t="shared" ref="F1121:F1184" si="155">IF(AI1121&gt;0,1,0)</f>
        <v>1</v>
      </c>
      <c r="G1121">
        <f t="shared" ref="G1121:G1184" si="156">IF(AE1121&gt;U1121,1,0)</f>
        <v>1</v>
      </c>
      <c r="H1121">
        <v>0</v>
      </c>
      <c r="I1121">
        <f t="shared" ref="I1121:I1184" si="157">IF(((O1121-R1121)/R1121)&gt;0.075,1,0)</f>
        <v>0</v>
      </c>
      <c r="J1121">
        <f t="shared" si="149"/>
        <v>19.24509382247922</v>
      </c>
      <c r="K1121" t="s">
        <v>3288</v>
      </c>
      <c r="L1121" t="s">
        <v>3289</v>
      </c>
      <c r="M1121" t="s">
        <v>27</v>
      </c>
      <c r="N1121" t="s">
        <v>27</v>
      </c>
      <c r="O1121">
        <v>16.68</v>
      </c>
      <c r="P1121">
        <v>3.0035419464111301</v>
      </c>
      <c r="Q1121">
        <v>6.1541848182678196</v>
      </c>
      <c r="R1121">
        <v>18.299999237060501</v>
      </c>
      <c r="S1121">
        <v>8.6999998092651403</v>
      </c>
      <c r="T1121">
        <v>55.279552459716797</v>
      </c>
      <c r="U1121">
        <v>9.8435468673706108</v>
      </c>
      <c r="V1121">
        <v>54646000</v>
      </c>
      <c r="W1121">
        <v>1.2167890071868901</v>
      </c>
      <c r="X1121">
        <v>0.54000002145767201</v>
      </c>
      <c r="Y1121">
        <v>18.4954128265381</v>
      </c>
      <c r="Z1121">
        <v>13.090909004211399</v>
      </c>
      <c r="AA1121">
        <v>13239000</v>
      </c>
      <c r="AB1121" t="s">
        <v>27</v>
      </c>
      <c r="AC1121" t="s">
        <v>27</v>
      </c>
      <c r="AD1121">
        <v>0.41999998688697798</v>
      </c>
      <c r="AE1121">
        <v>13.5214595794678</v>
      </c>
      <c r="AF1121">
        <v>5.2710896724144298</v>
      </c>
      <c r="AG1121">
        <v>13364000</v>
      </c>
      <c r="AH1121">
        <v>47.743885040283203</v>
      </c>
      <c r="AI1121">
        <v>2.7929539680481001</v>
      </c>
    </row>
    <row r="1122" spans="1:35">
      <c r="A1122">
        <f t="shared" si="150"/>
        <v>1</v>
      </c>
      <c r="B1122">
        <f t="shared" si="151"/>
        <v>1</v>
      </c>
      <c r="C1122">
        <f t="shared" si="152"/>
        <v>0</v>
      </c>
      <c r="D1122">
        <f t="shared" si="153"/>
        <v>1</v>
      </c>
      <c r="E1122">
        <f t="shared" si="154"/>
        <v>0</v>
      </c>
      <c r="F1122">
        <f t="shared" si="155"/>
        <v>1</v>
      </c>
      <c r="G1122">
        <f t="shared" si="156"/>
        <v>0</v>
      </c>
      <c r="H1122">
        <v>0</v>
      </c>
      <c r="I1122">
        <f t="shared" si="157"/>
        <v>0</v>
      </c>
      <c r="J1122">
        <f t="shared" si="149"/>
        <v>19.218935966491699</v>
      </c>
      <c r="K1122" t="s">
        <v>2560</v>
      </c>
      <c r="L1122" t="s">
        <v>2561</v>
      </c>
      <c r="M1122" t="s">
        <v>27</v>
      </c>
      <c r="N1122" t="s">
        <v>27</v>
      </c>
      <c r="O1122">
        <v>8.23</v>
      </c>
      <c r="P1122">
        <v>15.620842933654799</v>
      </c>
      <c r="Q1122">
        <v>14.714430809021</v>
      </c>
      <c r="R1122">
        <v>14.1199996948242</v>
      </c>
      <c r="S1122">
        <v>5.25</v>
      </c>
      <c r="T1122">
        <v>30.000156402587901</v>
      </c>
      <c r="U1122">
        <v>38.692752838134801</v>
      </c>
      <c r="V1122">
        <v>-2317000</v>
      </c>
      <c r="W1122">
        <v>7.9415750503540004</v>
      </c>
      <c r="X1122">
        <v>0.136000001430511</v>
      </c>
      <c r="Y1122">
        <v>7.5213670730590803</v>
      </c>
      <c r="Z1122">
        <v>4.5045051574706996</v>
      </c>
      <c r="AA1122">
        <v>15006250</v>
      </c>
      <c r="AB1122" t="s">
        <v>27</v>
      </c>
      <c r="AC1122" t="s">
        <v>27</v>
      </c>
      <c r="AD1122">
        <v>0.16000000238418599</v>
      </c>
      <c r="AE1122">
        <v>33.444454193115199</v>
      </c>
      <c r="AF1122">
        <v>6.5636786840853096</v>
      </c>
      <c r="AG1122">
        <v>15533750</v>
      </c>
      <c r="AH1122">
        <v>29.934999465942401</v>
      </c>
      <c r="AI1122">
        <v>11.9798488616943</v>
      </c>
    </row>
    <row r="1123" spans="1:35">
      <c r="A1123">
        <f t="shared" si="150"/>
        <v>1</v>
      </c>
      <c r="B1123">
        <f t="shared" si="151"/>
        <v>1</v>
      </c>
      <c r="C1123">
        <f t="shared" si="152"/>
        <v>1</v>
      </c>
      <c r="D1123">
        <f t="shared" si="153"/>
        <v>0</v>
      </c>
      <c r="E1123">
        <f t="shared" si="154"/>
        <v>0</v>
      </c>
      <c r="F1123">
        <f t="shared" si="155"/>
        <v>1</v>
      </c>
      <c r="G1123">
        <f t="shared" si="156"/>
        <v>0</v>
      </c>
      <c r="H1123">
        <v>0</v>
      </c>
      <c r="I1123">
        <f t="shared" si="157"/>
        <v>0</v>
      </c>
      <c r="J1123">
        <f t="shared" si="149"/>
        <v>19.216777801513679</v>
      </c>
      <c r="K1123" t="s">
        <v>467</v>
      </c>
      <c r="L1123" t="s">
        <v>468</v>
      </c>
      <c r="M1123" t="s">
        <v>27</v>
      </c>
      <c r="N1123" t="s">
        <v>27</v>
      </c>
      <c r="O1123">
        <v>29.97</v>
      </c>
      <c r="P1123">
        <v>11.138429641723601</v>
      </c>
      <c r="Q1123">
        <v>10.784771919250501</v>
      </c>
      <c r="R1123">
        <v>31.7600002288818</v>
      </c>
      <c r="S1123">
        <v>25.889999389648398</v>
      </c>
      <c r="T1123">
        <v>30.129583358764599</v>
      </c>
      <c r="U1123">
        <v>20.8136177062988</v>
      </c>
      <c r="V1123">
        <v>31520002</v>
      </c>
      <c r="W1123">
        <v>2.0747609138488801</v>
      </c>
      <c r="X1123">
        <v>0.77999997138977095</v>
      </c>
      <c r="Y1123">
        <v>9.2717952728271502</v>
      </c>
      <c r="Z1123">
        <v>8.43200588226318</v>
      </c>
      <c r="AA1123">
        <v>24569000</v>
      </c>
      <c r="AB1123" t="s">
        <v>27</v>
      </c>
      <c r="AC1123" t="s">
        <v>27</v>
      </c>
      <c r="AD1123">
        <v>0.75999999046325695</v>
      </c>
      <c r="AE1123">
        <v>20.7624320983887</v>
      </c>
      <c r="AF1123">
        <v>4.0844314777029798</v>
      </c>
      <c r="AG1123">
        <v>24685600</v>
      </c>
      <c r="AH1123">
        <v>23.7831420898438</v>
      </c>
      <c r="AI1123">
        <v>7.2171697616577104</v>
      </c>
    </row>
    <row r="1124" spans="1:35">
      <c r="A1124">
        <f t="shared" si="150"/>
        <v>0</v>
      </c>
      <c r="B1124">
        <f t="shared" si="151"/>
        <v>1</v>
      </c>
      <c r="C1124">
        <f t="shared" si="152"/>
        <v>1</v>
      </c>
      <c r="D1124">
        <f t="shared" si="153"/>
        <v>0</v>
      </c>
      <c r="E1124">
        <f t="shared" si="154"/>
        <v>0</v>
      </c>
      <c r="F1124">
        <f t="shared" si="155"/>
        <v>1</v>
      </c>
      <c r="G1124">
        <f t="shared" si="156"/>
        <v>0</v>
      </c>
      <c r="H1124">
        <v>0</v>
      </c>
      <c r="I1124">
        <f t="shared" si="157"/>
        <v>0</v>
      </c>
      <c r="J1124">
        <f t="shared" si="149"/>
        <v>19.203246116638169</v>
      </c>
      <c r="K1124" t="s">
        <v>3647</v>
      </c>
      <c r="L1124" t="s">
        <v>3648</v>
      </c>
      <c r="M1124" t="s">
        <v>27</v>
      </c>
      <c r="N1124" t="s">
        <v>27</v>
      </c>
      <c r="O1124">
        <v>14.85</v>
      </c>
      <c r="P1124">
        <v>4.7151999473571804</v>
      </c>
      <c r="Q1124">
        <v>11.448143959045399</v>
      </c>
      <c r="R1124">
        <v>18.75</v>
      </c>
      <c r="S1124">
        <v>13.6300001144409</v>
      </c>
      <c r="T1124">
        <v>0</v>
      </c>
      <c r="U1124">
        <v>23.664648056030298</v>
      </c>
      <c r="V1124">
        <v>2223000</v>
      </c>
      <c r="W1124">
        <v>3.25032711029053</v>
      </c>
      <c r="X1124">
        <v>0.17000000178813901</v>
      </c>
      <c r="Y1124">
        <v>6.8965520858764604</v>
      </c>
      <c r="Z1124">
        <v>7.7551021575927699</v>
      </c>
      <c r="AA1124">
        <v>12381000</v>
      </c>
      <c r="AB1124" t="s">
        <v>27</v>
      </c>
      <c r="AC1124" t="s">
        <v>27</v>
      </c>
      <c r="AD1124">
        <v>0.15999999642372101</v>
      </c>
      <c r="AE1124">
        <v>20.885583877563501</v>
      </c>
      <c r="AF1124">
        <v>7.6278044188683003</v>
      </c>
      <c r="AG1124">
        <v>12812000</v>
      </c>
      <c r="AH1124">
        <v>0</v>
      </c>
      <c r="AI1124">
        <v>3.4559741020202601</v>
      </c>
    </row>
    <row r="1125" spans="1:35">
      <c r="A1125">
        <f t="shared" si="150"/>
        <v>1</v>
      </c>
      <c r="B1125">
        <f t="shared" si="151"/>
        <v>1</v>
      </c>
      <c r="C1125">
        <f t="shared" si="152"/>
        <v>1</v>
      </c>
      <c r="D1125">
        <f t="shared" si="153"/>
        <v>0</v>
      </c>
      <c r="E1125">
        <f t="shared" si="154"/>
        <v>0</v>
      </c>
      <c r="F1125">
        <f t="shared" si="155"/>
        <v>1</v>
      </c>
      <c r="G1125">
        <f t="shared" si="156"/>
        <v>1</v>
      </c>
      <c r="H1125">
        <v>0</v>
      </c>
      <c r="I1125">
        <f t="shared" si="157"/>
        <v>0</v>
      </c>
      <c r="J1125">
        <f t="shared" si="149"/>
        <v>19.186687469482379</v>
      </c>
      <c r="K1125" t="s">
        <v>2853</v>
      </c>
      <c r="L1125" t="s">
        <v>2854</v>
      </c>
      <c r="M1125" t="s">
        <v>27</v>
      </c>
      <c r="N1125" t="s">
        <v>27</v>
      </c>
      <c r="O1125">
        <v>11.85</v>
      </c>
      <c r="P1125">
        <v>7.4377970695495597</v>
      </c>
      <c r="Q1125">
        <v>7.9058418273925799</v>
      </c>
      <c r="R1125">
        <v>12.300000190734901</v>
      </c>
      <c r="S1125">
        <v>12.9099998474121</v>
      </c>
      <c r="T1125">
        <v>37.62353515625</v>
      </c>
      <c r="U1125">
        <v>33.771038055419901</v>
      </c>
      <c r="V1125">
        <v>29000.283203125</v>
      </c>
      <c r="W1125">
        <v>2.5032989978790301</v>
      </c>
      <c r="X1125">
        <v>0.70999997854232799</v>
      </c>
      <c r="Y1125">
        <v>8.2580642700195295</v>
      </c>
      <c r="Z1125">
        <v>11.280845642089799</v>
      </c>
      <c r="AA1125">
        <v>27299000</v>
      </c>
      <c r="AB1125" t="s">
        <v>30</v>
      </c>
      <c r="AC1125" t="s">
        <v>542</v>
      </c>
      <c r="AD1125">
        <v>0.46000000834464999</v>
      </c>
      <c r="AE1125">
        <v>35.494644165039098</v>
      </c>
      <c r="AF1125">
        <v>5.61405472555494</v>
      </c>
      <c r="AG1125">
        <v>27621000</v>
      </c>
      <c r="AH1125">
        <v>37.292385101318402</v>
      </c>
      <c r="AI1125">
        <v>4.30580711364746</v>
      </c>
    </row>
    <row r="1126" spans="1:35">
      <c r="A1126">
        <f t="shared" si="150"/>
        <v>1</v>
      </c>
      <c r="B1126">
        <f t="shared" si="151"/>
        <v>0</v>
      </c>
      <c r="C1126">
        <f t="shared" si="152"/>
        <v>1</v>
      </c>
      <c r="D1126">
        <f t="shared" si="153"/>
        <v>1</v>
      </c>
      <c r="E1126">
        <f t="shared" si="154"/>
        <v>0</v>
      </c>
      <c r="F1126">
        <f t="shared" si="155"/>
        <v>1</v>
      </c>
      <c r="G1126">
        <f t="shared" si="156"/>
        <v>0</v>
      </c>
      <c r="H1126">
        <v>0</v>
      </c>
      <c r="I1126">
        <f t="shared" si="157"/>
        <v>1</v>
      </c>
      <c r="J1126">
        <f t="shared" si="149"/>
        <v>19.177961349487262</v>
      </c>
      <c r="K1126" t="s">
        <v>1824</v>
      </c>
      <c r="L1126" t="s">
        <v>1825</v>
      </c>
      <c r="M1126" t="s">
        <v>27</v>
      </c>
      <c r="N1126" t="s">
        <v>27</v>
      </c>
      <c r="O1126">
        <v>16.829999999999998</v>
      </c>
      <c r="P1126">
        <v>9.8298425674438494</v>
      </c>
      <c r="Q1126">
        <v>10.400183677673301</v>
      </c>
      <c r="R1126">
        <v>13.3986663818359</v>
      </c>
      <c r="S1126">
        <v>10.6666666666667</v>
      </c>
      <c r="T1126">
        <v>5.2630739212036097</v>
      </c>
      <c r="U1126" t="s">
        <v>27</v>
      </c>
      <c r="V1126">
        <v>4432000</v>
      </c>
      <c r="W1126">
        <v>1.3848470449447601</v>
      </c>
      <c r="X1126">
        <v>0.246666669845581</v>
      </c>
      <c r="Y1126">
        <v>9.6727266311645508</v>
      </c>
      <c r="Z1126">
        <v>8.7777776718139595</v>
      </c>
      <c r="AA1126">
        <v>9796500</v>
      </c>
      <c r="AB1126" t="s">
        <v>27</v>
      </c>
      <c r="AC1126" t="s">
        <v>27</v>
      </c>
      <c r="AD1126">
        <v>0.28666667143503799</v>
      </c>
      <c r="AE1126" t="s">
        <v>27</v>
      </c>
      <c r="AF1126" t="s">
        <v>27</v>
      </c>
      <c r="AG1126">
        <v>9754500</v>
      </c>
      <c r="AH1126">
        <v>3.5789220333099401</v>
      </c>
      <c r="AI1126">
        <v>1.2538870573043801</v>
      </c>
    </row>
    <row r="1127" spans="1:35">
      <c r="A1127">
        <f t="shared" si="150"/>
        <v>0</v>
      </c>
      <c r="B1127">
        <f t="shared" si="151"/>
        <v>1</v>
      </c>
      <c r="C1127">
        <f t="shared" si="152"/>
        <v>1</v>
      </c>
      <c r="D1127">
        <f t="shared" si="153"/>
        <v>1</v>
      </c>
      <c r="E1127">
        <f t="shared" si="154"/>
        <v>0</v>
      </c>
      <c r="F1127">
        <f t="shared" si="155"/>
        <v>1</v>
      </c>
      <c r="G1127">
        <f t="shared" si="156"/>
        <v>0</v>
      </c>
      <c r="H1127">
        <v>0</v>
      </c>
      <c r="I1127">
        <f t="shared" si="157"/>
        <v>0</v>
      </c>
      <c r="J1127">
        <f t="shared" si="149"/>
        <v>19.16707229614255</v>
      </c>
      <c r="K1127" t="s">
        <v>1095</v>
      </c>
      <c r="L1127" t="s">
        <v>1096</v>
      </c>
      <c r="M1127" t="s">
        <v>27</v>
      </c>
      <c r="N1127" t="s">
        <v>27</v>
      </c>
      <c r="O1127">
        <v>5.69</v>
      </c>
      <c r="P1127">
        <v>3.7944929599761998</v>
      </c>
      <c r="Q1127">
        <v>11.5399532318115</v>
      </c>
      <c r="R1127">
        <v>6.4000000953674299</v>
      </c>
      <c r="S1127">
        <v>3.25</v>
      </c>
      <c r="T1127">
        <v>0</v>
      </c>
      <c r="U1127">
        <v>53.763515472412102</v>
      </c>
      <c r="V1127">
        <v>3898999.75</v>
      </c>
      <c r="W1127">
        <v>2.96335101127625</v>
      </c>
      <c r="X1127">
        <v>-9.9999997764825804E-3</v>
      </c>
      <c r="Y1127">
        <v>2.9579830169677699</v>
      </c>
      <c r="Z1127">
        <v>7.6271190643310502</v>
      </c>
      <c r="AA1127">
        <v>14645000</v>
      </c>
      <c r="AB1127" t="s">
        <v>27</v>
      </c>
      <c r="AC1127" t="s">
        <v>27</v>
      </c>
      <c r="AD1127">
        <v>9.00000035762787E-2</v>
      </c>
      <c r="AE1127">
        <v>51.970840454101598</v>
      </c>
      <c r="AF1127">
        <v>4.3737805530776104</v>
      </c>
      <c r="AG1127">
        <v>13469000</v>
      </c>
      <c r="AH1127">
        <v>0</v>
      </c>
      <c r="AI1127">
        <v>4.8638057708740199</v>
      </c>
    </row>
    <row r="1128" spans="1:35">
      <c r="A1128">
        <f t="shared" si="150"/>
        <v>0</v>
      </c>
      <c r="B1128">
        <f t="shared" si="151"/>
        <v>0</v>
      </c>
      <c r="C1128">
        <f t="shared" si="152"/>
        <v>0</v>
      </c>
      <c r="D1128">
        <f t="shared" si="153"/>
        <v>1</v>
      </c>
      <c r="E1128">
        <f t="shared" si="154"/>
        <v>0</v>
      </c>
      <c r="F1128">
        <f t="shared" si="155"/>
        <v>1</v>
      </c>
      <c r="G1128">
        <f t="shared" si="156"/>
        <v>0</v>
      </c>
      <c r="H1128">
        <v>0</v>
      </c>
      <c r="I1128">
        <f t="shared" si="157"/>
        <v>0</v>
      </c>
      <c r="J1128">
        <f t="shared" si="149"/>
        <v>19.16274738311764</v>
      </c>
      <c r="K1128" t="s">
        <v>2506</v>
      </c>
      <c r="L1128" t="s">
        <v>2507</v>
      </c>
      <c r="M1128" t="s">
        <v>27</v>
      </c>
      <c r="N1128" t="s">
        <v>27</v>
      </c>
      <c r="O1128">
        <v>13.3</v>
      </c>
      <c r="P1128">
        <v>12.838127136230501</v>
      </c>
      <c r="Q1128">
        <v>12.693611145019499</v>
      </c>
      <c r="R1128">
        <v>25.940000534057599</v>
      </c>
      <c r="S1128">
        <v>15.375</v>
      </c>
      <c r="T1128">
        <v>1.05592596530914</v>
      </c>
      <c r="U1128">
        <v>58.861686706542997</v>
      </c>
      <c r="V1128">
        <v>-6144000</v>
      </c>
      <c r="W1128">
        <v>18.267419815063501</v>
      </c>
      <c r="X1128">
        <v>0.31999999284744302</v>
      </c>
      <c r="Y1128">
        <v>10.8333330154419</v>
      </c>
      <c r="Z1128">
        <v>6.4691362380981401</v>
      </c>
      <c r="AA1128">
        <v>23258000</v>
      </c>
      <c r="AB1128" t="s">
        <v>27</v>
      </c>
      <c r="AC1128" t="s">
        <v>27</v>
      </c>
      <c r="AD1128">
        <v>0.40999999642372098</v>
      </c>
      <c r="AE1128">
        <v>54.925041198730497</v>
      </c>
      <c r="AF1128">
        <v>5.0710735150852102</v>
      </c>
      <c r="AG1128">
        <v>23386000</v>
      </c>
      <c r="AH1128">
        <v>1.60079801082611</v>
      </c>
      <c r="AI1128">
        <v>15.9874382019043</v>
      </c>
    </row>
    <row r="1129" spans="1:35">
      <c r="A1129">
        <f t="shared" si="150"/>
        <v>1</v>
      </c>
      <c r="B1129">
        <f t="shared" si="151"/>
        <v>0</v>
      </c>
      <c r="C1129">
        <f t="shared" si="152"/>
        <v>1</v>
      </c>
      <c r="D1129">
        <f t="shared" si="153"/>
        <v>1</v>
      </c>
      <c r="E1129">
        <f t="shared" si="154"/>
        <v>0</v>
      </c>
      <c r="F1129">
        <f t="shared" si="155"/>
        <v>1</v>
      </c>
      <c r="G1129">
        <f t="shared" si="156"/>
        <v>0</v>
      </c>
      <c r="H1129">
        <v>0</v>
      </c>
      <c r="I1129">
        <f t="shared" si="157"/>
        <v>0</v>
      </c>
      <c r="J1129">
        <f t="shared" si="149"/>
        <v>19.137870311737082</v>
      </c>
      <c r="K1129" t="s">
        <v>355</v>
      </c>
      <c r="L1129" t="s">
        <v>356</v>
      </c>
      <c r="M1129" t="s">
        <v>27</v>
      </c>
      <c r="N1129" t="s">
        <v>27</v>
      </c>
      <c r="O1129">
        <v>41.22</v>
      </c>
      <c r="P1129">
        <v>14.7644701004028</v>
      </c>
      <c r="Q1129">
        <v>13.482479095459</v>
      </c>
      <c r="R1129">
        <v>40.380001068115199</v>
      </c>
      <c r="S1129">
        <v>34.96875</v>
      </c>
      <c r="T1129">
        <v>14.334053993225099</v>
      </c>
      <c r="U1129">
        <v>52.978706359863303</v>
      </c>
      <c r="V1129">
        <v>13961999</v>
      </c>
      <c r="W1129">
        <v>12.4267778396606</v>
      </c>
      <c r="X1129">
        <v>0.50999999046325695</v>
      </c>
      <c r="Y1129">
        <v>5.7815132141113299</v>
      </c>
      <c r="Z1129">
        <v>5.6553912162780797</v>
      </c>
      <c r="AA1129">
        <v>22002000</v>
      </c>
      <c r="AB1129" t="s">
        <v>27</v>
      </c>
      <c r="AC1129" t="s">
        <v>27</v>
      </c>
      <c r="AD1129">
        <v>0.54000002145767201</v>
      </c>
      <c r="AE1129">
        <v>51.907321929931598</v>
      </c>
      <c r="AF1129">
        <v>10.215311346889701</v>
      </c>
      <c r="AG1129">
        <v>21853000</v>
      </c>
      <c r="AH1129">
        <v>11.609890937805201</v>
      </c>
      <c r="AI1129">
        <v>11.585217475891101</v>
      </c>
    </row>
    <row r="1130" spans="1:35">
      <c r="A1130">
        <f t="shared" si="150"/>
        <v>1</v>
      </c>
      <c r="B1130">
        <f t="shared" si="151"/>
        <v>0</v>
      </c>
      <c r="C1130">
        <f t="shared" si="152"/>
        <v>0</v>
      </c>
      <c r="D1130">
        <f t="shared" si="153"/>
        <v>0</v>
      </c>
      <c r="E1130">
        <f t="shared" si="154"/>
        <v>0</v>
      </c>
      <c r="F1130">
        <f t="shared" si="155"/>
        <v>1</v>
      </c>
      <c r="G1130">
        <f t="shared" si="156"/>
        <v>0</v>
      </c>
      <c r="H1130">
        <v>0</v>
      </c>
      <c r="I1130">
        <f t="shared" si="157"/>
        <v>0</v>
      </c>
      <c r="J1130">
        <f t="shared" si="149"/>
        <v>19.134678840637228</v>
      </c>
      <c r="K1130" t="s">
        <v>3923</v>
      </c>
      <c r="L1130" t="s">
        <v>3924</v>
      </c>
      <c r="M1130" t="s">
        <v>27</v>
      </c>
      <c r="N1130" t="s">
        <v>27</v>
      </c>
      <c r="O1130">
        <v>3.46</v>
      </c>
      <c r="P1130">
        <v>28.129875183105501</v>
      </c>
      <c r="Q1130">
        <v>10.6632242202759</v>
      </c>
      <c r="R1130">
        <v>7.4499998092651403</v>
      </c>
      <c r="S1130">
        <v>6.59375</v>
      </c>
      <c r="T1130">
        <v>7.0884661674499503</v>
      </c>
      <c r="U1130">
        <v>28.433982849121101</v>
      </c>
      <c r="V1130">
        <v>-3407000</v>
      </c>
      <c r="W1130">
        <v>39.4763374328613</v>
      </c>
      <c r="X1130">
        <v>0.17000000178813901</v>
      </c>
      <c r="Y1130">
        <v>13.214285850524901</v>
      </c>
      <c r="Z1130">
        <v>8.4714546203613299</v>
      </c>
      <c r="AA1130">
        <v>32359002</v>
      </c>
      <c r="AB1130" t="s">
        <v>27</v>
      </c>
      <c r="AC1130" t="s">
        <v>27</v>
      </c>
      <c r="AD1130">
        <v>5.9999998658895499E-2</v>
      </c>
      <c r="AE1130">
        <v>21.279100418090799</v>
      </c>
      <c r="AF1130">
        <v>3.9102671653075398</v>
      </c>
      <c r="AG1130">
        <v>32398998</v>
      </c>
      <c r="AH1130">
        <v>4.6182918548584002</v>
      </c>
      <c r="AI1130">
        <v>21.305370330810501</v>
      </c>
    </row>
    <row r="1131" spans="1:35">
      <c r="A1131">
        <f t="shared" si="150"/>
        <v>0</v>
      </c>
      <c r="B1131">
        <f t="shared" si="151"/>
        <v>0</v>
      </c>
      <c r="C1131">
        <f t="shared" si="152"/>
        <v>0</v>
      </c>
      <c r="D1131">
        <f t="shared" si="153"/>
        <v>0</v>
      </c>
      <c r="E1131">
        <f t="shared" si="154"/>
        <v>0</v>
      </c>
      <c r="F1131">
        <f t="shared" si="155"/>
        <v>1</v>
      </c>
      <c r="G1131">
        <f t="shared" si="156"/>
        <v>1</v>
      </c>
      <c r="H1131">
        <v>0</v>
      </c>
      <c r="I1131">
        <f t="shared" si="157"/>
        <v>1</v>
      </c>
      <c r="J1131">
        <f t="shared" si="149"/>
        <v>19.133009433746331</v>
      </c>
      <c r="K1131" t="s">
        <v>1578</v>
      </c>
      <c r="L1131" t="s">
        <v>1579</v>
      </c>
      <c r="M1131" t="s">
        <v>27</v>
      </c>
      <c r="N1131" t="s">
        <v>27</v>
      </c>
      <c r="O1131">
        <v>19.48</v>
      </c>
      <c r="P1131" t="s">
        <v>27</v>
      </c>
      <c r="Q1131">
        <v>11.4859504699707</v>
      </c>
      <c r="R1131">
        <v>15.6499996185303</v>
      </c>
      <c r="S1131">
        <v>15.5</v>
      </c>
      <c r="T1131">
        <v>39.300998687744098</v>
      </c>
      <c r="U1131">
        <v>25.2302341461182</v>
      </c>
      <c r="V1131">
        <v>-10121000</v>
      </c>
      <c r="W1131">
        <v>7.6966319084167498</v>
      </c>
      <c r="X1131">
        <v>0.18999999761581399</v>
      </c>
      <c r="Y1131">
        <v>7.3908629417419398</v>
      </c>
      <c r="Z1131">
        <v>7.6470589637756303</v>
      </c>
      <c r="AA1131">
        <v>22076000</v>
      </c>
      <c r="AB1131" t="s">
        <v>27</v>
      </c>
      <c r="AC1131" t="s">
        <v>27</v>
      </c>
      <c r="AD1131">
        <v>5.9999998658895499E-2</v>
      </c>
      <c r="AE1131">
        <v>25.2897758483887</v>
      </c>
      <c r="AF1131">
        <v>9.5978547610225995</v>
      </c>
      <c r="AG1131">
        <v>22293000</v>
      </c>
      <c r="AH1131">
        <v>40.264419555664098</v>
      </c>
      <c r="AI1131">
        <v>7.5804328918456996</v>
      </c>
    </row>
    <row r="1132" spans="1:35">
      <c r="A1132">
        <f t="shared" si="150"/>
        <v>1</v>
      </c>
      <c r="B1132">
        <f t="shared" si="151"/>
        <v>1</v>
      </c>
      <c r="C1132">
        <f t="shared" si="152"/>
        <v>1</v>
      </c>
      <c r="D1132">
        <f t="shared" si="153"/>
        <v>0</v>
      </c>
      <c r="E1132">
        <f t="shared" si="154"/>
        <v>0</v>
      </c>
      <c r="F1132">
        <f t="shared" si="155"/>
        <v>1</v>
      </c>
      <c r="G1132">
        <f t="shared" si="156"/>
        <v>0</v>
      </c>
      <c r="H1132">
        <v>0</v>
      </c>
      <c r="I1132">
        <f t="shared" si="157"/>
        <v>0</v>
      </c>
      <c r="J1132">
        <f t="shared" si="149"/>
        <v>19.079931735992432</v>
      </c>
      <c r="K1132" t="s">
        <v>1293</v>
      </c>
      <c r="L1132" t="s">
        <v>1294</v>
      </c>
      <c r="M1132" t="s">
        <v>27</v>
      </c>
      <c r="N1132" t="s">
        <v>27</v>
      </c>
      <c r="O1132">
        <v>2.72</v>
      </c>
      <c r="P1132">
        <v>28.912086486816399</v>
      </c>
      <c r="Q1132">
        <v>13.3854866027832</v>
      </c>
      <c r="R1132">
        <v>17.7600002288818</v>
      </c>
      <c r="S1132">
        <v>44.125</v>
      </c>
      <c r="T1132">
        <v>16.544080734252901</v>
      </c>
      <c r="U1132">
        <v>35.779167175292997</v>
      </c>
      <c r="V1132">
        <v>1323000</v>
      </c>
      <c r="W1132">
        <v>12.527626991271999</v>
      </c>
      <c r="X1132">
        <v>0.46000000834464999</v>
      </c>
      <c r="Y1132">
        <v>4.97991991043091</v>
      </c>
      <c r="Z1132">
        <v>5.6944451332092303</v>
      </c>
      <c r="AA1132">
        <v>12738000</v>
      </c>
      <c r="AB1132" t="s">
        <v>30</v>
      </c>
      <c r="AC1132" t="s">
        <v>1295</v>
      </c>
      <c r="AD1132">
        <v>-2.9999999329447701E-2</v>
      </c>
      <c r="AE1132">
        <v>34.526817321777301</v>
      </c>
      <c r="AF1132" t="s">
        <v>27</v>
      </c>
      <c r="AG1132">
        <v>12823000</v>
      </c>
      <c r="AH1132">
        <v>11.350298881530801</v>
      </c>
      <c r="AI1132">
        <v>16.961603164672901</v>
      </c>
    </row>
    <row r="1133" spans="1:35">
      <c r="A1133">
        <f t="shared" si="150"/>
        <v>0</v>
      </c>
      <c r="B1133">
        <f t="shared" si="151"/>
        <v>1</v>
      </c>
      <c r="C1133">
        <f t="shared" si="152"/>
        <v>1</v>
      </c>
      <c r="D1133">
        <f t="shared" si="153"/>
        <v>1</v>
      </c>
      <c r="E1133">
        <f t="shared" si="154"/>
        <v>0</v>
      </c>
      <c r="F1133">
        <f t="shared" si="155"/>
        <v>1</v>
      </c>
      <c r="G1133">
        <f t="shared" si="156"/>
        <v>1</v>
      </c>
      <c r="H1133">
        <v>0</v>
      </c>
      <c r="I1133">
        <f t="shared" si="157"/>
        <v>0</v>
      </c>
      <c r="J1133">
        <f t="shared" si="149"/>
        <v>19.075127601623528</v>
      </c>
      <c r="K1133" t="s">
        <v>435</v>
      </c>
      <c r="L1133" t="s">
        <v>436</v>
      </c>
      <c r="M1133" t="s">
        <v>27</v>
      </c>
      <c r="N1133" t="s">
        <v>27</v>
      </c>
      <c r="O1133">
        <v>12.75</v>
      </c>
      <c r="P1133">
        <v>9.3744640350341797</v>
      </c>
      <c r="Q1133">
        <v>8.4422159194946307</v>
      </c>
      <c r="R1133">
        <v>19.319999694824201</v>
      </c>
      <c r="S1133">
        <v>12.1499996185303</v>
      </c>
      <c r="T1133">
        <v>43.847404479980497</v>
      </c>
      <c r="U1133">
        <v>49.983573913574197</v>
      </c>
      <c r="V1133">
        <v>44484000</v>
      </c>
      <c r="W1133">
        <v>0.60083401203155495</v>
      </c>
      <c r="X1133">
        <v>0.34999999403953602</v>
      </c>
      <c r="Y1133">
        <v>6.6184740066528303</v>
      </c>
      <c r="Z1133">
        <v>10.632911682128899</v>
      </c>
      <c r="AA1133">
        <v>39819000</v>
      </c>
      <c r="AB1133" t="s">
        <v>27</v>
      </c>
      <c r="AC1133" t="s">
        <v>27</v>
      </c>
      <c r="AD1133">
        <v>0.46999999880790699</v>
      </c>
      <c r="AE1133">
        <v>52.293537139892599</v>
      </c>
      <c r="AF1133">
        <v>5.0119977648613201</v>
      </c>
      <c r="AG1133">
        <v>36843000</v>
      </c>
      <c r="AH1133">
        <v>43.900543212890597</v>
      </c>
      <c r="AI1133">
        <v>5.1552309989929199</v>
      </c>
    </row>
    <row r="1134" spans="1:35">
      <c r="A1134">
        <f t="shared" si="150"/>
        <v>0</v>
      </c>
      <c r="B1134">
        <f t="shared" si="151"/>
        <v>0</v>
      </c>
      <c r="C1134">
        <f t="shared" si="152"/>
        <v>1</v>
      </c>
      <c r="D1134">
        <f t="shared" si="153"/>
        <v>0</v>
      </c>
      <c r="E1134">
        <f t="shared" si="154"/>
        <v>0</v>
      </c>
      <c r="F1134">
        <f t="shared" si="155"/>
        <v>1</v>
      </c>
      <c r="G1134">
        <f t="shared" si="156"/>
        <v>0</v>
      </c>
      <c r="H1134">
        <v>0</v>
      </c>
      <c r="I1134">
        <f t="shared" si="157"/>
        <v>0</v>
      </c>
      <c r="J1134">
        <f t="shared" si="149"/>
        <v>19.05605792999263</v>
      </c>
      <c r="K1134" t="s">
        <v>2382</v>
      </c>
      <c r="L1134" t="s">
        <v>2383</v>
      </c>
      <c r="M1134" t="s">
        <v>27</v>
      </c>
      <c r="N1134" t="s">
        <v>27</v>
      </c>
      <c r="O1134">
        <v>10.73</v>
      </c>
      <c r="P1134">
        <v>13.870521545410201</v>
      </c>
      <c r="Q1134">
        <v>10.286827087402299</v>
      </c>
      <c r="R1134">
        <v>14</v>
      </c>
      <c r="S1134">
        <v>16.75</v>
      </c>
      <c r="T1134">
        <v>0</v>
      </c>
      <c r="U1134">
        <v>41.556194305419901</v>
      </c>
      <c r="V1134">
        <v>48149996</v>
      </c>
      <c r="W1134">
        <v>13.8742818832397</v>
      </c>
      <c r="X1134">
        <v>0.519999980926514</v>
      </c>
      <c r="Y1134">
        <v>9.8461542129516602</v>
      </c>
      <c r="Z1134">
        <v>8.7692308425903303</v>
      </c>
      <c r="AA1134">
        <v>31674000</v>
      </c>
      <c r="AB1134" t="s">
        <v>27</v>
      </c>
      <c r="AC1134" t="s">
        <v>27</v>
      </c>
      <c r="AD1134">
        <v>0.40999999642372098</v>
      </c>
      <c r="AE1134">
        <v>40.377536773681598</v>
      </c>
      <c r="AF1134">
        <v>5.3942111593023601</v>
      </c>
      <c r="AG1134">
        <v>33173000</v>
      </c>
      <c r="AH1134">
        <v>9.7411012649536097</v>
      </c>
      <c r="AI1134">
        <v>12.960857391357401</v>
      </c>
    </row>
    <row r="1135" spans="1:35">
      <c r="A1135">
        <f t="shared" si="150"/>
        <v>1</v>
      </c>
      <c r="B1135">
        <f t="shared" si="151"/>
        <v>0</v>
      </c>
      <c r="C1135">
        <f t="shared" si="152"/>
        <v>1</v>
      </c>
      <c r="D1135">
        <f t="shared" si="153"/>
        <v>0</v>
      </c>
      <c r="E1135">
        <f t="shared" si="154"/>
        <v>0</v>
      </c>
      <c r="F1135">
        <f t="shared" si="155"/>
        <v>1</v>
      </c>
      <c r="G1135">
        <f t="shared" si="156"/>
        <v>0</v>
      </c>
      <c r="H1135">
        <v>0</v>
      </c>
      <c r="I1135">
        <f t="shared" si="157"/>
        <v>1</v>
      </c>
      <c r="J1135">
        <f t="shared" si="149"/>
        <v>19.03714752197266</v>
      </c>
      <c r="K1135" t="s">
        <v>1217</v>
      </c>
      <c r="L1135" t="s">
        <v>1218</v>
      </c>
      <c r="M1135" t="s">
        <v>27</v>
      </c>
      <c r="N1135" t="s">
        <v>27</v>
      </c>
      <c r="O1135">
        <v>11.1</v>
      </c>
      <c r="P1135">
        <v>14.0475063323975</v>
      </c>
      <c r="Q1135">
        <v>10.7301025390625</v>
      </c>
      <c r="R1135">
        <v>9.9300003051757795</v>
      </c>
      <c r="S1135">
        <v>7.4400000572204599</v>
      </c>
      <c r="T1135">
        <v>21.719978332519499</v>
      </c>
      <c r="U1135">
        <v>28.415960311889599</v>
      </c>
      <c r="V1135">
        <v>4452000</v>
      </c>
      <c r="W1135">
        <v>15.332364082336399</v>
      </c>
      <c r="X1135">
        <v>0.25</v>
      </c>
      <c r="Y1135">
        <v>12.965517044067401</v>
      </c>
      <c r="Z1135">
        <v>8.3070449829101598</v>
      </c>
      <c r="AA1135">
        <v>16270765</v>
      </c>
      <c r="AB1135" t="s">
        <v>61</v>
      </c>
      <c r="AC1135" t="s">
        <v>77</v>
      </c>
      <c r="AD1135">
        <v>0.239999994635582</v>
      </c>
      <c r="AE1135">
        <v>28.085372924804702</v>
      </c>
      <c r="AF1135">
        <v>5.63679495980755</v>
      </c>
      <c r="AG1135">
        <v>16272938</v>
      </c>
      <c r="AH1135">
        <v>14.1104116439819</v>
      </c>
      <c r="AI1135">
        <v>10.722248077392599</v>
      </c>
    </row>
    <row r="1136" spans="1:35">
      <c r="A1136">
        <f t="shared" si="150"/>
        <v>1</v>
      </c>
      <c r="B1136">
        <f t="shared" si="151"/>
        <v>0</v>
      </c>
      <c r="C1136">
        <f t="shared" si="152"/>
        <v>1</v>
      </c>
      <c r="D1136">
        <f t="shared" si="153"/>
        <v>1</v>
      </c>
      <c r="E1136">
        <f t="shared" si="154"/>
        <v>0</v>
      </c>
      <c r="F1136">
        <f t="shared" si="155"/>
        <v>1</v>
      </c>
      <c r="G1136">
        <f t="shared" si="156"/>
        <v>0</v>
      </c>
      <c r="H1136">
        <v>0</v>
      </c>
      <c r="I1136">
        <f t="shared" si="157"/>
        <v>0</v>
      </c>
      <c r="J1136">
        <f t="shared" si="149"/>
        <v>19.013916969299288</v>
      </c>
      <c r="K1136" t="s">
        <v>543</v>
      </c>
      <c r="L1136" t="s">
        <v>544</v>
      </c>
      <c r="M1136" t="s">
        <v>27</v>
      </c>
      <c r="N1136" t="s">
        <v>27</v>
      </c>
      <c r="O1136">
        <v>22.68</v>
      </c>
      <c r="P1136">
        <v>10.078239440918001</v>
      </c>
      <c r="Q1136">
        <v>10.706707000732401</v>
      </c>
      <c r="R1136">
        <v>29.0100002288818</v>
      </c>
      <c r="S1136">
        <v>18.8125</v>
      </c>
      <c r="T1136">
        <v>15.6744737625122</v>
      </c>
      <c r="U1136">
        <v>23.293254852294901</v>
      </c>
      <c r="V1136">
        <v>20314002</v>
      </c>
      <c r="W1136">
        <v>8.7074337005615199</v>
      </c>
      <c r="X1136">
        <v>0.40000000596046398</v>
      </c>
      <c r="Y1136">
        <v>7.9163761138915998</v>
      </c>
      <c r="Z1136">
        <v>8.3072099685668892</v>
      </c>
      <c r="AA1136">
        <v>34793000</v>
      </c>
      <c r="AB1136" t="s">
        <v>30</v>
      </c>
      <c r="AC1136" t="s">
        <v>223</v>
      </c>
      <c r="AD1136">
        <v>0.54000002145767201</v>
      </c>
      <c r="AE1136">
        <v>22.866237640380898</v>
      </c>
      <c r="AF1136">
        <v>5.2797591550186604</v>
      </c>
      <c r="AG1136">
        <v>34676000</v>
      </c>
      <c r="AH1136">
        <v>12.039567947387701</v>
      </c>
      <c r="AI1136">
        <v>7.7920060157775897</v>
      </c>
    </row>
    <row r="1137" spans="1:35">
      <c r="A1137">
        <f t="shared" si="150"/>
        <v>0</v>
      </c>
      <c r="B1137">
        <f t="shared" si="151"/>
        <v>0</v>
      </c>
      <c r="C1137">
        <f t="shared" si="152"/>
        <v>1</v>
      </c>
      <c r="D1137">
        <f t="shared" si="153"/>
        <v>0</v>
      </c>
      <c r="E1137">
        <f t="shared" si="154"/>
        <v>0</v>
      </c>
      <c r="F1137">
        <f t="shared" si="155"/>
        <v>1</v>
      </c>
      <c r="G1137">
        <f t="shared" si="156"/>
        <v>0</v>
      </c>
      <c r="H1137">
        <v>0</v>
      </c>
      <c r="I1137">
        <f t="shared" si="157"/>
        <v>0</v>
      </c>
      <c r="J1137">
        <f t="shared" si="149"/>
        <v>18.984383583068883</v>
      </c>
      <c r="K1137" t="s">
        <v>1241</v>
      </c>
      <c r="L1137" t="s">
        <v>1242</v>
      </c>
      <c r="M1137" t="s">
        <v>27</v>
      </c>
      <c r="N1137" t="s">
        <v>27</v>
      </c>
      <c r="O1137">
        <v>6.02</v>
      </c>
      <c r="P1137" t="s">
        <v>27</v>
      </c>
      <c r="Q1137">
        <v>8.9704751968383807</v>
      </c>
      <c r="R1137">
        <v>7.75</v>
      </c>
      <c r="S1137">
        <v>7.75</v>
      </c>
      <c r="T1137">
        <v>46.558914184570298</v>
      </c>
      <c r="U1137" t="s">
        <v>27</v>
      </c>
      <c r="V1137">
        <v>8691999</v>
      </c>
      <c r="W1137">
        <v>3.5769929885864298</v>
      </c>
      <c r="X1137">
        <v>0.10000000149011599</v>
      </c>
      <c r="Y1137">
        <v>-3.0188679695129399</v>
      </c>
      <c r="Z1137">
        <v>10.013908386230501</v>
      </c>
      <c r="AA1137">
        <v>36748000</v>
      </c>
      <c r="AB1137" t="s">
        <v>27</v>
      </c>
      <c r="AC1137" t="s">
        <v>27</v>
      </c>
      <c r="AD1137">
        <v>7.0000000298023196E-2</v>
      </c>
      <c r="AE1137" t="s">
        <v>27</v>
      </c>
      <c r="AF1137">
        <v>8.3655711809290008</v>
      </c>
      <c r="AG1137">
        <v>36841000</v>
      </c>
      <c r="AH1137">
        <v>47.730789184570298</v>
      </c>
      <c r="AI1137">
        <v>2.0001690387725799</v>
      </c>
    </row>
    <row r="1138" spans="1:35">
      <c r="A1138">
        <f t="shared" si="150"/>
        <v>1</v>
      </c>
      <c r="B1138">
        <f t="shared" si="151"/>
        <v>0</v>
      </c>
      <c r="C1138">
        <f t="shared" si="152"/>
        <v>0</v>
      </c>
      <c r="D1138">
        <f t="shared" si="153"/>
        <v>0</v>
      </c>
      <c r="E1138">
        <f t="shared" si="154"/>
        <v>0</v>
      </c>
      <c r="F1138">
        <f t="shared" si="155"/>
        <v>1</v>
      </c>
      <c r="G1138">
        <f t="shared" si="156"/>
        <v>0</v>
      </c>
      <c r="H1138">
        <v>0</v>
      </c>
      <c r="I1138">
        <f t="shared" si="157"/>
        <v>0</v>
      </c>
      <c r="J1138">
        <f t="shared" si="149"/>
        <v>18.975684642791709</v>
      </c>
      <c r="K1138" t="s">
        <v>3260</v>
      </c>
      <c r="L1138" t="s">
        <v>3261</v>
      </c>
      <c r="M1138" t="s">
        <v>27</v>
      </c>
      <c r="N1138" t="s">
        <v>27</v>
      </c>
      <c r="O1138">
        <v>13.8</v>
      </c>
      <c r="P1138">
        <v>14.9135131835938</v>
      </c>
      <c r="Q1138">
        <v>12.0904388427734</v>
      </c>
      <c r="R1138">
        <v>15.5</v>
      </c>
      <c r="S1138">
        <v>18.079999923706101</v>
      </c>
      <c r="T1138">
        <v>55.820926666259801</v>
      </c>
      <c r="U1138">
        <v>49.157703399658203</v>
      </c>
      <c r="V1138">
        <v>-14047000</v>
      </c>
      <c r="W1138">
        <v>6.9605970382690403</v>
      </c>
      <c r="X1138">
        <v>0.46000000834464999</v>
      </c>
      <c r="Y1138">
        <v>7.7664232254028303</v>
      </c>
      <c r="Z1138">
        <v>6.8852458000183097</v>
      </c>
      <c r="AA1138">
        <v>27570000</v>
      </c>
      <c r="AB1138" t="s">
        <v>27</v>
      </c>
      <c r="AC1138" t="s">
        <v>27</v>
      </c>
      <c r="AD1138">
        <v>0.20000000298023199</v>
      </c>
      <c r="AE1138">
        <v>48.429977416992202</v>
      </c>
      <c r="AF1138" t="s">
        <v>27</v>
      </c>
      <c r="AG1138">
        <v>32043000</v>
      </c>
      <c r="AH1138">
        <v>45.538825988769503</v>
      </c>
      <c r="AI1138">
        <v>2.0315010547637899</v>
      </c>
    </row>
    <row r="1139" spans="1:35">
      <c r="A1139">
        <f t="shared" si="150"/>
        <v>1</v>
      </c>
      <c r="B1139">
        <f t="shared" si="151"/>
        <v>0</v>
      </c>
      <c r="C1139">
        <f t="shared" si="152"/>
        <v>1</v>
      </c>
      <c r="D1139">
        <f t="shared" si="153"/>
        <v>0</v>
      </c>
      <c r="E1139">
        <f t="shared" si="154"/>
        <v>0</v>
      </c>
      <c r="F1139">
        <f t="shared" si="155"/>
        <v>1</v>
      </c>
      <c r="G1139">
        <f t="shared" si="156"/>
        <v>1</v>
      </c>
      <c r="H1139">
        <v>0</v>
      </c>
      <c r="I1139">
        <f t="shared" si="157"/>
        <v>0</v>
      </c>
      <c r="J1139">
        <f t="shared" si="149"/>
        <v>18.968037605285659</v>
      </c>
      <c r="K1139" t="s">
        <v>2220</v>
      </c>
      <c r="L1139" t="s">
        <v>2221</v>
      </c>
      <c r="M1139" t="s">
        <v>27</v>
      </c>
      <c r="N1139" t="s">
        <v>27</v>
      </c>
      <c r="O1139">
        <v>32.11</v>
      </c>
      <c r="P1139">
        <v>19.207639694213899</v>
      </c>
      <c r="Q1139">
        <v>15.8255605697632</v>
      </c>
      <c r="R1139">
        <v>36.360000610351598</v>
      </c>
      <c r="S1139">
        <v>53.4375</v>
      </c>
      <c r="T1139">
        <v>9.7837419509887695</v>
      </c>
      <c r="U1139">
        <v>68.352264404296903</v>
      </c>
      <c r="V1139">
        <v>5755000</v>
      </c>
      <c r="W1139">
        <v>20.5983581542969</v>
      </c>
      <c r="X1139">
        <v>0.33000001311302202</v>
      </c>
      <c r="Y1139">
        <v>3.7033710479736301</v>
      </c>
      <c r="Z1139">
        <v>3.14247703552246</v>
      </c>
      <c r="AA1139">
        <v>21425438</v>
      </c>
      <c r="AB1139" t="s">
        <v>61</v>
      </c>
      <c r="AC1139" t="s">
        <v>65</v>
      </c>
      <c r="AD1139">
        <v>0.18000000715255701</v>
      </c>
      <c r="AE1139">
        <v>68.784599304199205</v>
      </c>
      <c r="AF1139">
        <v>28.393067544300202</v>
      </c>
      <c r="AG1139">
        <v>21899000</v>
      </c>
      <c r="AH1139">
        <v>7.6347579956054696</v>
      </c>
      <c r="AI1139">
        <v>18.721115112304702</v>
      </c>
    </row>
    <row r="1140" spans="1:35">
      <c r="A1140">
        <f t="shared" si="150"/>
        <v>1</v>
      </c>
      <c r="B1140">
        <f t="shared" si="151"/>
        <v>1</v>
      </c>
      <c r="C1140">
        <f t="shared" si="152"/>
        <v>1</v>
      </c>
      <c r="D1140">
        <f t="shared" si="153"/>
        <v>0</v>
      </c>
      <c r="E1140">
        <f t="shared" si="154"/>
        <v>0</v>
      </c>
      <c r="F1140">
        <f t="shared" si="155"/>
        <v>1</v>
      </c>
      <c r="G1140">
        <f t="shared" si="156"/>
        <v>0</v>
      </c>
      <c r="H1140">
        <v>0</v>
      </c>
      <c r="I1140">
        <f t="shared" si="157"/>
        <v>0</v>
      </c>
      <c r="J1140">
        <f t="shared" si="149"/>
        <v>18.87642383575443</v>
      </c>
      <c r="K1140" t="s">
        <v>897</v>
      </c>
      <c r="L1140" t="s">
        <v>898</v>
      </c>
      <c r="M1140" t="s">
        <v>27</v>
      </c>
      <c r="N1140" t="s">
        <v>27</v>
      </c>
      <c r="O1140">
        <v>8.4700000000000006</v>
      </c>
      <c r="P1140">
        <v>16.94948387146</v>
      </c>
      <c r="Q1140">
        <v>11.7695407867432</v>
      </c>
      <c r="R1140">
        <v>20.600000381469702</v>
      </c>
      <c r="S1140">
        <v>20.2600002288818</v>
      </c>
      <c r="T1140">
        <v>30.475227355956999</v>
      </c>
      <c r="U1140">
        <v>25.796789169311499</v>
      </c>
      <c r="V1140">
        <v>23135000</v>
      </c>
      <c r="W1140">
        <v>12.993493080139199</v>
      </c>
      <c r="X1140">
        <v>0.44999998807907099</v>
      </c>
      <c r="Y1140">
        <v>6.3673467636108398</v>
      </c>
      <c r="Z1140">
        <v>7.1068830490112296</v>
      </c>
      <c r="AA1140">
        <v>51241012</v>
      </c>
      <c r="AB1140" t="s">
        <v>27</v>
      </c>
      <c r="AC1140" t="s">
        <v>27</v>
      </c>
      <c r="AD1140">
        <v>0.119999997317791</v>
      </c>
      <c r="AE1140">
        <v>24.7307243347168</v>
      </c>
      <c r="AF1140">
        <v>10.3292407480563</v>
      </c>
      <c r="AG1140">
        <v>51466000</v>
      </c>
      <c r="AH1140">
        <v>27.92653465271</v>
      </c>
      <c r="AI1140">
        <v>13.022294998168899</v>
      </c>
    </row>
    <row r="1141" spans="1:35">
      <c r="A1141">
        <f t="shared" si="150"/>
        <v>1</v>
      </c>
      <c r="B1141">
        <f t="shared" si="151"/>
        <v>1</v>
      </c>
      <c r="C1141">
        <f t="shared" si="152"/>
        <v>1</v>
      </c>
      <c r="D1141">
        <f t="shared" si="153"/>
        <v>1</v>
      </c>
      <c r="E1141">
        <f t="shared" si="154"/>
        <v>0</v>
      </c>
      <c r="F1141">
        <f t="shared" si="155"/>
        <v>1</v>
      </c>
      <c r="G1141">
        <f t="shared" si="156"/>
        <v>0</v>
      </c>
      <c r="H1141">
        <v>0</v>
      </c>
      <c r="I1141">
        <f t="shared" si="157"/>
        <v>1</v>
      </c>
      <c r="J1141">
        <f t="shared" si="149"/>
        <v>18.855039596557617</v>
      </c>
      <c r="K1141" t="s">
        <v>3685</v>
      </c>
      <c r="L1141" t="s">
        <v>3686</v>
      </c>
      <c r="M1141" t="s">
        <v>27</v>
      </c>
      <c r="N1141" t="s">
        <v>27</v>
      </c>
      <c r="O1141">
        <v>11.15</v>
      </c>
      <c r="P1141">
        <v>7.4303388595581099</v>
      </c>
      <c r="Q1141">
        <v>9.5502262115478498</v>
      </c>
      <c r="R1141">
        <v>9.9799995422363299</v>
      </c>
      <c r="S1141">
        <v>8</v>
      </c>
      <c r="T1141">
        <v>28.659854888916001</v>
      </c>
      <c r="U1141" t="s">
        <v>27</v>
      </c>
      <c r="V1141">
        <v>5192000</v>
      </c>
      <c r="W1141">
        <v>4.70792579650879</v>
      </c>
      <c r="X1141">
        <v>0.10000000149011599</v>
      </c>
      <c r="Y1141">
        <v>8.1403512954711896</v>
      </c>
      <c r="Z1141">
        <v>9.3048133850097692</v>
      </c>
      <c r="AA1141">
        <v>10914000</v>
      </c>
      <c r="AB1141" t="s">
        <v>83</v>
      </c>
      <c r="AC1141" t="s">
        <v>84</v>
      </c>
      <c r="AD1141">
        <v>0.46999999880790699</v>
      </c>
      <c r="AE1141" t="s">
        <v>27</v>
      </c>
      <c r="AF1141">
        <v>13.0109859194396</v>
      </c>
      <c r="AG1141">
        <v>15842000</v>
      </c>
      <c r="AH1141">
        <v>21.5775451660156</v>
      </c>
      <c r="AI1141">
        <v>6.8528881072998002</v>
      </c>
    </row>
    <row r="1142" spans="1:35">
      <c r="A1142">
        <f t="shared" si="150"/>
        <v>1</v>
      </c>
      <c r="B1142">
        <f t="shared" si="151"/>
        <v>1</v>
      </c>
      <c r="C1142">
        <f t="shared" si="152"/>
        <v>1</v>
      </c>
      <c r="D1142">
        <f t="shared" si="153"/>
        <v>1</v>
      </c>
      <c r="E1142">
        <f t="shared" si="154"/>
        <v>0</v>
      </c>
      <c r="F1142">
        <f t="shared" si="155"/>
        <v>1</v>
      </c>
      <c r="G1142">
        <f t="shared" si="156"/>
        <v>0</v>
      </c>
      <c r="H1142">
        <v>0</v>
      </c>
      <c r="I1142">
        <f t="shared" si="157"/>
        <v>1</v>
      </c>
      <c r="J1142">
        <f t="shared" si="149"/>
        <v>18.84378147125242</v>
      </c>
      <c r="K1142" t="s">
        <v>2360</v>
      </c>
      <c r="L1142" t="s">
        <v>2361</v>
      </c>
      <c r="M1142" t="s">
        <v>27</v>
      </c>
      <c r="N1142" t="s">
        <v>27</v>
      </c>
      <c r="O1142">
        <v>15.25</v>
      </c>
      <c r="P1142">
        <v>8.9857578277587908</v>
      </c>
      <c r="Q1142">
        <v>10.786227226257299</v>
      </c>
      <c r="R1142">
        <v>12.699999809265099</v>
      </c>
      <c r="S1142">
        <v>9.5</v>
      </c>
      <c r="T1142">
        <v>14.7127065658569</v>
      </c>
      <c r="U1142">
        <v>32.226730346679702</v>
      </c>
      <c r="V1142">
        <v>470999.96875</v>
      </c>
      <c r="W1142">
        <v>7.1837701797485396</v>
      </c>
      <c r="X1142">
        <v>0.18000000715255701</v>
      </c>
      <c r="Y1142">
        <v>11</v>
      </c>
      <c r="Z1142">
        <v>8.0575542449951207</v>
      </c>
      <c r="AA1142">
        <v>18150000</v>
      </c>
      <c r="AB1142" t="s">
        <v>194</v>
      </c>
      <c r="AC1142" t="s">
        <v>555</v>
      </c>
      <c r="AD1142">
        <v>0.20000000298023199</v>
      </c>
      <c r="AE1142">
        <v>32.209728240966797</v>
      </c>
      <c r="AF1142">
        <v>6.0176081872841198</v>
      </c>
      <c r="AG1142">
        <v>18163000</v>
      </c>
      <c r="AH1142">
        <v>10.152982711791999</v>
      </c>
      <c r="AI1142">
        <v>7.4597511291503897</v>
      </c>
    </row>
    <row r="1143" spans="1:35">
      <c r="A1143">
        <f t="shared" si="150"/>
        <v>1</v>
      </c>
      <c r="B1143">
        <f t="shared" si="151"/>
        <v>1</v>
      </c>
      <c r="C1143">
        <f t="shared" si="152"/>
        <v>1</v>
      </c>
      <c r="D1143">
        <f t="shared" si="153"/>
        <v>0</v>
      </c>
      <c r="E1143">
        <f t="shared" si="154"/>
        <v>0</v>
      </c>
      <c r="F1143">
        <f t="shared" si="155"/>
        <v>1</v>
      </c>
      <c r="G1143">
        <f t="shared" si="156"/>
        <v>0</v>
      </c>
      <c r="H1143">
        <v>0</v>
      </c>
      <c r="I1143">
        <f t="shared" si="157"/>
        <v>0</v>
      </c>
      <c r="J1143">
        <f t="shared" si="149"/>
        <v>18.80638837814335</v>
      </c>
      <c r="K1143" t="s">
        <v>1239</v>
      </c>
      <c r="L1143" t="s">
        <v>1240</v>
      </c>
      <c r="M1143" t="s">
        <v>27</v>
      </c>
      <c r="N1143" t="s">
        <v>27</v>
      </c>
      <c r="O1143">
        <v>8.39</v>
      </c>
      <c r="P1143">
        <v>6.5747981071472203</v>
      </c>
      <c r="Q1143">
        <v>7.8727269172668501</v>
      </c>
      <c r="R1143">
        <v>8.8400001525878906</v>
      </c>
      <c r="S1143">
        <v>7.8829848009229497</v>
      </c>
      <c r="T1143">
        <v>46.515110015869098</v>
      </c>
      <c r="U1143" t="s">
        <v>27</v>
      </c>
      <c r="V1143">
        <v>29742000</v>
      </c>
      <c r="W1143">
        <v>3.7844469547271702</v>
      </c>
      <c r="X1143">
        <v>0.230000004172325</v>
      </c>
      <c r="Y1143">
        <v>10.6666669845581</v>
      </c>
      <c r="Z1143">
        <v>10.9336614608765</v>
      </c>
      <c r="AA1143">
        <v>131949008</v>
      </c>
      <c r="AB1143" t="s">
        <v>83</v>
      </c>
      <c r="AC1143" t="s">
        <v>84</v>
      </c>
      <c r="AD1143">
        <v>0.109999999403954</v>
      </c>
      <c r="AE1143" t="s">
        <v>27</v>
      </c>
      <c r="AF1143">
        <v>10.282238159764701</v>
      </c>
      <c r="AG1143">
        <v>129479992</v>
      </c>
      <c r="AH1143">
        <v>38.653224945068402</v>
      </c>
      <c r="AI1143">
        <v>4.8611321449279803</v>
      </c>
    </row>
    <row r="1144" spans="1:35">
      <c r="A1144">
        <f t="shared" si="150"/>
        <v>0</v>
      </c>
      <c r="B1144">
        <f t="shared" si="151"/>
        <v>0</v>
      </c>
      <c r="C1144">
        <f t="shared" si="152"/>
        <v>0</v>
      </c>
      <c r="D1144">
        <f t="shared" si="153"/>
        <v>0</v>
      </c>
      <c r="E1144">
        <f t="shared" si="154"/>
        <v>0</v>
      </c>
      <c r="F1144">
        <f t="shared" si="155"/>
        <v>1</v>
      </c>
      <c r="G1144">
        <f t="shared" si="156"/>
        <v>1</v>
      </c>
      <c r="H1144">
        <v>0</v>
      </c>
      <c r="I1144">
        <f t="shared" si="157"/>
        <v>0</v>
      </c>
      <c r="J1144">
        <f t="shared" si="149"/>
        <v>18.795793533325202</v>
      </c>
      <c r="K1144" t="s">
        <v>3577</v>
      </c>
      <c r="L1144" t="s">
        <v>3578</v>
      </c>
      <c r="M1144" t="s">
        <v>27</v>
      </c>
      <c r="N1144" t="s">
        <v>27</v>
      </c>
      <c r="O1144">
        <v>4.6500000000000004</v>
      </c>
      <c r="P1144">
        <v>12.9899454116821</v>
      </c>
      <c r="Q1144">
        <v>9.5922536849975604</v>
      </c>
      <c r="R1144">
        <v>21.200000762939499</v>
      </c>
      <c r="S1144">
        <v>15.0625</v>
      </c>
      <c r="T1144">
        <v>48.182651519775398</v>
      </c>
      <c r="U1144">
        <v>27.970823287963899</v>
      </c>
      <c r="V1144">
        <v>-1830999.875</v>
      </c>
      <c r="W1144">
        <v>5.9193449020385698</v>
      </c>
      <c r="X1144">
        <v>0.55000001192092896</v>
      </c>
      <c r="Y1144">
        <v>13.764705657959</v>
      </c>
      <c r="Z1144">
        <v>9.2035398483276403</v>
      </c>
      <c r="AA1144">
        <v>7638000</v>
      </c>
      <c r="AB1144" t="s">
        <v>27</v>
      </c>
      <c r="AC1144" t="s">
        <v>27</v>
      </c>
      <c r="AD1144">
        <v>0.28000000119209301</v>
      </c>
      <c r="AE1144">
        <v>29.337675094604499</v>
      </c>
      <c r="AF1144">
        <v>3.16654542626011</v>
      </c>
      <c r="AG1144">
        <v>7697000</v>
      </c>
      <c r="AH1144">
        <v>48.932510375976598</v>
      </c>
      <c r="AI1144">
        <v>3.6741909980773899</v>
      </c>
    </row>
    <row r="1145" spans="1:35">
      <c r="A1145">
        <f t="shared" si="150"/>
        <v>0</v>
      </c>
      <c r="B1145">
        <f t="shared" si="151"/>
        <v>1</v>
      </c>
      <c r="C1145">
        <f t="shared" si="152"/>
        <v>1</v>
      </c>
      <c r="D1145">
        <f t="shared" si="153"/>
        <v>0</v>
      </c>
      <c r="E1145">
        <f t="shared" si="154"/>
        <v>0</v>
      </c>
      <c r="F1145">
        <f t="shared" si="155"/>
        <v>1</v>
      </c>
      <c r="G1145">
        <f t="shared" si="156"/>
        <v>1</v>
      </c>
      <c r="H1145">
        <v>0</v>
      </c>
      <c r="I1145">
        <f t="shared" si="157"/>
        <v>0</v>
      </c>
      <c r="J1145">
        <f t="shared" si="149"/>
        <v>18.782935738563591</v>
      </c>
      <c r="K1145" t="s">
        <v>2819</v>
      </c>
      <c r="L1145" t="s">
        <v>2820</v>
      </c>
      <c r="M1145" t="s">
        <v>27</v>
      </c>
      <c r="N1145" t="s">
        <v>27</v>
      </c>
      <c r="O1145">
        <v>2.4</v>
      </c>
      <c r="P1145">
        <v>21.367876052856399</v>
      </c>
      <c r="Q1145">
        <v>17.363580703735401</v>
      </c>
      <c r="R1145">
        <v>7.1300001144409197</v>
      </c>
      <c r="S1145">
        <v>8</v>
      </c>
      <c r="T1145">
        <v>0</v>
      </c>
      <c r="U1145">
        <v>67.294639587402301</v>
      </c>
      <c r="V1145" t="s">
        <v>27</v>
      </c>
      <c r="W1145">
        <v>8.3484573364257795</v>
      </c>
      <c r="X1145">
        <v>7.9999998211860698E-2</v>
      </c>
      <c r="Y1145">
        <v>2.6666669845581099</v>
      </c>
      <c r="Z1145">
        <v>1.41935503482819</v>
      </c>
      <c r="AA1145">
        <v>27493244</v>
      </c>
      <c r="AB1145" t="s">
        <v>30</v>
      </c>
      <c r="AC1145" t="s">
        <v>92</v>
      </c>
      <c r="AD1145">
        <v>5.9999998658895499E-2</v>
      </c>
      <c r="AE1145">
        <v>72.359359741210895</v>
      </c>
      <c r="AF1145" t="s">
        <v>27</v>
      </c>
      <c r="AG1145">
        <v>28146530</v>
      </c>
      <c r="AH1145">
        <v>0.23759099841117901</v>
      </c>
      <c r="AI1145">
        <v>15.598115921020501</v>
      </c>
    </row>
    <row r="1146" spans="1:35">
      <c r="A1146">
        <f t="shared" si="150"/>
        <v>1</v>
      </c>
      <c r="B1146">
        <f t="shared" si="151"/>
        <v>1</v>
      </c>
      <c r="C1146">
        <f t="shared" si="152"/>
        <v>0</v>
      </c>
      <c r="D1146">
        <f t="shared" si="153"/>
        <v>0</v>
      </c>
      <c r="E1146">
        <f t="shared" si="154"/>
        <v>0</v>
      </c>
      <c r="F1146">
        <f t="shared" si="155"/>
        <v>1</v>
      </c>
      <c r="G1146">
        <f t="shared" si="156"/>
        <v>0</v>
      </c>
      <c r="H1146">
        <v>0</v>
      </c>
      <c r="I1146">
        <f t="shared" si="157"/>
        <v>1</v>
      </c>
      <c r="J1146">
        <f t="shared" si="149"/>
        <v>18.78134870529178</v>
      </c>
      <c r="K1146" t="s">
        <v>3847</v>
      </c>
      <c r="L1146" t="s">
        <v>3848</v>
      </c>
      <c r="M1146" t="s">
        <v>27</v>
      </c>
      <c r="N1146" t="s">
        <v>27</v>
      </c>
      <c r="O1146">
        <v>20.04</v>
      </c>
      <c r="P1146" t="s">
        <v>27</v>
      </c>
      <c r="Q1146">
        <v>6.2643418312072798</v>
      </c>
      <c r="R1146">
        <v>17.2399997711182</v>
      </c>
      <c r="S1146">
        <v>20</v>
      </c>
      <c r="T1146">
        <v>27.186307907104499</v>
      </c>
      <c r="U1146">
        <v>56.344776153564503</v>
      </c>
      <c r="V1146">
        <v>-23360004</v>
      </c>
      <c r="W1146">
        <v>-2.99766993522644</v>
      </c>
      <c r="X1146">
        <v>0.62000000476837203</v>
      </c>
      <c r="Y1146" t="s">
        <v>27</v>
      </c>
      <c r="Z1146">
        <v>12.517006874084499</v>
      </c>
      <c r="AA1146">
        <v>30884000</v>
      </c>
      <c r="AB1146" t="s">
        <v>27</v>
      </c>
      <c r="AC1146" t="s">
        <v>27</v>
      </c>
      <c r="AD1146">
        <v>0.259999990463257</v>
      </c>
      <c r="AE1146">
        <v>28.071580886840799</v>
      </c>
      <c r="AF1146">
        <v>9.8995382377004404</v>
      </c>
      <c r="AG1146">
        <v>52037000</v>
      </c>
      <c r="AH1146">
        <v>24.891706466674801</v>
      </c>
      <c r="AI1146">
        <v>10.5758724212646</v>
      </c>
    </row>
    <row r="1147" spans="1:35">
      <c r="A1147">
        <f t="shared" si="150"/>
        <v>1</v>
      </c>
      <c r="B1147">
        <f t="shared" si="151"/>
        <v>0</v>
      </c>
      <c r="C1147">
        <f t="shared" si="152"/>
        <v>0</v>
      </c>
      <c r="D1147">
        <f t="shared" si="153"/>
        <v>1</v>
      </c>
      <c r="E1147">
        <f t="shared" si="154"/>
        <v>0</v>
      </c>
      <c r="F1147">
        <f t="shared" si="155"/>
        <v>1</v>
      </c>
      <c r="G1147">
        <f t="shared" si="156"/>
        <v>1</v>
      </c>
      <c r="H1147">
        <v>0</v>
      </c>
      <c r="I1147">
        <f t="shared" si="157"/>
        <v>0</v>
      </c>
      <c r="J1147">
        <f t="shared" si="149"/>
        <v>18.77140522003177</v>
      </c>
      <c r="K1147" t="s">
        <v>2456</v>
      </c>
      <c r="L1147" t="s">
        <v>2457</v>
      </c>
      <c r="M1147" t="s">
        <v>27</v>
      </c>
      <c r="N1147" t="s">
        <v>27</v>
      </c>
      <c r="O1147">
        <v>15.28</v>
      </c>
      <c r="P1147">
        <v>7.6761450767517099</v>
      </c>
      <c r="Q1147">
        <v>7.3047380447387704</v>
      </c>
      <c r="R1147">
        <v>15.9799995422363</v>
      </c>
      <c r="S1147">
        <v>11.25</v>
      </c>
      <c r="T1147">
        <v>44.060817718505902</v>
      </c>
      <c r="U1147">
        <v>16.459611892700199</v>
      </c>
      <c r="V1147">
        <v>-5974000</v>
      </c>
      <c r="W1147">
        <v>5.5076260566711399</v>
      </c>
      <c r="X1147">
        <v>0.40999999642372098</v>
      </c>
      <c r="Y1147">
        <v>15.822221755981399</v>
      </c>
      <c r="Z1147">
        <v>11.466667175293001</v>
      </c>
      <c r="AA1147">
        <v>6487000</v>
      </c>
      <c r="AB1147" t="s">
        <v>61</v>
      </c>
      <c r="AC1147" t="s">
        <v>131</v>
      </c>
      <c r="AD1147">
        <v>0.519999980926514</v>
      </c>
      <c r="AE1147">
        <v>19.563957214355501</v>
      </c>
      <c r="AF1147">
        <v>7.2035951443303201</v>
      </c>
      <c r="AG1147">
        <v>6510000</v>
      </c>
      <c r="AH1147">
        <v>32.343708038330099</v>
      </c>
      <c r="AI1147">
        <v>4.02349901199341</v>
      </c>
    </row>
    <row r="1148" spans="1:35">
      <c r="A1148">
        <f t="shared" si="150"/>
        <v>1</v>
      </c>
      <c r="B1148">
        <f t="shared" si="151"/>
        <v>1</v>
      </c>
      <c r="C1148">
        <f t="shared" si="152"/>
        <v>1</v>
      </c>
      <c r="D1148">
        <f t="shared" si="153"/>
        <v>1</v>
      </c>
      <c r="E1148">
        <f t="shared" si="154"/>
        <v>0</v>
      </c>
      <c r="F1148">
        <f t="shared" si="155"/>
        <v>1</v>
      </c>
      <c r="G1148">
        <f t="shared" si="156"/>
        <v>0</v>
      </c>
      <c r="H1148">
        <v>0</v>
      </c>
      <c r="I1148">
        <f t="shared" si="157"/>
        <v>1</v>
      </c>
      <c r="J1148">
        <f t="shared" si="149"/>
        <v>18.748670578002951</v>
      </c>
      <c r="K1148" t="s">
        <v>3561</v>
      </c>
      <c r="L1148" t="s">
        <v>3562</v>
      </c>
      <c r="M1148" t="s">
        <v>27</v>
      </c>
      <c r="N1148" t="s">
        <v>27</v>
      </c>
      <c r="O1148">
        <v>25.68</v>
      </c>
      <c r="P1148">
        <v>11.4359378814697</v>
      </c>
      <c r="Q1148">
        <v>11.1320905685425</v>
      </c>
      <c r="R1148">
        <v>18.950000762939499</v>
      </c>
      <c r="S1148">
        <v>15.75</v>
      </c>
      <c r="T1148">
        <v>6.1423249244689897</v>
      </c>
      <c r="U1148" t="s">
        <v>27</v>
      </c>
      <c r="V1148">
        <v>3352000</v>
      </c>
      <c r="W1148">
        <v>1.24664199352264</v>
      </c>
      <c r="X1148">
        <v>0.40000000596046398</v>
      </c>
      <c r="Y1148">
        <v>9.9849624633789098</v>
      </c>
      <c r="Z1148">
        <v>7.6165800094604501</v>
      </c>
      <c r="AA1148">
        <v>7208000</v>
      </c>
      <c r="AB1148" t="s">
        <v>34</v>
      </c>
      <c r="AC1148" t="s">
        <v>35</v>
      </c>
      <c r="AD1148">
        <v>0.46000000834464999</v>
      </c>
      <c r="AE1148" t="s">
        <v>27</v>
      </c>
      <c r="AF1148" t="s">
        <v>27</v>
      </c>
      <c r="AG1148">
        <v>7018000</v>
      </c>
      <c r="AH1148">
        <v>3.3090400695800799</v>
      </c>
      <c r="AI1148">
        <v>1.3309309482574501</v>
      </c>
    </row>
    <row r="1149" spans="1:35">
      <c r="A1149">
        <f t="shared" si="150"/>
        <v>1</v>
      </c>
      <c r="B1149">
        <f t="shared" si="151"/>
        <v>1</v>
      </c>
      <c r="C1149">
        <f t="shared" si="152"/>
        <v>1</v>
      </c>
      <c r="D1149">
        <f t="shared" si="153"/>
        <v>0</v>
      </c>
      <c r="E1149">
        <f t="shared" si="154"/>
        <v>0</v>
      </c>
      <c r="F1149">
        <f t="shared" si="155"/>
        <v>1</v>
      </c>
      <c r="G1149">
        <f t="shared" si="156"/>
        <v>0</v>
      </c>
      <c r="H1149">
        <v>0</v>
      </c>
      <c r="I1149">
        <f t="shared" si="157"/>
        <v>0</v>
      </c>
      <c r="J1149">
        <f t="shared" si="149"/>
        <v>18.745052337646442</v>
      </c>
      <c r="K1149" t="s">
        <v>486</v>
      </c>
      <c r="L1149" t="s">
        <v>487</v>
      </c>
      <c r="M1149" t="s">
        <v>27</v>
      </c>
      <c r="N1149" t="s">
        <v>27</v>
      </c>
      <c r="O1149">
        <v>25.36</v>
      </c>
      <c r="P1149">
        <v>14.5698490142822</v>
      </c>
      <c r="Q1149">
        <v>10.049400329589799</v>
      </c>
      <c r="R1149">
        <v>24.200000762939499</v>
      </c>
      <c r="S1149">
        <v>19.809999465942401</v>
      </c>
      <c r="T1149">
        <v>48.5438423156738</v>
      </c>
      <c r="U1149" t="s">
        <v>27</v>
      </c>
      <c r="V1149">
        <v>9824999</v>
      </c>
      <c r="W1149">
        <v>6.2776927947998002</v>
      </c>
      <c r="X1149">
        <v>1.53999996185303</v>
      </c>
      <c r="Y1149">
        <v>17.083076477050799</v>
      </c>
      <c r="Z1149">
        <v>8.6956520080566406</v>
      </c>
      <c r="AA1149">
        <v>17665000</v>
      </c>
      <c r="AB1149" t="s">
        <v>27</v>
      </c>
      <c r="AC1149" t="s">
        <v>27</v>
      </c>
      <c r="AD1149">
        <v>0.5</v>
      </c>
      <c r="AE1149" t="s">
        <v>27</v>
      </c>
      <c r="AF1149">
        <v>11.4700203737591</v>
      </c>
      <c r="AG1149">
        <v>16629999</v>
      </c>
      <c r="AH1149">
        <v>37.274478912353501</v>
      </c>
      <c r="AI1149">
        <v>10.4301853179932</v>
      </c>
    </row>
    <row r="1150" spans="1:35">
      <c r="A1150">
        <f t="shared" si="150"/>
        <v>0</v>
      </c>
      <c r="B1150">
        <f t="shared" si="151"/>
        <v>1</v>
      </c>
      <c r="C1150">
        <f t="shared" si="152"/>
        <v>1</v>
      </c>
      <c r="D1150">
        <f t="shared" si="153"/>
        <v>0</v>
      </c>
      <c r="E1150">
        <f t="shared" si="154"/>
        <v>0</v>
      </c>
      <c r="F1150">
        <f t="shared" si="155"/>
        <v>1</v>
      </c>
      <c r="G1150">
        <f t="shared" si="156"/>
        <v>0</v>
      </c>
      <c r="H1150">
        <v>0</v>
      </c>
      <c r="I1150">
        <f t="shared" si="157"/>
        <v>0</v>
      </c>
      <c r="J1150">
        <f t="shared" si="149"/>
        <v>18.72189188003539</v>
      </c>
      <c r="K1150" t="s">
        <v>2670</v>
      </c>
      <c r="L1150" t="s">
        <v>2671</v>
      </c>
      <c r="M1150" t="s">
        <v>27</v>
      </c>
      <c r="N1150" t="s">
        <v>27</v>
      </c>
      <c r="O1150">
        <v>11.47</v>
      </c>
      <c r="P1150">
        <v>13.366854667663601</v>
      </c>
      <c r="Q1150">
        <v>10.830781936645501</v>
      </c>
      <c r="R1150">
        <v>15.2299995422363</v>
      </c>
      <c r="S1150">
        <v>19.125</v>
      </c>
      <c r="T1150">
        <v>0.83913099765777599</v>
      </c>
      <c r="U1150">
        <v>36.241382598877003</v>
      </c>
      <c r="V1150">
        <v>9700999</v>
      </c>
      <c r="W1150">
        <v>9.3461523056030291</v>
      </c>
      <c r="X1150">
        <v>0.43500000238418601</v>
      </c>
      <c r="Y1150">
        <v>9.2151899337768608</v>
      </c>
      <c r="Z1150">
        <v>7.8911099433898899</v>
      </c>
      <c r="AA1150">
        <v>17180000</v>
      </c>
      <c r="AB1150" t="s">
        <v>27</v>
      </c>
      <c r="AC1150" t="s">
        <v>27</v>
      </c>
      <c r="AD1150">
        <v>5.0000000745058101E-2</v>
      </c>
      <c r="AE1150">
        <v>30.328275680541999</v>
      </c>
      <c r="AF1150">
        <v>21.450938720337799</v>
      </c>
      <c r="AG1150">
        <v>17315000</v>
      </c>
      <c r="AH1150">
        <v>7.91707515716553</v>
      </c>
      <c r="AI1150">
        <v>13.346940994262701</v>
      </c>
    </row>
    <row r="1151" spans="1:35">
      <c r="A1151">
        <f t="shared" si="150"/>
        <v>1</v>
      </c>
      <c r="B1151">
        <f t="shared" si="151"/>
        <v>0</v>
      </c>
      <c r="C1151">
        <f t="shared" si="152"/>
        <v>1</v>
      </c>
      <c r="D1151">
        <f t="shared" si="153"/>
        <v>1</v>
      </c>
      <c r="E1151">
        <f t="shared" si="154"/>
        <v>0</v>
      </c>
      <c r="F1151">
        <f t="shared" si="155"/>
        <v>1</v>
      </c>
      <c r="G1151">
        <f t="shared" si="156"/>
        <v>0</v>
      </c>
      <c r="H1151">
        <v>0</v>
      </c>
      <c r="I1151">
        <f t="shared" si="157"/>
        <v>0</v>
      </c>
      <c r="J1151">
        <f t="shared" si="149"/>
        <v>18.65101432800293</v>
      </c>
      <c r="K1151" t="s">
        <v>2672</v>
      </c>
      <c r="L1151" t="s">
        <v>2673</v>
      </c>
      <c r="M1151" t="s">
        <v>27</v>
      </c>
      <c r="N1151" t="s">
        <v>27</v>
      </c>
      <c r="O1151">
        <v>16.3</v>
      </c>
      <c r="P1151">
        <v>9.1056938171386701</v>
      </c>
      <c r="Q1151">
        <v>9.9924774169921893</v>
      </c>
      <c r="R1151">
        <v>16.190000534057599</v>
      </c>
      <c r="S1151">
        <v>6.25</v>
      </c>
      <c r="T1151">
        <v>71.691345214843807</v>
      </c>
      <c r="U1151" t="s">
        <v>27</v>
      </c>
      <c r="V1151">
        <v>9273000</v>
      </c>
      <c r="W1151">
        <v>3.8418300151825</v>
      </c>
      <c r="X1151">
        <v>-1.9999999552965199E-2</v>
      </c>
      <c r="Y1151">
        <v>7.885009765625</v>
      </c>
      <c r="Z1151">
        <v>8.6585369110107404</v>
      </c>
      <c r="AA1151">
        <v>30015940</v>
      </c>
      <c r="AB1151" t="s">
        <v>30</v>
      </c>
      <c r="AC1151" t="s">
        <v>223</v>
      </c>
      <c r="AD1151">
        <v>0.25</v>
      </c>
      <c r="AE1151" t="s">
        <v>27</v>
      </c>
      <c r="AF1151">
        <v>7.7264053762523002</v>
      </c>
      <c r="AG1151">
        <v>30948000</v>
      </c>
      <c r="AH1151">
        <v>69.930534362792997</v>
      </c>
      <c r="AI1151">
        <v>3.8093299865722701</v>
      </c>
    </row>
    <row r="1152" spans="1:35">
      <c r="A1152">
        <f t="shared" si="150"/>
        <v>1</v>
      </c>
      <c r="B1152">
        <f t="shared" si="151"/>
        <v>0</v>
      </c>
      <c r="C1152">
        <f t="shared" si="152"/>
        <v>0</v>
      </c>
      <c r="D1152">
        <f t="shared" si="153"/>
        <v>1</v>
      </c>
      <c r="E1152">
        <f t="shared" si="154"/>
        <v>0</v>
      </c>
      <c r="F1152">
        <f t="shared" si="155"/>
        <v>1</v>
      </c>
      <c r="G1152">
        <f t="shared" si="156"/>
        <v>0</v>
      </c>
      <c r="H1152">
        <v>0</v>
      </c>
      <c r="I1152">
        <f t="shared" si="157"/>
        <v>0</v>
      </c>
      <c r="J1152">
        <f t="shared" si="149"/>
        <v>18.612683773040779</v>
      </c>
      <c r="K1152" t="s">
        <v>1502</v>
      </c>
      <c r="L1152" t="s">
        <v>1503</v>
      </c>
      <c r="M1152" t="s">
        <v>27</v>
      </c>
      <c r="N1152" t="s">
        <v>27</v>
      </c>
      <c r="O1152">
        <v>8.6999999999999993</v>
      </c>
      <c r="P1152">
        <v>11.9841165542603</v>
      </c>
      <c r="Q1152">
        <v>12.045519828796399</v>
      </c>
      <c r="R1152">
        <v>16.649999618530298</v>
      </c>
      <c r="S1152">
        <v>9.1999998092651403</v>
      </c>
      <c r="T1152">
        <v>6.2346639633178702</v>
      </c>
      <c r="U1152" t="s">
        <v>27</v>
      </c>
      <c r="V1152">
        <v>-11192000</v>
      </c>
      <c r="W1152">
        <v>13.0761814117432</v>
      </c>
      <c r="X1152">
        <v>0.109999999403954</v>
      </c>
      <c r="Y1152">
        <v>12.1599998474121</v>
      </c>
      <c r="Z1152">
        <v>6.5671639442443803</v>
      </c>
      <c r="AA1152">
        <v>21013000</v>
      </c>
      <c r="AB1152" t="s">
        <v>83</v>
      </c>
      <c r="AC1152" t="s">
        <v>84</v>
      </c>
      <c r="AD1152">
        <v>0.28000000119209301</v>
      </c>
      <c r="AE1152" t="s">
        <v>27</v>
      </c>
      <c r="AF1152">
        <v>3.9857183641782101</v>
      </c>
      <c r="AG1152">
        <v>21099000</v>
      </c>
      <c r="AH1152">
        <v>0</v>
      </c>
      <c r="AI1152">
        <v>8.2668714523315394</v>
      </c>
    </row>
    <row r="1153" spans="1:35">
      <c r="A1153">
        <f t="shared" si="150"/>
        <v>1</v>
      </c>
      <c r="B1153">
        <f t="shared" si="151"/>
        <v>1</v>
      </c>
      <c r="C1153">
        <f t="shared" si="152"/>
        <v>1</v>
      </c>
      <c r="D1153">
        <f t="shared" si="153"/>
        <v>1</v>
      </c>
      <c r="E1153">
        <f t="shared" si="154"/>
        <v>0</v>
      </c>
      <c r="F1153">
        <f t="shared" si="155"/>
        <v>1</v>
      </c>
      <c r="G1153">
        <f t="shared" si="156"/>
        <v>0</v>
      </c>
      <c r="H1153">
        <v>0</v>
      </c>
      <c r="I1153">
        <f t="shared" si="157"/>
        <v>0</v>
      </c>
      <c r="J1153">
        <f t="shared" si="149"/>
        <v>18.61087512969976</v>
      </c>
      <c r="K1153" t="s">
        <v>2366</v>
      </c>
      <c r="L1153" t="s">
        <v>2367</v>
      </c>
      <c r="M1153" t="s">
        <v>27</v>
      </c>
      <c r="N1153" t="s">
        <v>27</v>
      </c>
      <c r="O1153">
        <v>17.579999999999998</v>
      </c>
      <c r="P1153">
        <v>10.892662048339799</v>
      </c>
      <c r="Q1153">
        <v>11.7882633209229</v>
      </c>
      <c r="R1153">
        <v>17</v>
      </c>
      <c r="S1153">
        <v>9</v>
      </c>
      <c r="T1153">
        <v>24.619544982910199</v>
      </c>
      <c r="U1153" t="s">
        <v>27</v>
      </c>
      <c r="V1153">
        <v>13721000</v>
      </c>
      <c r="W1153">
        <v>3.4215838909149201</v>
      </c>
      <c r="X1153">
        <v>0.21999999880790699</v>
      </c>
      <c r="Y1153">
        <v>23.017543792724599</v>
      </c>
      <c r="Z1153">
        <v>6.8226118087768599</v>
      </c>
      <c r="AA1153">
        <v>11170000</v>
      </c>
      <c r="AB1153" t="s">
        <v>73</v>
      </c>
      <c r="AC1153" t="s">
        <v>210</v>
      </c>
      <c r="AD1153">
        <v>0.31999999284744302</v>
      </c>
      <c r="AE1153" t="s">
        <v>27</v>
      </c>
      <c r="AF1153">
        <v>2.6841920600641802</v>
      </c>
      <c r="AG1153">
        <v>11277000</v>
      </c>
      <c r="AH1153">
        <v>21.0910243988037</v>
      </c>
      <c r="AI1153">
        <v>3.9807860851287802</v>
      </c>
    </row>
    <row r="1154" spans="1:35">
      <c r="A1154">
        <f t="shared" si="150"/>
        <v>1</v>
      </c>
      <c r="B1154">
        <f t="shared" si="151"/>
        <v>1</v>
      </c>
      <c r="C1154">
        <f t="shared" si="152"/>
        <v>1</v>
      </c>
      <c r="D1154">
        <f t="shared" si="153"/>
        <v>0</v>
      </c>
      <c r="E1154">
        <f t="shared" si="154"/>
        <v>0</v>
      </c>
      <c r="F1154">
        <f t="shared" si="155"/>
        <v>1</v>
      </c>
      <c r="G1154">
        <f t="shared" si="156"/>
        <v>1</v>
      </c>
      <c r="H1154">
        <v>0</v>
      </c>
      <c r="I1154">
        <f t="shared" si="157"/>
        <v>1</v>
      </c>
      <c r="J1154">
        <f t="shared" si="149"/>
        <v>18.596101284027071</v>
      </c>
      <c r="K1154" t="s">
        <v>512</v>
      </c>
      <c r="L1154" t="s">
        <v>513</v>
      </c>
      <c r="M1154" t="s">
        <v>27</v>
      </c>
      <c r="N1154" t="s">
        <v>27</v>
      </c>
      <c r="O1154">
        <v>35.4</v>
      </c>
      <c r="P1154">
        <v>8.3610172271728498</v>
      </c>
      <c r="Q1154">
        <v>12.2365274429321</v>
      </c>
      <c r="R1154">
        <v>28.590000152587901</v>
      </c>
      <c r="S1154">
        <v>20.850000381469702</v>
      </c>
      <c r="T1154">
        <v>35.545154571533203</v>
      </c>
      <c r="U1154">
        <v>52.156623840332003</v>
      </c>
      <c r="V1154">
        <v>9665000</v>
      </c>
      <c r="W1154">
        <v>2.26238989830017</v>
      </c>
      <c r="X1154">
        <v>0.56999999284744296</v>
      </c>
      <c r="Y1154">
        <v>2.04353594779968</v>
      </c>
      <c r="Z1154">
        <v>6.3595738410949698</v>
      </c>
      <c r="AA1154">
        <v>24436000</v>
      </c>
      <c r="AB1154" t="s">
        <v>73</v>
      </c>
      <c r="AC1154" t="s">
        <v>177</v>
      </c>
      <c r="AD1154">
        <v>0.28499999642372098</v>
      </c>
      <c r="AE1154">
        <v>57.057346343994098</v>
      </c>
      <c r="AF1154">
        <v>5.7107566189715504</v>
      </c>
      <c r="AG1154">
        <v>24986000</v>
      </c>
      <c r="AH1154">
        <v>30.865550994873001</v>
      </c>
      <c r="AI1154">
        <v>4.7295341491699201</v>
      </c>
    </row>
    <row r="1155" spans="1:35">
      <c r="A1155">
        <f t="shared" si="150"/>
        <v>1</v>
      </c>
      <c r="B1155">
        <f t="shared" si="151"/>
        <v>0</v>
      </c>
      <c r="C1155">
        <f t="shared" si="152"/>
        <v>1</v>
      </c>
      <c r="D1155">
        <f t="shared" si="153"/>
        <v>1</v>
      </c>
      <c r="E1155">
        <f t="shared" si="154"/>
        <v>0</v>
      </c>
      <c r="F1155">
        <f t="shared" si="155"/>
        <v>1</v>
      </c>
      <c r="G1155">
        <f t="shared" si="156"/>
        <v>0</v>
      </c>
      <c r="H1155">
        <v>0</v>
      </c>
      <c r="I1155">
        <f t="shared" si="157"/>
        <v>1</v>
      </c>
      <c r="J1155">
        <f t="shared" si="149"/>
        <v>18.55986213684087</v>
      </c>
      <c r="K1155" t="s">
        <v>2378</v>
      </c>
      <c r="L1155" t="s">
        <v>2379</v>
      </c>
      <c r="M1155" t="s">
        <v>27</v>
      </c>
      <c r="N1155" t="s">
        <v>27</v>
      </c>
      <c r="O1155">
        <v>18.21</v>
      </c>
      <c r="P1155">
        <v>10.4522190093994</v>
      </c>
      <c r="Q1155">
        <v>11.8077249526978</v>
      </c>
      <c r="R1155">
        <v>15.2200002670288</v>
      </c>
      <c r="S1155">
        <v>5.96875</v>
      </c>
      <c r="T1155">
        <v>38.339889526367202</v>
      </c>
      <c r="U1155">
        <v>55.340499877929702</v>
      </c>
      <c r="V1155">
        <v>16470000</v>
      </c>
      <c r="W1155">
        <v>9.0127973556518608</v>
      </c>
      <c r="X1155">
        <v>9.9999997764825804E-3</v>
      </c>
      <c r="Y1155">
        <v>12.842104911804199</v>
      </c>
      <c r="Z1155">
        <v>6.75213718414307</v>
      </c>
      <c r="AA1155">
        <v>65904000</v>
      </c>
      <c r="AB1155" t="s">
        <v>27</v>
      </c>
      <c r="AC1155" t="s">
        <v>27</v>
      </c>
      <c r="AD1155">
        <v>0.17000000178813901</v>
      </c>
      <c r="AE1155">
        <v>53.084751129150398</v>
      </c>
      <c r="AF1155">
        <v>7.4395767434654596</v>
      </c>
      <c r="AG1155">
        <v>65730004</v>
      </c>
      <c r="AH1155">
        <v>37.825942993164098</v>
      </c>
      <c r="AI1155">
        <v>6.3906412124633798</v>
      </c>
    </row>
    <row r="1156" spans="1:35">
      <c r="A1156">
        <f t="shared" si="150"/>
        <v>0</v>
      </c>
      <c r="B1156">
        <f t="shared" si="151"/>
        <v>1</v>
      </c>
      <c r="C1156">
        <f t="shared" si="152"/>
        <v>1</v>
      </c>
      <c r="D1156">
        <f t="shared" si="153"/>
        <v>1</v>
      </c>
      <c r="E1156">
        <f t="shared" si="154"/>
        <v>0</v>
      </c>
      <c r="F1156">
        <f t="shared" si="155"/>
        <v>1</v>
      </c>
      <c r="G1156">
        <f t="shared" si="156"/>
        <v>0</v>
      </c>
      <c r="H1156">
        <v>0</v>
      </c>
      <c r="I1156">
        <f t="shared" si="157"/>
        <v>1</v>
      </c>
      <c r="J1156">
        <f t="shared" si="149"/>
        <v>18.535523414611802</v>
      </c>
      <c r="K1156" t="s">
        <v>2124</v>
      </c>
      <c r="L1156" t="s">
        <v>2125</v>
      </c>
      <c r="M1156" t="s">
        <v>27</v>
      </c>
      <c r="N1156" t="s">
        <v>27</v>
      </c>
      <c r="O1156">
        <v>22.89</v>
      </c>
      <c r="P1156">
        <v>8.1038026809692401</v>
      </c>
      <c r="Q1156">
        <v>7.7993278503418004</v>
      </c>
      <c r="R1156">
        <v>17.238095601399699</v>
      </c>
      <c r="S1156">
        <v>13.832199546485301</v>
      </c>
      <c r="T1156">
        <v>5.4971818923950204</v>
      </c>
      <c r="U1156" t="s">
        <v>27</v>
      </c>
      <c r="V1156">
        <v>804000</v>
      </c>
      <c r="W1156">
        <v>0.83459001779556297</v>
      </c>
      <c r="X1156">
        <v>0.36281178005569897</v>
      </c>
      <c r="Y1156">
        <v>10.470399856567401</v>
      </c>
      <c r="Z1156">
        <v>10.73619556427</v>
      </c>
      <c r="AA1156">
        <v>6799889.25</v>
      </c>
      <c r="AB1156" t="s">
        <v>34</v>
      </c>
      <c r="AC1156" t="s">
        <v>35</v>
      </c>
      <c r="AD1156">
        <v>0.417233567659547</v>
      </c>
      <c r="AE1156" t="s">
        <v>27</v>
      </c>
      <c r="AF1156" t="s">
        <v>27</v>
      </c>
      <c r="AG1156">
        <v>6825577.5</v>
      </c>
      <c r="AH1156">
        <v>6.3275489807128897</v>
      </c>
      <c r="AI1156">
        <v>0.84685897827148404</v>
      </c>
    </row>
    <row r="1157" spans="1:35">
      <c r="A1157">
        <f t="shared" si="150"/>
        <v>1</v>
      </c>
      <c r="B1157">
        <f t="shared" si="151"/>
        <v>0</v>
      </c>
      <c r="C1157">
        <f t="shared" si="152"/>
        <v>1</v>
      </c>
      <c r="D1157">
        <f t="shared" si="153"/>
        <v>0</v>
      </c>
      <c r="E1157">
        <f t="shared" si="154"/>
        <v>0</v>
      </c>
      <c r="F1157">
        <f t="shared" si="155"/>
        <v>1</v>
      </c>
      <c r="G1157">
        <f t="shared" si="156"/>
        <v>0</v>
      </c>
      <c r="H1157">
        <v>0</v>
      </c>
      <c r="I1157">
        <f t="shared" si="157"/>
        <v>0</v>
      </c>
      <c r="J1157">
        <f t="shared" si="149"/>
        <v>18.533485889434811</v>
      </c>
      <c r="K1157" t="s">
        <v>3715</v>
      </c>
      <c r="L1157" t="s">
        <v>3716</v>
      </c>
      <c r="M1157" t="s">
        <v>27</v>
      </c>
      <c r="N1157" t="s">
        <v>27</v>
      </c>
      <c r="O1157">
        <v>29.15</v>
      </c>
      <c r="P1157">
        <v>15.194684982299799</v>
      </c>
      <c r="Q1157">
        <v>13.4706916809082</v>
      </c>
      <c r="R1157">
        <v>35.200000762939503</v>
      </c>
      <c r="S1157">
        <v>45.0625</v>
      </c>
      <c r="T1157">
        <v>10.130407333374</v>
      </c>
      <c r="U1157">
        <v>37.4437065124512</v>
      </c>
      <c r="V1157">
        <v>11309000</v>
      </c>
      <c r="W1157">
        <v>9.0384712219238299</v>
      </c>
      <c r="X1157">
        <v>0.37999999523162797</v>
      </c>
      <c r="Y1157">
        <v>2.9956459999084499</v>
      </c>
      <c r="Z1157">
        <v>5.0627942085266104</v>
      </c>
      <c r="AA1157">
        <v>32834000</v>
      </c>
      <c r="AB1157" t="s">
        <v>27</v>
      </c>
      <c r="AC1157" t="s">
        <v>27</v>
      </c>
      <c r="AD1157">
        <v>0.34000000357627902</v>
      </c>
      <c r="AE1157">
        <v>36.649463653564503</v>
      </c>
      <c r="AF1157">
        <v>9.1149473754190709</v>
      </c>
      <c r="AG1157">
        <v>33224000</v>
      </c>
      <c r="AH1157">
        <v>8.23950290679932</v>
      </c>
      <c r="AI1157">
        <v>6.8773469924926802</v>
      </c>
    </row>
    <row r="1158" spans="1:35">
      <c r="A1158">
        <f t="shared" si="150"/>
        <v>1</v>
      </c>
      <c r="B1158">
        <f t="shared" si="151"/>
        <v>1</v>
      </c>
      <c r="C1158">
        <f t="shared" si="152"/>
        <v>1</v>
      </c>
      <c r="D1158">
        <f t="shared" si="153"/>
        <v>0</v>
      </c>
      <c r="E1158">
        <f t="shared" si="154"/>
        <v>0</v>
      </c>
      <c r="F1158">
        <f t="shared" si="155"/>
        <v>1</v>
      </c>
      <c r="G1158">
        <f t="shared" si="156"/>
        <v>1</v>
      </c>
      <c r="H1158">
        <v>0</v>
      </c>
      <c r="I1158">
        <f t="shared" si="157"/>
        <v>1</v>
      </c>
      <c r="J1158">
        <f t="shared" si="149"/>
        <v>18.527345180511471</v>
      </c>
      <c r="K1158" t="s">
        <v>3300</v>
      </c>
      <c r="L1158" t="s">
        <v>3301</v>
      </c>
      <c r="M1158" t="s">
        <v>27</v>
      </c>
      <c r="N1158" t="s">
        <v>27</v>
      </c>
      <c r="O1158">
        <v>27.13</v>
      </c>
      <c r="P1158">
        <v>19.736366271972699</v>
      </c>
      <c r="Q1158">
        <v>12.352388381958001</v>
      </c>
      <c r="R1158">
        <v>18.100000381469702</v>
      </c>
      <c r="S1158">
        <v>18.399999618530298</v>
      </c>
      <c r="T1158">
        <v>5.4325652122497603</v>
      </c>
      <c r="U1158">
        <v>22.972240447998001</v>
      </c>
      <c r="V1158">
        <v>2403999.25</v>
      </c>
      <c r="W1158">
        <v>14.339669227600099</v>
      </c>
      <c r="X1158">
        <v>0.34999999403953602</v>
      </c>
      <c r="Y1158">
        <v>4.4482760429382298</v>
      </c>
      <c r="Z1158">
        <v>6.1749567985534703</v>
      </c>
      <c r="AA1158">
        <v>14033000</v>
      </c>
      <c r="AB1158" t="s">
        <v>38</v>
      </c>
      <c r="AC1158" t="s">
        <v>628</v>
      </c>
      <c r="AD1158">
        <v>0.18999999761581399</v>
      </c>
      <c r="AE1158">
        <v>23.728815078735401</v>
      </c>
      <c r="AF1158">
        <v>9.2754024301461708</v>
      </c>
      <c r="AG1158">
        <v>14083000</v>
      </c>
      <c r="AH1158">
        <v>4.4492840766906703</v>
      </c>
      <c r="AI1158">
        <v>17.361143112182599</v>
      </c>
    </row>
    <row r="1159" spans="1:35">
      <c r="A1159">
        <f t="shared" si="150"/>
        <v>0</v>
      </c>
      <c r="B1159">
        <f t="shared" si="151"/>
        <v>1</v>
      </c>
      <c r="C1159">
        <f t="shared" si="152"/>
        <v>1</v>
      </c>
      <c r="D1159">
        <f t="shared" si="153"/>
        <v>1</v>
      </c>
      <c r="E1159">
        <f t="shared" si="154"/>
        <v>0</v>
      </c>
      <c r="F1159">
        <f t="shared" si="155"/>
        <v>1</v>
      </c>
      <c r="G1159">
        <f t="shared" si="156"/>
        <v>1</v>
      </c>
      <c r="H1159">
        <v>0</v>
      </c>
      <c r="I1159">
        <f t="shared" si="157"/>
        <v>1</v>
      </c>
      <c r="J1159">
        <f t="shared" si="149"/>
        <v>18.516971349716179</v>
      </c>
      <c r="K1159" t="s">
        <v>1708</v>
      </c>
      <c r="L1159" t="s">
        <v>1709</v>
      </c>
      <c r="M1159" t="s">
        <v>27</v>
      </c>
      <c r="N1159" t="s">
        <v>27</v>
      </c>
      <c r="O1159">
        <v>36.409999999999997</v>
      </c>
      <c r="P1159">
        <v>13.4846277236938</v>
      </c>
      <c r="Q1159">
        <v>14.716971397399901</v>
      </c>
      <c r="R1159">
        <v>30.8333333333333</v>
      </c>
      <c r="S1159">
        <v>18.75</v>
      </c>
      <c r="T1159">
        <v>0</v>
      </c>
      <c r="U1159">
        <v>52.838088989257798</v>
      </c>
      <c r="V1159">
        <v>6770000</v>
      </c>
      <c r="W1159">
        <v>13.6780796051025</v>
      </c>
      <c r="X1159">
        <v>0.16666666666666699</v>
      </c>
      <c r="Y1159">
        <v>4.8309178352356001</v>
      </c>
      <c r="Z1159">
        <v>3.7999999523162802</v>
      </c>
      <c r="AA1159">
        <v>12579150</v>
      </c>
      <c r="AB1159" t="s">
        <v>73</v>
      </c>
      <c r="AC1159" t="s">
        <v>74</v>
      </c>
      <c r="AD1159">
        <v>0.259999990463257</v>
      </c>
      <c r="AE1159">
        <v>57.647712707519503</v>
      </c>
      <c r="AF1159">
        <v>12.8531044207086</v>
      </c>
      <c r="AG1159">
        <v>12955500</v>
      </c>
      <c r="AH1159">
        <v>0</v>
      </c>
      <c r="AI1159">
        <v>14.014646530151399</v>
      </c>
    </row>
    <row r="1160" spans="1:35">
      <c r="A1160">
        <f t="shared" si="150"/>
        <v>0</v>
      </c>
      <c r="B1160">
        <f t="shared" si="151"/>
        <v>1</v>
      </c>
      <c r="C1160">
        <f t="shared" si="152"/>
        <v>1</v>
      </c>
      <c r="D1160">
        <f t="shared" si="153"/>
        <v>0</v>
      </c>
      <c r="E1160">
        <f t="shared" si="154"/>
        <v>0</v>
      </c>
      <c r="F1160">
        <f t="shared" si="155"/>
        <v>1</v>
      </c>
      <c r="G1160">
        <f t="shared" si="156"/>
        <v>0</v>
      </c>
      <c r="H1160">
        <v>0</v>
      </c>
      <c r="I1160">
        <f t="shared" si="157"/>
        <v>0</v>
      </c>
      <c r="J1160">
        <f t="shared" si="149"/>
        <v>18.51250934600829</v>
      </c>
      <c r="K1160" t="s">
        <v>2851</v>
      </c>
      <c r="L1160" t="s">
        <v>2852</v>
      </c>
      <c r="M1160" t="s">
        <v>27</v>
      </c>
      <c r="N1160" t="s">
        <v>27</v>
      </c>
      <c r="O1160">
        <v>15.91</v>
      </c>
      <c r="P1160">
        <v>29.617296218872099</v>
      </c>
      <c r="Q1160">
        <v>11.0685634613037</v>
      </c>
      <c r="R1160">
        <v>24.899999618530298</v>
      </c>
      <c r="S1160">
        <v>52</v>
      </c>
      <c r="T1160">
        <v>9.3035221099853498</v>
      </c>
      <c r="U1160">
        <v>40.163700103759801</v>
      </c>
      <c r="V1160">
        <v>18897000</v>
      </c>
      <c r="W1160">
        <v>12.217714309692401</v>
      </c>
      <c r="X1160">
        <v>0.85000002384185802</v>
      </c>
      <c r="Y1160">
        <v>5.0891089439392099</v>
      </c>
      <c r="Z1160">
        <v>7.4439458847045898</v>
      </c>
      <c r="AA1160">
        <v>33228000</v>
      </c>
      <c r="AB1160" t="s">
        <v>38</v>
      </c>
      <c r="AC1160" t="s">
        <v>146</v>
      </c>
      <c r="AD1160">
        <v>-0.270000010728836</v>
      </c>
      <c r="AE1160">
        <v>21.967157363891602</v>
      </c>
      <c r="AF1160" t="s">
        <v>27</v>
      </c>
      <c r="AG1160">
        <v>33691000</v>
      </c>
      <c r="AH1160">
        <v>20.6937046051025</v>
      </c>
      <c r="AI1160">
        <v>22.0192680358887</v>
      </c>
    </row>
    <row r="1161" spans="1:35">
      <c r="A1161">
        <f t="shared" si="150"/>
        <v>0</v>
      </c>
      <c r="B1161">
        <f t="shared" si="151"/>
        <v>1</v>
      </c>
      <c r="C1161">
        <f t="shared" si="152"/>
        <v>0</v>
      </c>
      <c r="D1161">
        <f t="shared" si="153"/>
        <v>0</v>
      </c>
      <c r="E1161">
        <f t="shared" si="154"/>
        <v>0</v>
      </c>
      <c r="F1161">
        <f t="shared" si="155"/>
        <v>1</v>
      </c>
      <c r="G1161">
        <f t="shared" si="156"/>
        <v>0</v>
      </c>
      <c r="H1161">
        <v>0</v>
      </c>
      <c r="I1161">
        <f t="shared" si="157"/>
        <v>1</v>
      </c>
      <c r="J1161">
        <f t="shared" si="149"/>
        <v>18.511321067810059</v>
      </c>
      <c r="K1161" t="s">
        <v>711</v>
      </c>
      <c r="L1161" t="s">
        <v>712</v>
      </c>
      <c r="M1161" t="s">
        <v>27</v>
      </c>
      <c r="N1161" t="s">
        <v>27</v>
      </c>
      <c r="O1161">
        <v>38.450000000000003</v>
      </c>
      <c r="P1161">
        <v>9.1570005416870099</v>
      </c>
      <c r="Q1161">
        <v>9.4471006393432599</v>
      </c>
      <c r="R1161">
        <v>33.75</v>
      </c>
      <c r="S1161">
        <v>27.25</v>
      </c>
      <c r="T1161">
        <v>67.063392639160199</v>
      </c>
      <c r="U1161" t="s">
        <v>27</v>
      </c>
      <c r="V1161">
        <v>-537998.1875</v>
      </c>
      <c r="W1161">
        <v>2.8190209865570099</v>
      </c>
      <c r="X1161">
        <v>0.57999998331069902</v>
      </c>
      <c r="Y1161">
        <v>8.7780551910400408</v>
      </c>
      <c r="Z1161">
        <v>9.0642204284668004</v>
      </c>
      <c r="AA1161">
        <v>25013000</v>
      </c>
      <c r="AB1161" t="s">
        <v>83</v>
      </c>
      <c r="AC1161" t="s">
        <v>84</v>
      </c>
      <c r="AD1161">
        <v>0.31999999284744302</v>
      </c>
      <c r="AE1161" t="s">
        <v>27</v>
      </c>
      <c r="AF1161">
        <v>11.0981283154461</v>
      </c>
      <c r="AG1161">
        <v>25565000</v>
      </c>
      <c r="AH1161">
        <v>68.990364074707003</v>
      </c>
      <c r="AI1161">
        <v>3.1792740821838401</v>
      </c>
    </row>
    <row r="1162" spans="1:35">
      <c r="A1162">
        <f t="shared" si="150"/>
        <v>1</v>
      </c>
      <c r="B1162">
        <f t="shared" si="151"/>
        <v>1</v>
      </c>
      <c r="C1162">
        <f t="shared" si="152"/>
        <v>0</v>
      </c>
      <c r="D1162">
        <f t="shared" si="153"/>
        <v>0</v>
      </c>
      <c r="E1162">
        <f t="shared" si="154"/>
        <v>0</v>
      </c>
      <c r="F1162">
        <f t="shared" si="155"/>
        <v>1</v>
      </c>
      <c r="G1162">
        <f t="shared" si="156"/>
        <v>0</v>
      </c>
      <c r="H1162">
        <v>0</v>
      </c>
      <c r="I1162">
        <f t="shared" si="157"/>
        <v>0</v>
      </c>
      <c r="J1162">
        <f t="shared" si="149"/>
        <v>18.486916065216089</v>
      </c>
      <c r="K1162" t="s">
        <v>1046</v>
      </c>
      <c r="L1162" t="s">
        <v>1047</v>
      </c>
      <c r="M1162" t="s">
        <v>27</v>
      </c>
      <c r="N1162" t="s">
        <v>27</v>
      </c>
      <c r="O1162">
        <v>0.16</v>
      </c>
      <c r="P1162" t="s">
        <v>27</v>
      </c>
      <c r="Q1162">
        <v>7.5175280570983896</v>
      </c>
      <c r="R1162">
        <v>10.800000190734901</v>
      </c>
      <c r="S1162">
        <v>30.4375</v>
      </c>
      <c r="T1162">
        <v>76.707069396972699</v>
      </c>
      <c r="U1162">
        <v>36.401435852050803</v>
      </c>
      <c r="V1162">
        <v>-19337000</v>
      </c>
      <c r="W1162">
        <v>-4.8469362258911097</v>
      </c>
      <c r="X1162">
        <v>0.239999994635582</v>
      </c>
      <c r="Y1162" t="s">
        <v>27</v>
      </c>
      <c r="Z1162">
        <v>10.969388008117701</v>
      </c>
      <c r="AA1162">
        <v>39320000</v>
      </c>
      <c r="AB1162" t="s">
        <v>27</v>
      </c>
      <c r="AC1162" t="s">
        <v>27</v>
      </c>
      <c r="AD1162">
        <v>-0.239999994635582</v>
      </c>
      <c r="AE1162">
        <v>15.9330129623413</v>
      </c>
      <c r="AF1162" t="s">
        <v>27</v>
      </c>
      <c r="AG1162">
        <v>47898000</v>
      </c>
      <c r="AH1162">
        <v>51.383205413818402</v>
      </c>
      <c r="AI1162">
        <v>4.3184690475463903</v>
      </c>
    </row>
    <row r="1163" spans="1:35">
      <c r="A1163">
        <f t="shared" si="150"/>
        <v>1</v>
      </c>
      <c r="B1163">
        <f t="shared" si="151"/>
        <v>0</v>
      </c>
      <c r="C1163">
        <f t="shared" si="152"/>
        <v>1</v>
      </c>
      <c r="D1163">
        <f t="shared" si="153"/>
        <v>0</v>
      </c>
      <c r="E1163">
        <f t="shared" si="154"/>
        <v>0</v>
      </c>
      <c r="F1163">
        <f t="shared" si="155"/>
        <v>1</v>
      </c>
      <c r="G1163">
        <f t="shared" si="156"/>
        <v>0</v>
      </c>
      <c r="H1163">
        <v>0</v>
      </c>
      <c r="I1163">
        <f t="shared" si="157"/>
        <v>1</v>
      </c>
      <c r="J1163">
        <f t="shared" si="149"/>
        <v>18.480062484741232</v>
      </c>
      <c r="K1163" t="s">
        <v>2472</v>
      </c>
      <c r="L1163" t="s">
        <v>2473</v>
      </c>
      <c r="M1163" t="s">
        <v>27</v>
      </c>
      <c r="N1163" t="s">
        <v>27</v>
      </c>
      <c r="O1163">
        <v>12.26</v>
      </c>
      <c r="P1163">
        <v>13.0588388442993</v>
      </c>
      <c r="Q1163">
        <v>10.403139114379901</v>
      </c>
      <c r="R1163">
        <v>7.4499998092651403</v>
      </c>
      <c r="S1163">
        <v>5.9000000953674299</v>
      </c>
      <c r="T1163">
        <v>14.7888231277466</v>
      </c>
      <c r="U1163">
        <v>82.910652160644503</v>
      </c>
      <c r="V1163">
        <v>15542001</v>
      </c>
      <c r="W1163">
        <v>13.874946594238301</v>
      </c>
      <c r="X1163">
        <v>0.18000000715255701</v>
      </c>
      <c r="Y1163">
        <v>10.2641506195068</v>
      </c>
      <c r="Z1163">
        <v>8.0769233703613299</v>
      </c>
      <c r="AA1163">
        <v>84900000</v>
      </c>
      <c r="AB1163" t="s">
        <v>194</v>
      </c>
      <c r="AC1163" t="s">
        <v>1176</v>
      </c>
      <c r="AD1163">
        <v>0.15000000596046401</v>
      </c>
      <c r="AE1163">
        <v>79.543235778808594</v>
      </c>
      <c r="AF1163">
        <v>8.1091331547812704</v>
      </c>
      <c r="AG1163">
        <v>82850000</v>
      </c>
      <c r="AH1163">
        <v>14.058259010314901</v>
      </c>
      <c r="AI1163">
        <v>9.9998540878295898</v>
      </c>
    </row>
    <row r="1164" spans="1:35">
      <c r="A1164">
        <f t="shared" si="150"/>
        <v>0</v>
      </c>
      <c r="B1164">
        <f t="shared" si="151"/>
        <v>0</v>
      </c>
      <c r="C1164">
        <f t="shared" si="152"/>
        <v>1</v>
      </c>
      <c r="D1164">
        <f t="shared" si="153"/>
        <v>1</v>
      </c>
      <c r="E1164">
        <f t="shared" si="154"/>
        <v>0</v>
      </c>
      <c r="F1164">
        <f t="shared" si="155"/>
        <v>1</v>
      </c>
      <c r="G1164">
        <f t="shared" si="156"/>
        <v>1</v>
      </c>
      <c r="H1164">
        <v>0</v>
      </c>
      <c r="I1164">
        <f t="shared" si="157"/>
        <v>0</v>
      </c>
      <c r="J1164">
        <f t="shared" si="149"/>
        <v>18.47686004638668</v>
      </c>
      <c r="K1164" t="s">
        <v>175</v>
      </c>
      <c r="L1164" t="s">
        <v>176</v>
      </c>
      <c r="M1164" t="s">
        <v>27</v>
      </c>
      <c r="N1164" t="s">
        <v>27</v>
      </c>
      <c r="O1164">
        <v>16.170999999999999</v>
      </c>
      <c r="P1164">
        <v>20.734127044677699</v>
      </c>
      <c r="Q1164">
        <v>14.6105690002441</v>
      </c>
      <c r="R1164">
        <v>25.370000839233398</v>
      </c>
      <c r="S1164">
        <v>47.75</v>
      </c>
      <c r="T1164">
        <v>0</v>
      </c>
      <c r="U1164">
        <v>61.023101806640597</v>
      </c>
      <c r="V1164">
        <v>3109000.25</v>
      </c>
      <c r="W1164">
        <v>22.791051864623999</v>
      </c>
      <c r="X1164">
        <v>0.20000000298023199</v>
      </c>
      <c r="Y1164" t="s">
        <v>27</v>
      </c>
      <c r="Z1164">
        <v>3.8662910461425799</v>
      </c>
      <c r="AA1164">
        <v>29764000</v>
      </c>
      <c r="AB1164" t="s">
        <v>73</v>
      </c>
      <c r="AC1164" t="s">
        <v>177</v>
      </c>
      <c r="AD1164">
        <v>0.259999990463257</v>
      </c>
      <c r="AE1164">
        <v>65.213432312011705</v>
      </c>
      <c r="AF1164">
        <v>6.8509782156980998</v>
      </c>
      <c r="AG1164">
        <v>33119998</v>
      </c>
      <c r="AH1164">
        <v>2.4407799243927002</v>
      </c>
      <c r="AI1164">
        <v>14.438447952270501</v>
      </c>
    </row>
    <row r="1165" spans="1:35">
      <c r="A1165">
        <f t="shared" si="150"/>
        <v>1</v>
      </c>
      <c r="B1165">
        <f t="shared" si="151"/>
        <v>0</v>
      </c>
      <c r="C1165">
        <f t="shared" si="152"/>
        <v>1</v>
      </c>
      <c r="D1165">
        <f t="shared" si="153"/>
        <v>0</v>
      </c>
      <c r="E1165">
        <f t="shared" si="154"/>
        <v>0</v>
      </c>
      <c r="F1165">
        <f t="shared" si="155"/>
        <v>1</v>
      </c>
      <c r="G1165">
        <f t="shared" si="156"/>
        <v>0</v>
      </c>
      <c r="H1165">
        <v>0</v>
      </c>
      <c r="I1165">
        <f t="shared" si="157"/>
        <v>0</v>
      </c>
      <c r="J1165">
        <f t="shared" si="149"/>
        <v>18.461368560791023</v>
      </c>
      <c r="K1165" t="s">
        <v>32</v>
      </c>
      <c r="L1165" t="s">
        <v>33</v>
      </c>
      <c r="M1165" t="s">
        <v>27</v>
      </c>
      <c r="N1165" t="s">
        <v>27</v>
      </c>
      <c r="O1165">
        <v>15.5</v>
      </c>
      <c r="P1165">
        <v>8.0201215744018608</v>
      </c>
      <c r="Q1165">
        <v>9.6485223770141602</v>
      </c>
      <c r="R1165">
        <v>21</v>
      </c>
      <c r="S1165">
        <v>18.928571428571399</v>
      </c>
      <c r="T1165">
        <v>10.523632049560501</v>
      </c>
      <c r="U1165" t="s">
        <v>27</v>
      </c>
      <c r="V1165">
        <v>17260000</v>
      </c>
      <c r="W1165">
        <v>1.27593898773193</v>
      </c>
      <c r="X1165">
        <v>0.45047618093944702</v>
      </c>
      <c r="Y1165">
        <v>8.8662128448486293</v>
      </c>
      <c r="Z1165">
        <v>8.8128461837768608</v>
      </c>
      <c r="AA1165">
        <v>20711250</v>
      </c>
      <c r="AB1165" t="s">
        <v>34</v>
      </c>
      <c r="AC1165" t="s">
        <v>35</v>
      </c>
      <c r="AD1165">
        <v>0.30000001192092901</v>
      </c>
      <c r="AE1165" t="s">
        <v>27</v>
      </c>
      <c r="AF1165" t="s">
        <v>27</v>
      </c>
      <c r="AG1165">
        <v>20778000</v>
      </c>
      <c r="AH1165">
        <v>10.1526899337769</v>
      </c>
      <c r="AI1165">
        <v>1.2410310506820701</v>
      </c>
    </row>
    <row r="1166" spans="1:35">
      <c r="A1166">
        <f t="shared" si="150"/>
        <v>0</v>
      </c>
      <c r="B1166">
        <f t="shared" si="151"/>
        <v>1</v>
      </c>
      <c r="C1166">
        <f t="shared" si="152"/>
        <v>0</v>
      </c>
      <c r="D1166">
        <f t="shared" si="153"/>
        <v>0</v>
      </c>
      <c r="E1166">
        <f t="shared" si="154"/>
        <v>0</v>
      </c>
      <c r="F1166">
        <f t="shared" si="155"/>
        <v>1</v>
      </c>
      <c r="G1166">
        <f t="shared" si="156"/>
        <v>1</v>
      </c>
      <c r="H1166">
        <v>0</v>
      </c>
      <c r="I1166">
        <f t="shared" si="157"/>
        <v>0</v>
      </c>
      <c r="J1166">
        <f t="shared" si="149"/>
        <v>18.431470870971722</v>
      </c>
      <c r="K1166" t="s">
        <v>2066</v>
      </c>
      <c r="L1166" t="s">
        <v>2067</v>
      </c>
      <c r="M1166" t="s">
        <v>27</v>
      </c>
      <c r="N1166" t="s">
        <v>27</v>
      </c>
      <c r="O1166">
        <v>23.31</v>
      </c>
      <c r="P1166">
        <v>13.5095129013062</v>
      </c>
      <c r="Q1166">
        <v>10.7888450622559</v>
      </c>
      <c r="R1166">
        <v>28.850000381469702</v>
      </c>
      <c r="S1166">
        <v>35.759998321533203</v>
      </c>
      <c r="T1166">
        <v>1.84451103210449</v>
      </c>
      <c r="U1166">
        <v>40.472156524658203</v>
      </c>
      <c r="V1166">
        <v>-6931000</v>
      </c>
      <c r="W1166">
        <v>8.3903408050537092</v>
      </c>
      <c r="X1166">
        <v>0.46000000834464999</v>
      </c>
      <c r="Y1166">
        <v>5.6862750053405797</v>
      </c>
      <c r="Z1166">
        <v>7.6426258087158203</v>
      </c>
      <c r="AA1166">
        <v>39968000</v>
      </c>
      <c r="AB1166" t="s">
        <v>27</v>
      </c>
      <c r="AC1166" t="s">
        <v>27</v>
      </c>
      <c r="AD1166">
        <v>0.36000001430511502</v>
      </c>
      <c r="AE1166">
        <v>40.5664672851563</v>
      </c>
      <c r="AF1166">
        <v>7.2145647186866197</v>
      </c>
      <c r="AG1166">
        <v>40605000</v>
      </c>
      <c r="AH1166">
        <v>7.8078088760376003</v>
      </c>
      <c r="AI1166">
        <v>8.6497716903686506</v>
      </c>
    </row>
    <row r="1167" spans="1:35">
      <c r="A1167">
        <f t="shared" si="150"/>
        <v>1</v>
      </c>
      <c r="B1167">
        <f t="shared" si="151"/>
        <v>1</v>
      </c>
      <c r="C1167">
        <f t="shared" si="152"/>
        <v>1</v>
      </c>
      <c r="D1167">
        <f t="shared" si="153"/>
        <v>0</v>
      </c>
      <c r="E1167">
        <f t="shared" si="154"/>
        <v>0</v>
      </c>
      <c r="F1167">
        <f t="shared" si="155"/>
        <v>1</v>
      </c>
      <c r="G1167">
        <f t="shared" si="156"/>
        <v>0</v>
      </c>
      <c r="H1167">
        <v>0</v>
      </c>
      <c r="I1167">
        <f t="shared" si="157"/>
        <v>0</v>
      </c>
      <c r="J1167">
        <f t="shared" si="149"/>
        <v>18.392539978027372</v>
      </c>
      <c r="K1167" t="s">
        <v>952</v>
      </c>
      <c r="L1167" t="s">
        <v>953</v>
      </c>
      <c r="M1167" t="s">
        <v>27</v>
      </c>
      <c r="N1167" t="s">
        <v>27</v>
      </c>
      <c r="O1167">
        <v>43.39</v>
      </c>
      <c r="P1167">
        <v>13.126792907714799</v>
      </c>
      <c r="Q1167">
        <v>10.2946529388428</v>
      </c>
      <c r="R1167">
        <v>44.772186279296903</v>
      </c>
      <c r="S1167">
        <v>47.9375</v>
      </c>
      <c r="T1167">
        <v>3.0805308818817099</v>
      </c>
      <c r="U1167" t="s">
        <v>27</v>
      </c>
      <c r="V1167">
        <v>12363000</v>
      </c>
      <c r="W1167">
        <v>1.6395469903945901</v>
      </c>
      <c r="X1167">
        <v>1.1100000143051101</v>
      </c>
      <c r="Y1167">
        <v>11.2533569335938</v>
      </c>
      <c r="Z1167">
        <v>8.0978870391845703</v>
      </c>
      <c r="AA1167">
        <v>14158000</v>
      </c>
      <c r="AB1167" t="s">
        <v>27</v>
      </c>
      <c r="AC1167" t="s">
        <v>27</v>
      </c>
      <c r="AD1167">
        <v>0.83999997377395597</v>
      </c>
      <c r="AE1167" t="s">
        <v>27</v>
      </c>
      <c r="AF1167" t="s">
        <v>27</v>
      </c>
      <c r="AG1167">
        <v>14156000</v>
      </c>
      <c r="AH1167">
        <v>2.12018489837646</v>
      </c>
      <c r="AI1167">
        <v>3.0039720535278298</v>
      </c>
    </row>
    <row r="1168" spans="1:35">
      <c r="A1168">
        <f t="shared" si="150"/>
        <v>0</v>
      </c>
      <c r="B1168">
        <f t="shared" si="151"/>
        <v>0</v>
      </c>
      <c r="C1168">
        <f t="shared" si="152"/>
        <v>1</v>
      </c>
      <c r="D1168">
        <f t="shared" si="153"/>
        <v>0</v>
      </c>
      <c r="E1168">
        <f t="shared" si="154"/>
        <v>0</v>
      </c>
      <c r="F1168">
        <f t="shared" si="155"/>
        <v>1</v>
      </c>
      <c r="G1168">
        <f t="shared" si="156"/>
        <v>0</v>
      </c>
      <c r="H1168">
        <v>0</v>
      </c>
      <c r="I1168">
        <f t="shared" si="157"/>
        <v>1</v>
      </c>
      <c r="J1168">
        <f t="shared" si="149"/>
        <v>18.375150680542038</v>
      </c>
      <c r="K1168" t="s">
        <v>1748</v>
      </c>
      <c r="L1168" t="s">
        <v>1749</v>
      </c>
      <c r="M1168" t="s">
        <v>27</v>
      </c>
      <c r="N1168" t="s">
        <v>27</v>
      </c>
      <c r="O1168">
        <v>31.23</v>
      </c>
      <c r="P1168">
        <v>7.9715862274169904</v>
      </c>
      <c r="Q1168">
        <v>5.33811378479004</v>
      </c>
      <c r="R1168">
        <v>21.350000381469702</v>
      </c>
      <c r="S1168">
        <v>19.75</v>
      </c>
      <c r="T1168">
        <v>17.797773361206101</v>
      </c>
      <c r="U1168" t="s">
        <v>27</v>
      </c>
      <c r="V1168" t="s">
        <v>27</v>
      </c>
      <c r="W1168">
        <v>1.5085150003433201</v>
      </c>
      <c r="X1168">
        <v>0.66000002622604403</v>
      </c>
      <c r="Y1168">
        <v>17.147678375244102</v>
      </c>
      <c r="Z1168">
        <v>13.037036895751999</v>
      </c>
      <c r="AA1168">
        <v>6805000</v>
      </c>
      <c r="AB1168" t="s">
        <v>27</v>
      </c>
      <c r="AC1168" t="s">
        <v>27</v>
      </c>
      <c r="AD1168">
        <v>0.63999998569488503</v>
      </c>
      <c r="AE1168" t="s">
        <v>27</v>
      </c>
      <c r="AF1168" t="s">
        <v>27</v>
      </c>
      <c r="AG1168">
        <v>5943000</v>
      </c>
      <c r="AH1168">
        <v>22.917533874511701</v>
      </c>
      <c r="AI1168">
        <v>1.43336594104767</v>
      </c>
    </row>
    <row r="1169" spans="1:35">
      <c r="A1169">
        <f t="shared" si="150"/>
        <v>1</v>
      </c>
      <c r="B1169">
        <f t="shared" si="151"/>
        <v>0</v>
      </c>
      <c r="C1169">
        <f t="shared" si="152"/>
        <v>1</v>
      </c>
      <c r="D1169">
        <f t="shared" si="153"/>
        <v>0</v>
      </c>
      <c r="E1169">
        <f t="shared" si="154"/>
        <v>0</v>
      </c>
      <c r="F1169">
        <f t="shared" si="155"/>
        <v>1</v>
      </c>
      <c r="G1169">
        <f t="shared" si="156"/>
        <v>1</v>
      </c>
      <c r="H1169">
        <v>0</v>
      </c>
      <c r="I1169">
        <f t="shared" si="157"/>
        <v>0</v>
      </c>
      <c r="J1169">
        <f t="shared" si="149"/>
        <v>18.350601196289112</v>
      </c>
      <c r="K1169" t="s">
        <v>3296</v>
      </c>
      <c r="L1169" t="s">
        <v>3297</v>
      </c>
      <c r="M1169" t="s">
        <v>27</v>
      </c>
      <c r="N1169" t="s">
        <v>27</v>
      </c>
      <c r="O1169">
        <v>21.66</v>
      </c>
      <c r="P1169">
        <v>9.7701272964477504</v>
      </c>
      <c r="Q1169">
        <v>8.2710256576538104</v>
      </c>
      <c r="R1169">
        <v>21.9799995422363</v>
      </c>
      <c r="S1169">
        <v>22.75</v>
      </c>
      <c r="T1169">
        <v>37.425022125244098</v>
      </c>
      <c r="U1169">
        <v>31.772426605224599</v>
      </c>
      <c r="V1169">
        <v>476999.75</v>
      </c>
      <c r="W1169">
        <v>6.6386528015136701</v>
      </c>
      <c r="X1169">
        <v>0.56999999284744296</v>
      </c>
      <c r="Y1169">
        <v>12.168285369873001</v>
      </c>
      <c r="Z1169">
        <v>10.0795755386353</v>
      </c>
      <c r="AA1169">
        <v>12260000</v>
      </c>
      <c r="AB1169" t="s">
        <v>61</v>
      </c>
      <c r="AC1169" t="s">
        <v>101</v>
      </c>
      <c r="AD1169">
        <v>0.140000000596046</v>
      </c>
      <c r="AE1169">
        <v>32.271839141845703</v>
      </c>
      <c r="AF1169">
        <v>7.9780672465707596</v>
      </c>
      <c r="AG1169">
        <v>12135000</v>
      </c>
      <c r="AH1169">
        <v>36.471408843994098</v>
      </c>
      <c r="AI1169">
        <v>5.8687157630920401</v>
      </c>
    </row>
    <row r="1170" spans="1:35">
      <c r="A1170">
        <f t="shared" si="150"/>
        <v>1</v>
      </c>
      <c r="B1170">
        <f t="shared" si="151"/>
        <v>1</v>
      </c>
      <c r="C1170">
        <f t="shared" si="152"/>
        <v>1</v>
      </c>
      <c r="D1170">
        <f t="shared" si="153"/>
        <v>1</v>
      </c>
      <c r="E1170">
        <f t="shared" si="154"/>
        <v>0</v>
      </c>
      <c r="F1170">
        <f t="shared" si="155"/>
        <v>1</v>
      </c>
      <c r="G1170">
        <f t="shared" si="156"/>
        <v>1</v>
      </c>
      <c r="H1170">
        <v>0</v>
      </c>
      <c r="I1170">
        <f t="shared" si="157"/>
        <v>1</v>
      </c>
      <c r="J1170">
        <f t="shared" si="149"/>
        <v>18.349848747253418</v>
      </c>
      <c r="K1170" t="s">
        <v>2306</v>
      </c>
      <c r="L1170" t="s">
        <v>2307</v>
      </c>
      <c r="M1170" t="s">
        <v>27</v>
      </c>
      <c r="N1170" t="s">
        <v>27</v>
      </c>
      <c r="O1170">
        <v>18.829999999999998</v>
      </c>
      <c r="P1170">
        <v>8.4999856948852504</v>
      </c>
      <c r="Q1170">
        <v>8.6040859222412092</v>
      </c>
      <c r="R1170">
        <v>15.949999809265099</v>
      </c>
      <c r="S1170">
        <v>9.6875</v>
      </c>
      <c r="T1170">
        <v>30.580694198608398</v>
      </c>
      <c r="U1170">
        <v>41.5990600585938</v>
      </c>
      <c r="V1170">
        <v>3787000.25</v>
      </c>
      <c r="W1170">
        <v>4.1194939613342303</v>
      </c>
      <c r="X1170">
        <v>0.41999998688697798</v>
      </c>
      <c r="Y1170">
        <v>9.5632181167602504</v>
      </c>
      <c r="Z1170">
        <v>9.7457628250122106</v>
      </c>
      <c r="AA1170">
        <v>8206000.5</v>
      </c>
      <c r="AB1170" t="s">
        <v>30</v>
      </c>
      <c r="AC1170" t="s">
        <v>68</v>
      </c>
      <c r="AD1170">
        <v>0.44999998807907099</v>
      </c>
      <c r="AE1170">
        <v>42.278881072997997</v>
      </c>
      <c r="AF1170">
        <v>5.3293468983721999</v>
      </c>
      <c r="AG1170">
        <v>8208000</v>
      </c>
      <c r="AH1170">
        <v>23.935773849487301</v>
      </c>
      <c r="AI1170">
        <v>4.9805831909179696</v>
      </c>
    </row>
    <row r="1171" spans="1:35">
      <c r="A1171">
        <f t="shared" si="150"/>
        <v>1</v>
      </c>
      <c r="B1171">
        <f t="shared" si="151"/>
        <v>1</v>
      </c>
      <c r="C1171">
        <f t="shared" si="152"/>
        <v>1</v>
      </c>
      <c r="D1171">
        <f t="shared" si="153"/>
        <v>1</v>
      </c>
      <c r="E1171">
        <f t="shared" si="154"/>
        <v>0</v>
      </c>
      <c r="F1171">
        <f t="shared" si="155"/>
        <v>1</v>
      </c>
      <c r="G1171">
        <f t="shared" si="156"/>
        <v>1</v>
      </c>
      <c r="H1171">
        <v>0</v>
      </c>
      <c r="I1171">
        <f t="shared" si="157"/>
        <v>0</v>
      </c>
      <c r="J1171">
        <f t="shared" si="149"/>
        <v>18.343206405639648</v>
      </c>
      <c r="K1171" t="s">
        <v>2178</v>
      </c>
      <c r="L1171" t="s">
        <v>2179</v>
      </c>
      <c r="M1171" t="s">
        <v>27</v>
      </c>
      <c r="N1171" t="s">
        <v>27</v>
      </c>
      <c r="O1171">
        <v>10.97</v>
      </c>
      <c r="P1171">
        <v>7.7266068458557102</v>
      </c>
      <c r="Q1171">
        <v>9.4284772872924805</v>
      </c>
      <c r="R1171">
        <v>11.3333333333333</v>
      </c>
      <c r="S1171">
        <v>8.9166666666666696</v>
      </c>
      <c r="T1171">
        <v>8.5401996970176697E-2</v>
      </c>
      <c r="U1171">
        <v>24.673215866088899</v>
      </c>
      <c r="V1171">
        <v>3824999.75</v>
      </c>
      <c r="W1171">
        <v>8.6608619689941406</v>
      </c>
      <c r="X1171">
        <v>0.240000009536743</v>
      </c>
      <c r="Y1171">
        <v>9.3483152389526403</v>
      </c>
      <c r="Z1171">
        <v>8.9147291183471697</v>
      </c>
      <c r="AA1171">
        <v>13195500</v>
      </c>
      <c r="AB1171" t="s">
        <v>27</v>
      </c>
      <c r="AC1171" t="s">
        <v>27</v>
      </c>
      <c r="AD1171">
        <v>0.27999999125798503</v>
      </c>
      <c r="AE1171">
        <v>27.630046844482401</v>
      </c>
      <c r="AF1171">
        <v>4.4970153693604402</v>
      </c>
      <c r="AG1171">
        <v>13393500</v>
      </c>
      <c r="AH1171">
        <v>0</v>
      </c>
      <c r="AI1171">
        <v>9.6229953765869105</v>
      </c>
    </row>
    <row r="1172" spans="1:35">
      <c r="A1172">
        <f t="shared" si="150"/>
        <v>1</v>
      </c>
      <c r="B1172">
        <f t="shared" si="151"/>
        <v>1</v>
      </c>
      <c r="C1172">
        <f t="shared" si="152"/>
        <v>1</v>
      </c>
      <c r="D1172">
        <f t="shared" si="153"/>
        <v>1</v>
      </c>
      <c r="E1172">
        <f t="shared" si="154"/>
        <v>0</v>
      </c>
      <c r="F1172">
        <f t="shared" si="155"/>
        <v>1</v>
      </c>
      <c r="G1172">
        <f t="shared" si="156"/>
        <v>1</v>
      </c>
      <c r="H1172">
        <v>0</v>
      </c>
      <c r="I1172">
        <f t="shared" si="157"/>
        <v>0</v>
      </c>
      <c r="J1172">
        <f t="shared" si="149"/>
        <v>18.33774662017823</v>
      </c>
      <c r="K1172" t="s">
        <v>3089</v>
      </c>
      <c r="L1172" t="s">
        <v>3090</v>
      </c>
      <c r="M1172" t="s">
        <v>27</v>
      </c>
      <c r="N1172" t="s">
        <v>27</v>
      </c>
      <c r="O1172">
        <v>24.37</v>
      </c>
      <c r="P1172">
        <v>11.0788774490356</v>
      </c>
      <c r="Q1172">
        <v>10.8335304260254</v>
      </c>
      <c r="R1172">
        <v>23.149999618530298</v>
      </c>
      <c r="S1172">
        <v>20</v>
      </c>
      <c r="T1172">
        <v>23.8884887695313</v>
      </c>
      <c r="U1172">
        <v>19.3217658996582</v>
      </c>
      <c r="V1172">
        <v>11400000</v>
      </c>
      <c r="W1172">
        <v>6.8912539482116699</v>
      </c>
      <c r="X1172">
        <v>0.52999997138977095</v>
      </c>
      <c r="Y1172">
        <v>13.9813079833984</v>
      </c>
      <c r="Z1172">
        <v>7.5042161941528303</v>
      </c>
      <c r="AA1172">
        <v>14965000</v>
      </c>
      <c r="AB1172" t="s">
        <v>52</v>
      </c>
      <c r="AC1172" t="s">
        <v>1064</v>
      </c>
      <c r="AD1172">
        <v>0.55000001192092896</v>
      </c>
      <c r="AE1172">
        <v>21.150728225708001</v>
      </c>
      <c r="AF1172">
        <v>4.7053521749136902</v>
      </c>
      <c r="AG1172">
        <v>14835000</v>
      </c>
      <c r="AH1172">
        <v>20.802843093872099</v>
      </c>
      <c r="AI1172" t="s">
        <v>27</v>
      </c>
    </row>
    <row r="1173" spans="1:35">
      <c r="A1173">
        <f t="shared" si="150"/>
        <v>1</v>
      </c>
      <c r="B1173">
        <f t="shared" si="151"/>
        <v>1</v>
      </c>
      <c r="C1173">
        <f t="shared" si="152"/>
        <v>1</v>
      </c>
      <c r="D1173">
        <f t="shared" si="153"/>
        <v>0</v>
      </c>
      <c r="E1173">
        <f t="shared" si="154"/>
        <v>0</v>
      </c>
      <c r="F1173">
        <f t="shared" si="155"/>
        <v>1</v>
      </c>
      <c r="G1173">
        <f t="shared" si="156"/>
        <v>1</v>
      </c>
      <c r="H1173">
        <v>0</v>
      </c>
      <c r="I1173">
        <f t="shared" si="157"/>
        <v>0</v>
      </c>
      <c r="J1173">
        <f t="shared" si="149"/>
        <v>18.282330513000481</v>
      </c>
      <c r="K1173" t="s">
        <v>3079</v>
      </c>
      <c r="L1173" t="s">
        <v>3080</v>
      </c>
      <c r="M1173" t="s">
        <v>27</v>
      </c>
      <c r="N1173" t="s">
        <v>27</v>
      </c>
      <c r="O1173">
        <v>9.36</v>
      </c>
      <c r="P1173">
        <v>-1.7389930486679099</v>
      </c>
      <c r="Q1173">
        <v>10.2178144454956</v>
      </c>
      <c r="R1173">
        <v>15.300000190734901</v>
      </c>
      <c r="S1173">
        <v>34</v>
      </c>
      <c r="T1173">
        <v>13.5732173919678</v>
      </c>
      <c r="U1173">
        <v>49.096824645996101</v>
      </c>
      <c r="V1173">
        <v>9647000</v>
      </c>
      <c r="W1173">
        <v>7.9069848060607901</v>
      </c>
      <c r="X1173">
        <v>0.31999999284744302</v>
      </c>
      <c r="Y1173">
        <v>4.2580637931823704</v>
      </c>
      <c r="Z1173">
        <v>8.0645160675048793</v>
      </c>
      <c r="AA1173">
        <v>13719000</v>
      </c>
      <c r="AB1173" t="s">
        <v>27</v>
      </c>
      <c r="AC1173" t="s">
        <v>27</v>
      </c>
      <c r="AD1173">
        <v>3.9999999105930301E-2</v>
      </c>
      <c r="AE1173">
        <v>50.067611694335902</v>
      </c>
      <c r="AF1173" t="s">
        <v>27</v>
      </c>
      <c r="AG1173">
        <v>14498000</v>
      </c>
      <c r="AH1173">
        <v>0</v>
      </c>
      <c r="AI1173">
        <v>12.2597494125366</v>
      </c>
    </row>
    <row r="1174" spans="1:35">
      <c r="A1174">
        <f t="shared" si="150"/>
        <v>1</v>
      </c>
      <c r="B1174">
        <f t="shared" si="151"/>
        <v>1</v>
      </c>
      <c r="C1174">
        <f t="shared" si="152"/>
        <v>1</v>
      </c>
      <c r="D1174">
        <f t="shared" si="153"/>
        <v>0</v>
      </c>
      <c r="E1174">
        <f t="shared" si="154"/>
        <v>0</v>
      </c>
      <c r="F1174">
        <f t="shared" si="155"/>
        <v>1</v>
      </c>
      <c r="G1174">
        <f t="shared" si="156"/>
        <v>1</v>
      </c>
      <c r="H1174">
        <v>0</v>
      </c>
      <c r="I1174">
        <f t="shared" si="157"/>
        <v>0</v>
      </c>
      <c r="J1174">
        <f t="shared" si="149"/>
        <v>18.248404443263961</v>
      </c>
      <c r="K1174" t="s">
        <v>3398</v>
      </c>
      <c r="L1174" t="s">
        <v>3399</v>
      </c>
      <c r="M1174" t="s">
        <v>27</v>
      </c>
      <c r="N1174" t="s">
        <v>27</v>
      </c>
      <c r="O1174">
        <v>25.69</v>
      </c>
      <c r="P1174">
        <v>4.9134430885314897</v>
      </c>
      <c r="Q1174">
        <v>0.51004499197006203</v>
      </c>
      <c r="R1174">
        <v>49.299999237060497</v>
      </c>
      <c r="S1174">
        <v>39.875</v>
      </c>
      <c r="T1174">
        <v>23.086908340454102</v>
      </c>
      <c r="U1174">
        <v>56.523967742919901</v>
      </c>
      <c r="V1174">
        <v>4442001</v>
      </c>
      <c r="W1174">
        <v>9.7830095291137695</v>
      </c>
      <c r="X1174">
        <v>0.479999989271164</v>
      </c>
      <c r="Y1174">
        <v>4.73885297775269</v>
      </c>
      <c r="Z1174">
        <v>17.738359451293899</v>
      </c>
      <c r="AA1174">
        <v>15526000</v>
      </c>
      <c r="AB1174" t="s">
        <v>27</v>
      </c>
      <c r="AC1174" t="s">
        <v>27</v>
      </c>
      <c r="AD1174">
        <v>9.00000035762787E-2</v>
      </c>
      <c r="AE1174">
        <v>62.949550628662102</v>
      </c>
      <c r="AF1174">
        <v>6.4764884942471204</v>
      </c>
      <c r="AG1174">
        <v>15271000</v>
      </c>
      <c r="AH1174">
        <v>10.781358718872101</v>
      </c>
      <c r="AI1174">
        <v>29.181943893432599</v>
      </c>
    </row>
    <row r="1175" spans="1:35">
      <c r="A1175">
        <f t="shared" si="150"/>
        <v>1</v>
      </c>
      <c r="B1175">
        <f t="shared" si="151"/>
        <v>0</v>
      </c>
      <c r="C1175">
        <f t="shared" si="152"/>
        <v>1</v>
      </c>
      <c r="D1175">
        <f t="shared" si="153"/>
        <v>0</v>
      </c>
      <c r="E1175">
        <f t="shared" si="154"/>
        <v>0</v>
      </c>
      <c r="F1175">
        <f t="shared" si="155"/>
        <v>1</v>
      </c>
      <c r="G1175">
        <f t="shared" si="156"/>
        <v>0</v>
      </c>
      <c r="H1175">
        <v>0</v>
      </c>
      <c r="I1175">
        <f t="shared" si="157"/>
        <v>0</v>
      </c>
      <c r="J1175">
        <f t="shared" si="149"/>
        <v>18.224197387695312</v>
      </c>
      <c r="K1175" t="s">
        <v>1129</v>
      </c>
      <c r="L1175" t="s">
        <v>1130</v>
      </c>
      <c r="M1175" t="s">
        <v>27</v>
      </c>
      <c r="N1175" t="s">
        <v>27</v>
      </c>
      <c r="O1175">
        <v>12.85</v>
      </c>
      <c r="P1175">
        <v>19.468095779418899</v>
      </c>
      <c r="Q1175">
        <v>9.6571016311645508</v>
      </c>
      <c r="R1175">
        <v>16.120000839233398</v>
      </c>
      <c r="S1175">
        <v>21.219999313354499</v>
      </c>
      <c r="T1175">
        <v>2.0138969421386701</v>
      </c>
      <c r="U1175">
        <v>26.2912788391113</v>
      </c>
      <c r="V1175">
        <v>18827000</v>
      </c>
      <c r="W1175">
        <v>14.235302925109901</v>
      </c>
      <c r="X1175">
        <v>0.50999999046325695</v>
      </c>
      <c r="Y1175">
        <v>4.4346461296081499</v>
      </c>
      <c r="Z1175">
        <v>8.5670957565307599</v>
      </c>
      <c r="AA1175">
        <v>42081000</v>
      </c>
      <c r="AB1175" t="s">
        <v>61</v>
      </c>
      <c r="AC1175" t="s">
        <v>131</v>
      </c>
      <c r="AD1175">
        <v>-1.83000004291534</v>
      </c>
      <c r="AE1175">
        <v>22.400264739990199</v>
      </c>
      <c r="AF1175">
        <v>9.8472057245183304</v>
      </c>
      <c r="AG1175">
        <v>42925000</v>
      </c>
      <c r="AH1175">
        <v>1.3936640024185201</v>
      </c>
      <c r="AI1175">
        <v>11.271217346191399</v>
      </c>
    </row>
    <row r="1176" spans="1:35">
      <c r="A1176">
        <f t="shared" si="150"/>
        <v>0</v>
      </c>
      <c r="B1176">
        <f t="shared" si="151"/>
        <v>1</v>
      </c>
      <c r="C1176">
        <f t="shared" si="152"/>
        <v>1</v>
      </c>
      <c r="D1176">
        <f t="shared" si="153"/>
        <v>1</v>
      </c>
      <c r="E1176">
        <f t="shared" si="154"/>
        <v>0</v>
      </c>
      <c r="F1176">
        <f t="shared" si="155"/>
        <v>1</v>
      </c>
      <c r="G1176">
        <f t="shared" si="156"/>
        <v>0</v>
      </c>
      <c r="H1176">
        <v>0</v>
      </c>
      <c r="I1176">
        <f t="shared" si="157"/>
        <v>1</v>
      </c>
      <c r="J1176">
        <f t="shared" si="149"/>
        <v>18.169806480407761</v>
      </c>
      <c r="K1176" t="s">
        <v>3244</v>
      </c>
      <c r="L1176" t="s">
        <v>3245</v>
      </c>
      <c r="M1176" t="s">
        <v>27</v>
      </c>
      <c r="N1176" t="s">
        <v>27</v>
      </c>
      <c r="O1176">
        <v>23.93</v>
      </c>
      <c r="P1176">
        <v>4.8810501098632804</v>
      </c>
      <c r="Q1176">
        <v>5.3157758712768599</v>
      </c>
      <c r="R1176">
        <v>19.397499084472699</v>
      </c>
      <c r="S1176">
        <v>13.8333333333333</v>
      </c>
      <c r="T1176">
        <v>15.7198781967163</v>
      </c>
      <c r="U1176" t="s">
        <v>27</v>
      </c>
      <c r="V1176">
        <v>8978000</v>
      </c>
      <c r="W1176">
        <v>0.82540297508239702</v>
      </c>
      <c r="X1176">
        <v>0.45333333810170501</v>
      </c>
      <c r="Y1176">
        <v>15.797468185424799</v>
      </c>
      <c r="Z1176">
        <v>12.8540306091309</v>
      </c>
      <c r="AA1176">
        <v>5679000</v>
      </c>
      <c r="AB1176" t="s">
        <v>34</v>
      </c>
      <c r="AC1176" t="s">
        <v>35</v>
      </c>
      <c r="AD1176">
        <v>0.56999999284744296</v>
      </c>
      <c r="AE1176" t="s">
        <v>27</v>
      </c>
      <c r="AF1176" t="s">
        <v>27</v>
      </c>
      <c r="AG1176">
        <v>5674000</v>
      </c>
      <c r="AH1176">
        <v>16.8651123046875</v>
      </c>
      <c r="AI1176">
        <v>0.878232002258301</v>
      </c>
    </row>
    <row r="1177" spans="1:35">
      <c r="A1177">
        <f t="shared" si="150"/>
        <v>1</v>
      </c>
      <c r="B1177">
        <f t="shared" si="151"/>
        <v>1</v>
      </c>
      <c r="C1177">
        <f t="shared" si="152"/>
        <v>0</v>
      </c>
      <c r="D1177">
        <f t="shared" si="153"/>
        <v>1</v>
      </c>
      <c r="E1177">
        <f t="shared" si="154"/>
        <v>0</v>
      </c>
      <c r="F1177">
        <f t="shared" si="155"/>
        <v>1</v>
      </c>
      <c r="G1177">
        <f t="shared" si="156"/>
        <v>0</v>
      </c>
      <c r="H1177">
        <v>0</v>
      </c>
      <c r="I1177">
        <f t="shared" si="157"/>
        <v>0</v>
      </c>
      <c r="J1177">
        <f t="shared" si="149"/>
        <v>18.163710594177271</v>
      </c>
      <c r="K1177" t="s">
        <v>639</v>
      </c>
      <c r="L1177" t="s">
        <v>640</v>
      </c>
      <c r="M1177" t="s">
        <v>27</v>
      </c>
      <c r="N1177" t="s">
        <v>27</v>
      </c>
      <c r="O1177">
        <v>24.35</v>
      </c>
      <c r="P1177" t="s">
        <v>27</v>
      </c>
      <c r="Q1177">
        <v>13.6182556152344</v>
      </c>
      <c r="R1177">
        <v>24.25</v>
      </c>
      <c r="S1177">
        <v>27.5625</v>
      </c>
      <c r="T1177">
        <v>5.0937000662088401E-2</v>
      </c>
      <c r="U1177">
        <v>21.244703292846701</v>
      </c>
      <c r="V1177">
        <v>-2214999.75</v>
      </c>
      <c r="W1177">
        <v>5.6562170982360804</v>
      </c>
      <c r="X1177">
        <v>0.17000000178813901</v>
      </c>
      <c r="Y1177" t="s">
        <v>27</v>
      </c>
      <c r="Z1177">
        <v>4.5454549789428702</v>
      </c>
      <c r="AA1177">
        <v>17888000</v>
      </c>
      <c r="AB1177" t="s">
        <v>27</v>
      </c>
      <c r="AC1177" t="s">
        <v>27</v>
      </c>
      <c r="AD1177">
        <v>0.18000000715255701</v>
      </c>
      <c r="AE1177">
        <v>19.977910995483398</v>
      </c>
      <c r="AF1177">
        <v>11.306147915357201</v>
      </c>
      <c r="AG1177">
        <v>18421000</v>
      </c>
      <c r="AH1177">
        <v>9.0269995853304898E-3</v>
      </c>
      <c r="AI1177">
        <v>7.9016852378845197</v>
      </c>
    </row>
    <row r="1178" spans="1:35">
      <c r="A1178">
        <f t="shared" si="150"/>
        <v>0</v>
      </c>
      <c r="B1178">
        <f t="shared" si="151"/>
        <v>1</v>
      </c>
      <c r="C1178">
        <f t="shared" si="152"/>
        <v>0</v>
      </c>
      <c r="D1178">
        <f t="shared" si="153"/>
        <v>1</v>
      </c>
      <c r="E1178">
        <f t="shared" si="154"/>
        <v>0</v>
      </c>
      <c r="F1178">
        <f t="shared" si="155"/>
        <v>1</v>
      </c>
      <c r="G1178">
        <f t="shared" si="156"/>
        <v>1</v>
      </c>
      <c r="H1178">
        <v>0</v>
      </c>
      <c r="I1178">
        <f t="shared" si="157"/>
        <v>0</v>
      </c>
      <c r="J1178">
        <f t="shared" si="149"/>
        <v>18.14771842956543</v>
      </c>
      <c r="K1178" t="s">
        <v>2730</v>
      </c>
      <c r="L1178" t="s">
        <v>2731</v>
      </c>
      <c r="M1178" t="s">
        <v>27</v>
      </c>
      <c r="N1178" t="s">
        <v>27</v>
      </c>
      <c r="O1178">
        <v>11.78</v>
      </c>
      <c r="P1178" t="s">
        <v>27</v>
      </c>
      <c r="Q1178">
        <v>9.7246417999267596</v>
      </c>
      <c r="R1178">
        <v>14.4039047182644</v>
      </c>
      <c r="S1178">
        <v>12.781953339909199</v>
      </c>
      <c r="T1178">
        <v>42.619075775146499</v>
      </c>
      <c r="U1178">
        <v>2.4608058929443399</v>
      </c>
      <c r="V1178">
        <v>-20553998</v>
      </c>
      <c r="W1178">
        <v>-1.90287101268768</v>
      </c>
      <c r="X1178">
        <v>0.18999999761581399</v>
      </c>
      <c r="Y1178">
        <v>2.6490070819854701</v>
      </c>
      <c r="Z1178">
        <v>8.4230766296386701</v>
      </c>
      <c r="AA1178">
        <v>17881000</v>
      </c>
      <c r="AB1178" t="s">
        <v>27</v>
      </c>
      <c r="AC1178" t="s">
        <v>27</v>
      </c>
      <c r="AD1178">
        <v>0.62999999523162797</v>
      </c>
      <c r="AE1178">
        <v>51.600578308105497</v>
      </c>
      <c r="AF1178">
        <v>6.0511775132841699</v>
      </c>
      <c r="AG1178">
        <v>23314000</v>
      </c>
      <c r="AH1178">
        <v>45.023612976074197</v>
      </c>
      <c r="AI1178">
        <v>2.6469819545745801</v>
      </c>
    </row>
    <row r="1179" spans="1:35">
      <c r="A1179">
        <f t="shared" si="150"/>
        <v>1</v>
      </c>
      <c r="B1179">
        <f t="shared" si="151"/>
        <v>1</v>
      </c>
      <c r="C1179">
        <f t="shared" si="152"/>
        <v>1</v>
      </c>
      <c r="D1179">
        <f t="shared" si="153"/>
        <v>1</v>
      </c>
      <c r="E1179">
        <f t="shared" si="154"/>
        <v>0</v>
      </c>
      <c r="F1179">
        <f t="shared" si="155"/>
        <v>1</v>
      </c>
      <c r="G1179">
        <f t="shared" si="156"/>
        <v>1</v>
      </c>
      <c r="H1179">
        <v>0</v>
      </c>
      <c r="I1179">
        <f t="shared" si="157"/>
        <v>0</v>
      </c>
      <c r="J1179">
        <f t="shared" si="149"/>
        <v>18.145349502563477</v>
      </c>
      <c r="K1179" t="s">
        <v>1164</v>
      </c>
      <c r="L1179" t="s">
        <v>1165</v>
      </c>
      <c r="M1179" t="s">
        <v>27</v>
      </c>
      <c r="N1179" t="s">
        <v>27</v>
      </c>
      <c r="O1179">
        <v>11.15</v>
      </c>
      <c r="P1179">
        <v>8.0297775268554705</v>
      </c>
      <c r="Q1179">
        <v>8.3202543258666992</v>
      </c>
      <c r="R1179">
        <v>14.050000190734901</v>
      </c>
      <c r="S1179">
        <v>11.810000419616699</v>
      </c>
      <c r="T1179">
        <v>48.750076293945298</v>
      </c>
      <c r="U1179">
        <v>63.571258544921903</v>
      </c>
      <c r="V1179">
        <v>57962000</v>
      </c>
      <c r="W1179">
        <v>2.3014919757843</v>
      </c>
      <c r="X1179">
        <v>0.44499999284744302</v>
      </c>
      <c r="Y1179">
        <v>7.4691810607910201</v>
      </c>
      <c r="Z1179">
        <v>9.8250951766967791</v>
      </c>
      <c r="AA1179">
        <v>54354000</v>
      </c>
      <c r="AB1179" t="s">
        <v>254</v>
      </c>
      <c r="AC1179" t="s">
        <v>848</v>
      </c>
      <c r="AD1179">
        <v>0.490000009536743</v>
      </c>
      <c r="AE1179">
        <v>65.056388854980497</v>
      </c>
      <c r="AF1179">
        <v>4.7974758383209002</v>
      </c>
      <c r="AG1179">
        <v>50206000</v>
      </c>
      <c r="AH1179">
        <v>44.865978240966797</v>
      </c>
      <c r="AI1179">
        <v>3.5539910793304399</v>
      </c>
    </row>
    <row r="1180" spans="1:35">
      <c r="A1180">
        <f t="shared" si="150"/>
        <v>0</v>
      </c>
      <c r="B1180">
        <f t="shared" si="151"/>
        <v>0</v>
      </c>
      <c r="C1180">
        <f t="shared" si="152"/>
        <v>1</v>
      </c>
      <c r="D1180">
        <f t="shared" si="153"/>
        <v>1</v>
      </c>
      <c r="E1180">
        <f t="shared" si="154"/>
        <v>0</v>
      </c>
      <c r="F1180">
        <f t="shared" si="155"/>
        <v>1</v>
      </c>
      <c r="G1180">
        <f t="shared" si="156"/>
        <v>0</v>
      </c>
      <c r="H1180">
        <v>0</v>
      </c>
      <c r="I1180">
        <f t="shared" si="157"/>
        <v>0</v>
      </c>
      <c r="J1180">
        <f t="shared" si="149"/>
        <v>18.14351654052734</v>
      </c>
      <c r="K1180" t="s">
        <v>1146</v>
      </c>
      <c r="L1180" t="s">
        <v>1147</v>
      </c>
      <c r="M1180" t="s">
        <v>27</v>
      </c>
      <c r="N1180" t="s">
        <v>27</v>
      </c>
      <c r="O1180">
        <v>24.53</v>
      </c>
      <c r="P1180">
        <v>7.2614989280700701</v>
      </c>
      <c r="Q1180">
        <v>9.3763933181762695</v>
      </c>
      <c r="R1180">
        <v>24.149999618530298</v>
      </c>
      <c r="S1180">
        <v>22.200000762939499</v>
      </c>
      <c r="T1180">
        <v>41.477951049804702</v>
      </c>
      <c r="U1180" t="s">
        <v>27</v>
      </c>
      <c r="V1180">
        <v>12906000</v>
      </c>
      <c r="W1180">
        <v>6.39410400390625</v>
      </c>
      <c r="X1180">
        <v>0.28999999165535001</v>
      </c>
      <c r="Y1180">
        <v>4.9438199996948198</v>
      </c>
      <c r="Z1180">
        <v>8.7671232223510707</v>
      </c>
      <c r="AA1180">
        <v>15657000</v>
      </c>
      <c r="AB1180" t="s">
        <v>83</v>
      </c>
      <c r="AC1180" t="s">
        <v>84</v>
      </c>
      <c r="AD1180">
        <v>0.38999998569488498</v>
      </c>
      <c r="AE1180" t="s">
        <v>27</v>
      </c>
      <c r="AF1180">
        <v>11.2370190768206</v>
      </c>
      <c r="AG1180">
        <v>15910000</v>
      </c>
      <c r="AH1180">
        <v>41.569587707519503</v>
      </c>
      <c r="AI1180">
        <v>5.6243429183959996</v>
      </c>
    </row>
    <row r="1181" spans="1:35">
      <c r="A1181">
        <f t="shared" si="150"/>
        <v>1</v>
      </c>
      <c r="B1181">
        <f t="shared" si="151"/>
        <v>1</v>
      </c>
      <c r="C1181">
        <f t="shared" si="152"/>
        <v>0</v>
      </c>
      <c r="D1181">
        <f t="shared" si="153"/>
        <v>1</v>
      </c>
      <c r="E1181">
        <f t="shared" si="154"/>
        <v>0</v>
      </c>
      <c r="F1181">
        <f t="shared" si="155"/>
        <v>1</v>
      </c>
      <c r="G1181">
        <f t="shared" si="156"/>
        <v>1</v>
      </c>
      <c r="H1181">
        <v>0</v>
      </c>
      <c r="I1181">
        <f t="shared" si="157"/>
        <v>1</v>
      </c>
      <c r="J1181">
        <f t="shared" si="149"/>
        <v>18.114460706710808</v>
      </c>
      <c r="K1181" t="s">
        <v>3017</v>
      </c>
      <c r="L1181" t="s">
        <v>3018</v>
      </c>
      <c r="M1181" t="s">
        <v>27</v>
      </c>
      <c r="N1181" t="s">
        <v>27</v>
      </c>
      <c r="O1181">
        <v>29.29</v>
      </c>
      <c r="P1181">
        <v>10.2629337310791</v>
      </c>
      <c r="Q1181">
        <v>15.2205696105957</v>
      </c>
      <c r="R1181">
        <v>20.059999465942401</v>
      </c>
      <c r="S1181">
        <v>17.649999618530298</v>
      </c>
      <c r="T1181">
        <v>0.93122798204421997</v>
      </c>
      <c r="U1181">
        <v>42.975990295410199</v>
      </c>
      <c r="V1181">
        <v>-1967000</v>
      </c>
      <c r="W1181">
        <v>2.2441480159759499</v>
      </c>
      <c r="X1181">
        <v>7.9999998211860698E-2</v>
      </c>
      <c r="Y1181">
        <v>2.0253169536590598</v>
      </c>
      <c r="Z1181">
        <v>2.8938910961151101</v>
      </c>
      <c r="AA1181">
        <v>30036000</v>
      </c>
      <c r="AB1181" t="s">
        <v>61</v>
      </c>
      <c r="AC1181" t="s">
        <v>77</v>
      </c>
      <c r="AD1181">
        <v>0.140000000596046</v>
      </c>
      <c r="AE1181">
        <v>43.9843139648438</v>
      </c>
      <c r="AF1181">
        <v>13.4680149546457</v>
      </c>
      <c r="AG1181">
        <v>30167000</v>
      </c>
      <c r="AH1181">
        <v>0.20963799953460699</v>
      </c>
      <c r="AI1181">
        <v>3.1374890804290798</v>
      </c>
    </row>
    <row r="1182" spans="1:35">
      <c r="A1182">
        <f t="shared" si="150"/>
        <v>1</v>
      </c>
      <c r="B1182">
        <f t="shared" si="151"/>
        <v>0</v>
      </c>
      <c r="C1182">
        <f t="shared" si="152"/>
        <v>1</v>
      </c>
      <c r="D1182">
        <f t="shared" si="153"/>
        <v>1</v>
      </c>
      <c r="E1182">
        <f t="shared" si="154"/>
        <v>0</v>
      </c>
      <c r="F1182">
        <f t="shared" si="155"/>
        <v>0</v>
      </c>
      <c r="G1182">
        <f t="shared" si="156"/>
        <v>1</v>
      </c>
      <c r="H1182">
        <v>0</v>
      </c>
      <c r="I1182">
        <f t="shared" si="157"/>
        <v>0</v>
      </c>
      <c r="J1182">
        <f t="shared" si="149"/>
        <v>18.101747512817379</v>
      </c>
      <c r="K1182" t="s">
        <v>3478</v>
      </c>
      <c r="L1182" t="s">
        <v>3479</v>
      </c>
      <c r="M1182" t="s">
        <v>27</v>
      </c>
      <c r="N1182" t="s">
        <v>27</v>
      </c>
      <c r="O1182">
        <v>20.02</v>
      </c>
      <c r="P1182">
        <v>0.95959800481796298</v>
      </c>
      <c r="Q1182">
        <v>9.5483608245849592</v>
      </c>
      <c r="R1182">
        <v>21.200000762939499</v>
      </c>
      <c r="S1182">
        <v>18.399999618530298</v>
      </c>
      <c r="T1182">
        <v>24.497533798217798</v>
      </c>
      <c r="U1182">
        <v>24.609350204467798</v>
      </c>
      <c r="V1182">
        <v>2036000.25</v>
      </c>
      <c r="W1182">
        <v>3.4013469219207799</v>
      </c>
      <c r="X1182">
        <v>0.15000000596046401</v>
      </c>
      <c r="Y1182">
        <v>1.8436210155487101</v>
      </c>
      <c r="Z1182">
        <v>8.5533866882324201</v>
      </c>
      <c r="AA1182">
        <v>13620000</v>
      </c>
      <c r="AB1182" t="s">
        <v>328</v>
      </c>
      <c r="AC1182" t="s">
        <v>403</v>
      </c>
      <c r="AD1182">
        <v>0.490000009536743</v>
      </c>
      <c r="AE1182">
        <v>29.321752548217798</v>
      </c>
      <c r="AF1182">
        <v>7.2577698904567001</v>
      </c>
      <c r="AG1182">
        <v>14082000</v>
      </c>
      <c r="AH1182">
        <v>13.061856269836399</v>
      </c>
      <c r="AI1182">
        <v>-2.36035203933716</v>
      </c>
    </row>
    <row r="1183" spans="1:35">
      <c r="A1183">
        <f t="shared" si="150"/>
        <v>0</v>
      </c>
      <c r="B1183">
        <f t="shared" si="151"/>
        <v>0</v>
      </c>
      <c r="C1183">
        <f t="shared" si="152"/>
        <v>0</v>
      </c>
      <c r="D1183">
        <f t="shared" si="153"/>
        <v>0</v>
      </c>
      <c r="E1183">
        <f t="shared" si="154"/>
        <v>0</v>
      </c>
      <c r="F1183">
        <f t="shared" si="155"/>
        <v>1</v>
      </c>
      <c r="G1183">
        <f t="shared" si="156"/>
        <v>0</v>
      </c>
      <c r="H1183">
        <v>0</v>
      </c>
      <c r="I1183">
        <f t="shared" si="157"/>
        <v>1</v>
      </c>
      <c r="J1183">
        <f t="shared" si="149"/>
        <v>18.073242664337162</v>
      </c>
      <c r="K1183" t="s">
        <v>2598</v>
      </c>
      <c r="L1183" t="s">
        <v>2599</v>
      </c>
      <c r="M1183" t="s">
        <v>27</v>
      </c>
      <c r="N1183" t="s">
        <v>27</v>
      </c>
      <c r="O1183">
        <v>18.2</v>
      </c>
      <c r="P1183">
        <v>21.324445724487301</v>
      </c>
      <c r="Q1183">
        <v>11.835954666137701</v>
      </c>
      <c r="R1183">
        <v>15.319999694824199</v>
      </c>
      <c r="S1183">
        <v>23.3333333333333</v>
      </c>
      <c r="T1183">
        <v>0</v>
      </c>
      <c r="U1183">
        <v>33.583332061767599</v>
      </c>
      <c r="V1183">
        <v>-3930999.75</v>
      </c>
      <c r="W1183">
        <v>19.769990921020501</v>
      </c>
      <c r="X1183">
        <v>0.259999990463257</v>
      </c>
      <c r="Y1183">
        <v>6.4668989181518599</v>
      </c>
      <c r="Z1183">
        <v>6.2372879981994602</v>
      </c>
      <c r="AA1183">
        <v>48207000</v>
      </c>
      <c r="AB1183" t="s">
        <v>30</v>
      </c>
      <c r="AC1183" t="s">
        <v>68</v>
      </c>
      <c r="AD1183">
        <v>0.18000000715255701</v>
      </c>
      <c r="AE1183">
        <v>33.211315155029297</v>
      </c>
      <c r="AF1183">
        <v>9.2339943395652195</v>
      </c>
      <c r="AG1183">
        <v>49105758</v>
      </c>
      <c r="AH1183">
        <v>7.40706586837769</v>
      </c>
      <c r="AI1183">
        <v>16.332954406738299</v>
      </c>
    </row>
    <row r="1184" spans="1:35">
      <c r="A1184">
        <f t="shared" si="150"/>
        <v>0</v>
      </c>
      <c r="B1184">
        <f t="shared" si="151"/>
        <v>0</v>
      </c>
      <c r="C1184">
        <f t="shared" si="152"/>
        <v>1</v>
      </c>
      <c r="D1184">
        <f t="shared" si="153"/>
        <v>1</v>
      </c>
      <c r="E1184">
        <f t="shared" si="154"/>
        <v>0</v>
      </c>
      <c r="F1184">
        <f t="shared" si="155"/>
        <v>1</v>
      </c>
      <c r="G1184">
        <f t="shared" si="156"/>
        <v>1</v>
      </c>
      <c r="H1184">
        <v>0</v>
      </c>
      <c r="I1184">
        <f t="shared" si="157"/>
        <v>0</v>
      </c>
      <c r="J1184">
        <f t="shared" ref="J1184:J1247" si="158">Z1184+Q1184</f>
        <v>18.06591272354127</v>
      </c>
      <c r="K1184" t="s">
        <v>510</v>
      </c>
      <c r="L1184" t="s">
        <v>511</v>
      </c>
      <c r="M1184" t="s">
        <v>27</v>
      </c>
      <c r="N1184" t="s">
        <v>27</v>
      </c>
      <c r="O1184">
        <v>9.65</v>
      </c>
      <c r="P1184">
        <v>13.956783294677701</v>
      </c>
      <c r="Q1184">
        <v>10.729229927063001</v>
      </c>
      <c r="R1184">
        <v>12.9899997711182</v>
      </c>
      <c r="S1184">
        <v>7.4899997711181596</v>
      </c>
      <c r="T1184">
        <v>18.657873153686499</v>
      </c>
      <c r="U1184">
        <v>27.450069427490199</v>
      </c>
      <c r="V1184">
        <v>4390220.5</v>
      </c>
      <c r="W1184">
        <v>8.2413091659545898</v>
      </c>
      <c r="X1184">
        <v>7.0000000298023196E-2</v>
      </c>
      <c r="Y1184">
        <v>9.7007875442504901</v>
      </c>
      <c r="Z1184">
        <v>7.3366827964782697</v>
      </c>
      <c r="AA1184">
        <v>29101000</v>
      </c>
      <c r="AB1184" t="s">
        <v>30</v>
      </c>
      <c r="AC1184" t="s">
        <v>223</v>
      </c>
      <c r="AD1184">
        <v>0.17000000178813901</v>
      </c>
      <c r="AE1184">
        <v>27.634593963623001</v>
      </c>
      <c r="AF1184">
        <v>5.9456749585860402</v>
      </c>
      <c r="AG1184">
        <v>28169000</v>
      </c>
      <c r="AH1184">
        <v>46.092376708984403</v>
      </c>
      <c r="AI1184">
        <v>6.7940578460693404</v>
      </c>
    </row>
    <row r="1185" spans="1:35">
      <c r="A1185">
        <f t="shared" ref="A1185:A1248" si="159">IF(AH1185&lt;T1185,1,0)</f>
        <v>0</v>
      </c>
      <c r="B1185">
        <f t="shared" ref="B1185:B1248" si="160">IF(AI1185&gt;W1185,1,0)</f>
        <v>1</v>
      </c>
      <c r="C1185">
        <f t="shared" ref="C1185:C1248" si="161">IF(V1185&gt;0,1,0)</f>
        <v>1</v>
      </c>
      <c r="D1185">
        <f t="shared" ref="D1185:D1248" si="162">IF(AD1185&gt;X1185,1,0)</f>
        <v>1</v>
      </c>
      <c r="E1185">
        <f t="shared" ref="E1185:E1248" si="163">IF(AA1185=AG1185,1,0)</f>
        <v>0</v>
      </c>
      <c r="F1185">
        <f t="shared" ref="F1185:F1248" si="164">IF(AI1185&gt;0,1,0)</f>
        <v>1</v>
      </c>
      <c r="G1185">
        <f t="shared" ref="G1185:G1248" si="165">IF(AE1185&gt;U1185,1,0)</f>
        <v>0</v>
      </c>
      <c r="H1185">
        <v>0</v>
      </c>
      <c r="I1185">
        <f t="shared" ref="I1185:I1248" si="166">IF(((O1185-R1185)/R1185)&gt;0.075,1,0)</f>
        <v>1</v>
      </c>
      <c r="J1185">
        <f t="shared" si="158"/>
        <v>18.0546522140503</v>
      </c>
      <c r="K1185" t="s">
        <v>3344</v>
      </c>
      <c r="L1185" t="s">
        <v>3345</v>
      </c>
      <c r="M1185" t="s">
        <v>27</v>
      </c>
      <c r="N1185" t="s">
        <v>27</v>
      </c>
      <c r="O1185">
        <v>37.25</v>
      </c>
      <c r="P1185">
        <v>13.003817558288601</v>
      </c>
      <c r="Q1185">
        <v>12.1796522140503</v>
      </c>
      <c r="R1185">
        <v>32.599998474121101</v>
      </c>
      <c r="S1185">
        <v>22.379999160766602</v>
      </c>
      <c r="T1185">
        <v>6.2383160591125497</v>
      </c>
      <c r="U1185" t="s">
        <v>27</v>
      </c>
      <c r="V1185">
        <v>6224000</v>
      </c>
      <c r="W1185">
        <v>1.4936870336532599</v>
      </c>
      <c r="X1185">
        <v>0.46999999880790699</v>
      </c>
      <c r="Y1185">
        <v>8.1509428024291992</v>
      </c>
      <c r="Z1185">
        <v>5.875</v>
      </c>
      <c r="AA1185">
        <v>6626000</v>
      </c>
      <c r="AB1185" t="s">
        <v>34</v>
      </c>
      <c r="AC1185" t="s">
        <v>35</v>
      </c>
      <c r="AD1185">
        <v>0.52999997138977095</v>
      </c>
      <c r="AE1185" t="s">
        <v>27</v>
      </c>
      <c r="AF1185" t="s">
        <v>27</v>
      </c>
      <c r="AG1185">
        <v>6667000</v>
      </c>
      <c r="AH1185">
        <v>8.4286241531372106</v>
      </c>
      <c r="AI1185">
        <v>1.50342905521393</v>
      </c>
    </row>
    <row r="1186" spans="1:35">
      <c r="A1186">
        <f t="shared" si="159"/>
        <v>0</v>
      </c>
      <c r="B1186">
        <f t="shared" si="160"/>
        <v>1</v>
      </c>
      <c r="C1186">
        <f t="shared" si="161"/>
        <v>1</v>
      </c>
      <c r="D1186">
        <f t="shared" si="162"/>
        <v>0</v>
      </c>
      <c r="E1186">
        <f t="shared" si="163"/>
        <v>0</v>
      </c>
      <c r="F1186">
        <f t="shared" si="164"/>
        <v>1</v>
      </c>
      <c r="G1186">
        <f t="shared" si="165"/>
        <v>1</v>
      </c>
      <c r="H1186">
        <v>0</v>
      </c>
      <c r="I1186">
        <f t="shared" si="166"/>
        <v>0</v>
      </c>
      <c r="J1186">
        <f t="shared" si="158"/>
        <v>18.046327114105249</v>
      </c>
      <c r="K1186" t="s">
        <v>414</v>
      </c>
      <c r="L1186" t="s">
        <v>415</v>
      </c>
      <c r="M1186" t="s">
        <v>27</v>
      </c>
      <c r="N1186" t="s">
        <v>27</v>
      </c>
      <c r="O1186">
        <v>7.7</v>
      </c>
      <c r="P1186">
        <v>5.82029008865356</v>
      </c>
      <c r="Q1186">
        <v>7.1520180702209499</v>
      </c>
      <c r="R1186">
        <v>7.1999998092651403</v>
      </c>
      <c r="S1186">
        <v>7.25</v>
      </c>
      <c r="T1186">
        <v>23.604516983032202</v>
      </c>
      <c r="U1186">
        <v>22.099830627441399</v>
      </c>
      <c r="V1186">
        <v>3460999.5</v>
      </c>
      <c r="W1186">
        <v>3.0073490142822301</v>
      </c>
      <c r="X1186">
        <v>0.15000000596046401</v>
      </c>
      <c r="Y1186">
        <v>6.9902911186218297</v>
      </c>
      <c r="Z1186">
        <v>10.8943090438843</v>
      </c>
      <c r="AA1186">
        <v>18333000</v>
      </c>
      <c r="AB1186" t="s">
        <v>27</v>
      </c>
      <c r="AC1186" t="s">
        <v>27</v>
      </c>
      <c r="AD1186">
        <v>0.119999997317791</v>
      </c>
      <c r="AE1186">
        <v>23.130907058715799</v>
      </c>
      <c r="AF1186" t="s">
        <v>27</v>
      </c>
      <c r="AG1186">
        <v>18496000</v>
      </c>
      <c r="AH1186">
        <v>30.2546997070313</v>
      </c>
      <c r="AI1186">
        <v>3.1593921184539799</v>
      </c>
    </row>
    <row r="1187" spans="1:35">
      <c r="A1187">
        <f t="shared" si="159"/>
        <v>0</v>
      </c>
      <c r="B1187">
        <f t="shared" si="160"/>
        <v>1</v>
      </c>
      <c r="C1187">
        <f t="shared" si="161"/>
        <v>1</v>
      </c>
      <c r="D1187">
        <f t="shared" si="162"/>
        <v>0</v>
      </c>
      <c r="E1187">
        <f t="shared" si="163"/>
        <v>0</v>
      </c>
      <c r="F1187">
        <f t="shared" si="164"/>
        <v>1</v>
      </c>
      <c r="G1187">
        <f t="shared" si="165"/>
        <v>0</v>
      </c>
      <c r="H1187">
        <v>0</v>
      </c>
      <c r="I1187">
        <f t="shared" si="166"/>
        <v>0</v>
      </c>
      <c r="J1187">
        <f t="shared" si="158"/>
        <v>17.985496997833202</v>
      </c>
      <c r="K1187" t="s">
        <v>2032</v>
      </c>
      <c r="L1187" t="s">
        <v>2033</v>
      </c>
      <c r="M1187" t="s">
        <v>27</v>
      </c>
      <c r="N1187" t="s">
        <v>27</v>
      </c>
      <c r="O1187">
        <v>26.75</v>
      </c>
      <c r="P1187">
        <v>18.864679336547901</v>
      </c>
      <c r="Q1187">
        <v>10.1166439056396</v>
      </c>
      <c r="R1187">
        <v>27.950000762939499</v>
      </c>
      <c r="S1187">
        <v>26.75</v>
      </c>
      <c r="T1187">
        <v>0</v>
      </c>
      <c r="U1187">
        <v>65.827125549316406</v>
      </c>
      <c r="V1187">
        <v>9806000</v>
      </c>
      <c r="W1187">
        <v>11.532317161560099</v>
      </c>
      <c r="X1187">
        <v>0.66000002622604403</v>
      </c>
      <c r="Y1187">
        <v>11.452196121215801</v>
      </c>
      <c r="Z1187">
        <v>7.8688530921936</v>
      </c>
      <c r="AA1187">
        <v>9706000</v>
      </c>
      <c r="AB1187" t="s">
        <v>61</v>
      </c>
      <c r="AC1187" t="s">
        <v>315</v>
      </c>
      <c r="AD1187">
        <v>0.34000000357627902</v>
      </c>
      <c r="AE1187">
        <v>64.743995666503906</v>
      </c>
      <c r="AF1187">
        <v>7.0037240343020404</v>
      </c>
      <c r="AG1187">
        <v>9641000</v>
      </c>
      <c r="AH1187">
        <v>8.6275711059570295</v>
      </c>
      <c r="AI1187">
        <v>12.8266382217407</v>
      </c>
    </row>
    <row r="1188" spans="1:35">
      <c r="A1188">
        <f t="shared" si="159"/>
        <v>1</v>
      </c>
      <c r="B1188">
        <f t="shared" si="160"/>
        <v>0</v>
      </c>
      <c r="C1188">
        <f t="shared" si="161"/>
        <v>1</v>
      </c>
      <c r="D1188">
        <f t="shared" si="162"/>
        <v>1</v>
      </c>
      <c r="E1188">
        <f t="shared" si="163"/>
        <v>0</v>
      </c>
      <c r="F1188">
        <f t="shared" si="164"/>
        <v>1</v>
      </c>
      <c r="G1188">
        <f t="shared" si="165"/>
        <v>1</v>
      </c>
      <c r="H1188">
        <v>0</v>
      </c>
      <c r="I1188">
        <f t="shared" si="166"/>
        <v>0</v>
      </c>
      <c r="J1188">
        <f t="shared" si="158"/>
        <v>17.976216793060338</v>
      </c>
      <c r="K1188" t="s">
        <v>2298</v>
      </c>
      <c r="L1188" t="s">
        <v>2299</v>
      </c>
      <c r="M1188" t="s">
        <v>27</v>
      </c>
      <c r="N1188" t="s">
        <v>27</v>
      </c>
      <c r="O1188">
        <v>8.6199999999999992</v>
      </c>
      <c r="P1188">
        <v>7.16223192214966</v>
      </c>
      <c r="Q1188">
        <v>7.5909361839294398</v>
      </c>
      <c r="R1188">
        <v>9.1499996185302699</v>
      </c>
      <c r="S1188">
        <v>7</v>
      </c>
      <c r="T1188">
        <v>28.827724456787099</v>
      </c>
      <c r="U1188">
        <v>17.410068511962901</v>
      </c>
      <c r="V1188">
        <v>8733000</v>
      </c>
      <c r="W1188" t="s">
        <v>27</v>
      </c>
      <c r="X1188">
        <v>0.34000000357627902</v>
      </c>
      <c r="Y1188">
        <v>6.7822780609130904</v>
      </c>
      <c r="Z1188">
        <v>10.3852806091309</v>
      </c>
      <c r="AA1188">
        <v>13325000</v>
      </c>
      <c r="AB1188" t="s">
        <v>27</v>
      </c>
      <c r="AC1188" t="s">
        <v>27</v>
      </c>
      <c r="AD1188">
        <v>0.34999999403953602</v>
      </c>
      <c r="AE1188">
        <v>19.592817306518601</v>
      </c>
      <c r="AF1188">
        <v>6.8906272540140403</v>
      </c>
      <c r="AG1188">
        <v>13348000</v>
      </c>
      <c r="AH1188">
        <v>19.024864196777301</v>
      </c>
      <c r="AI1188">
        <v>5.8447079658508301</v>
      </c>
    </row>
    <row r="1189" spans="1:35">
      <c r="A1189">
        <f t="shared" si="159"/>
        <v>0</v>
      </c>
      <c r="B1189">
        <f t="shared" si="160"/>
        <v>0</v>
      </c>
      <c r="C1189">
        <f t="shared" si="161"/>
        <v>0</v>
      </c>
      <c r="D1189">
        <f t="shared" si="162"/>
        <v>1</v>
      </c>
      <c r="E1189">
        <f t="shared" si="163"/>
        <v>0</v>
      </c>
      <c r="F1189">
        <f t="shared" si="164"/>
        <v>1</v>
      </c>
      <c r="G1189">
        <f t="shared" si="165"/>
        <v>1</v>
      </c>
      <c r="H1189">
        <v>0</v>
      </c>
      <c r="I1189">
        <f t="shared" si="166"/>
        <v>0</v>
      </c>
      <c r="J1189">
        <f t="shared" si="158"/>
        <v>17.969923496246341</v>
      </c>
      <c r="K1189" t="s">
        <v>2775</v>
      </c>
      <c r="L1189" t="s">
        <v>2776</v>
      </c>
      <c r="M1189" t="s">
        <v>27</v>
      </c>
      <c r="N1189" t="s">
        <v>27</v>
      </c>
      <c r="O1189">
        <v>15</v>
      </c>
      <c r="P1189">
        <v>7.0723290443420401</v>
      </c>
      <c r="Q1189">
        <v>11.929338455200201</v>
      </c>
      <c r="R1189">
        <v>19.219999313354499</v>
      </c>
      <c r="S1189">
        <v>13.3125</v>
      </c>
      <c r="T1189">
        <v>5.1788640022277797</v>
      </c>
      <c r="U1189">
        <v>18.448692321777301</v>
      </c>
      <c r="V1189">
        <v>-7917999.5</v>
      </c>
      <c r="W1189">
        <v>5.5972228050231898</v>
      </c>
      <c r="X1189">
        <v>0.21999999880790699</v>
      </c>
      <c r="Y1189">
        <v>7.4057140350341797</v>
      </c>
      <c r="Z1189">
        <v>6.0405850410461399</v>
      </c>
      <c r="AA1189">
        <v>10316000</v>
      </c>
      <c r="AB1189" t="s">
        <v>61</v>
      </c>
      <c r="AC1189" t="s">
        <v>106</v>
      </c>
      <c r="AD1189">
        <v>0.40999999642372098</v>
      </c>
      <c r="AE1189">
        <v>20.373928070068398</v>
      </c>
      <c r="AF1189">
        <v>4.6660060664204304</v>
      </c>
      <c r="AG1189">
        <v>10434000</v>
      </c>
      <c r="AH1189">
        <v>12.188173294067401</v>
      </c>
      <c r="AI1189">
        <v>5.3198819160461399</v>
      </c>
    </row>
    <row r="1190" spans="1:35">
      <c r="A1190">
        <f t="shared" si="159"/>
        <v>0</v>
      </c>
      <c r="B1190">
        <f t="shared" si="160"/>
        <v>1</v>
      </c>
      <c r="C1190">
        <f t="shared" si="161"/>
        <v>0</v>
      </c>
      <c r="D1190">
        <f t="shared" si="162"/>
        <v>0</v>
      </c>
      <c r="E1190">
        <f t="shared" si="163"/>
        <v>0</v>
      </c>
      <c r="F1190">
        <f t="shared" si="164"/>
        <v>1</v>
      </c>
      <c r="G1190">
        <f t="shared" si="165"/>
        <v>0</v>
      </c>
      <c r="H1190">
        <v>0</v>
      </c>
      <c r="I1190">
        <f t="shared" si="166"/>
        <v>0</v>
      </c>
      <c r="J1190">
        <f t="shared" si="158"/>
        <v>17.933005809783971</v>
      </c>
      <c r="K1190" t="s">
        <v>2879</v>
      </c>
      <c r="L1190" t="s">
        <v>2880</v>
      </c>
      <c r="M1190" t="s">
        <v>27</v>
      </c>
      <c r="N1190" t="s">
        <v>27</v>
      </c>
      <c r="O1190">
        <v>17.79</v>
      </c>
      <c r="P1190">
        <v>16.859312057495099</v>
      </c>
      <c r="Q1190">
        <v>12.5645847320557</v>
      </c>
      <c r="R1190">
        <v>18.280000686645501</v>
      </c>
      <c r="S1190">
        <v>22.875</v>
      </c>
      <c r="T1190">
        <v>24.521198272705099</v>
      </c>
      <c r="U1190">
        <v>41.249568939208999</v>
      </c>
      <c r="V1190">
        <v>-674999.8125</v>
      </c>
      <c r="W1190">
        <v>12.298845291137701</v>
      </c>
      <c r="X1190">
        <v>0.18000000715255701</v>
      </c>
      <c r="Y1190">
        <v>6.5503349304199201</v>
      </c>
      <c r="Z1190">
        <v>5.3684210777282697</v>
      </c>
      <c r="AA1190">
        <v>7288000</v>
      </c>
      <c r="AB1190" t="s">
        <v>27</v>
      </c>
      <c r="AC1190" t="s">
        <v>27</v>
      </c>
      <c r="AD1190">
        <v>5.0000000745058101E-2</v>
      </c>
      <c r="AE1190">
        <v>34.011425018310497</v>
      </c>
      <c r="AF1190">
        <v>9.6594803581216908</v>
      </c>
      <c r="AG1190">
        <v>7705000</v>
      </c>
      <c r="AH1190">
        <v>32.333408355712898</v>
      </c>
      <c r="AI1190">
        <v>13.4395151138306</v>
      </c>
    </row>
    <row r="1191" spans="1:35">
      <c r="A1191">
        <f t="shared" si="159"/>
        <v>1</v>
      </c>
      <c r="B1191">
        <f t="shared" si="160"/>
        <v>1</v>
      </c>
      <c r="C1191">
        <f t="shared" si="161"/>
        <v>1</v>
      </c>
      <c r="D1191">
        <f t="shared" si="162"/>
        <v>0</v>
      </c>
      <c r="E1191">
        <f t="shared" si="163"/>
        <v>0</v>
      </c>
      <c r="F1191">
        <f t="shared" si="164"/>
        <v>1</v>
      </c>
      <c r="G1191">
        <f t="shared" si="165"/>
        <v>0</v>
      </c>
      <c r="H1191">
        <v>0</v>
      </c>
      <c r="I1191">
        <f t="shared" si="166"/>
        <v>0</v>
      </c>
      <c r="J1191">
        <f t="shared" si="158"/>
        <v>17.92701625823975</v>
      </c>
      <c r="K1191" t="s">
        <v>492</v>
      </c>
      <c r="L1191" t="s">
        <v>493</v>
      </c>
      <c r="M1191" t="s">
        <v>27</v>
      </c>
      <c r="N1191" t="s">
        <v>27</v>
      </c>
      <c r="O1191">
        <v>14.63</v>
      </c>
      <c r="P1191">
        <v>10.7402286529541</v>
      </c>
      <c r="Q1191">
        <v>8.5121221542358398</v>
      </c>
      <c r="R1191">
        <v>21.100000381469702</v>
      </c>
      <c r="S1191">
        <v>27.610000610351602</v>
      </c>
      <c r="T1191">
        <v>38.505790710449197</v>
      </c>
      <c r="U1191">
        <v>19.295881271362301</v>
      </c>
      <c r="V1191">
        <v>31849000</v>
      </c>
      <c r="W1191">
        <v>5.9244680404663104</v>
      </c>
      <c r="X1191">
        <v>0.61000001430511497</v>
      </c>
      <c r="Y1191">
        <v>8.6772489547729492</v>
      </c>
      <c r="Z1191">
        <v>9.4148941040039098</v>
      </c>
      <c r="AA1191">
        <v>24421000</v>
      </c>
      <c r="AB1191" t="s">
        <v>27</v>
      </c>
      <c r="AC1191" t="s">
        <v>27</v>
      </c>
      <c r="AD1191">
        <v>0.15000000596046401</v>
      </c>
      <c r="AE1191">
        <v>17.280517578125</v>
      </c>
      <c r="AF1191">
        <v>7.31945114562751</v>
      </c>
      <c r="AG1191">
        <v>24574000</v>
      </c>
      <c r="AH1191">
        <v>35.1019477844238</v>
      </c>
      <c r="AI1191">
        <v>7.0072770118713397</v>
      </c>
    </row>
    <row r="1192" spans="1:35">
      <c r="A1192">
        <f t="shared" si="159"/>
        <v>0</v>
      </c>
      <c r="B1192">
        <f t="shared" si="160"/>
        <v>1</v>
      </c>
      <c r="C1192">
        <f t="shared" si="161"/>
        <v>1</v>
      </c>
      <c r="D1192">
        <f t="shared" si="162"/>
        <v>1</v>
      </c>
      <c r="E1192">
        <f t="shared" si="163"/>
        <v>0</v>
      </c>
      <c r="F1192">
        <f t="shared" si="164"/>
        <v>1</v>
      </c>
      <c r="G1192">
        <f t="shared" si="165"/>
        <v>0</v>
      </c>
      <c r="H1192">
        <v>0</v>
      </c>
      <c r="I1192">
        <f t="shared" si="166"/>
        <v>1</v>
      </c>
      <c r="J1192">
        <f t="shared" si="158"/>
        <v>17.913596630096443</v>
      </c>
      <c r="K1192" t="s">
        <v>2528</v>
      </c>
      <c r="L1192" t="s">
        <v>2529</v>
      </c>
      <c r="M1192" t="s">
        <v>27</v>
      </c>
      <c r="N1192" t="s">
        <v>27</v>
      </c>
      <c r="O1192">
        <v>37.64</v>
      </c>
      <c r="P1192">
        <v>9.3879070281982404</v>
      </c>
      <c r="Q1192">
        <v>9.9159526824951207</v>
      </c>
      <c r="R1192">
        <v>30.000000000075001</v>
      </c>
      <c r="S1192">
        <v>18.328125000045802</v>
      </c>
      <c r="T1192">
        <v>3.3637459278106698</v>
      </c>
      <c r="U1192" t="s">
        <v>27</v>
      </c>
      <c r="V1192">
        <v>10833000</v>
      </c>
      <c r="W1192">
        <v>1.2329089641571001</v>
      </c>
      <c r="X1192">
        <v>0.420000001789189</v>
      </c>
      <c r="Y1192">
        <v>9.4166669845581108</v>
      </c>
      <c r="Z1192">
        <v>7.9976439476013201</v>
      </c>
      <c r="AA1192">
        <v>7795999.9999805102</v>
      </c>
      <c r="AB1192" t="s">
        <v>34</v>
      </c>
      <c r="AC1192" t="s">
        <v>35</v>
      </c>
      <c r="AD1192">
        <v>0.58950001001505403</v>
      </c>
      <c r="AE1192" t="s">
        <v>27</v>
      </c>
      <c r="AF1192" t="s">
        <v>27</v>
      </c>
      <c r="AG1192">
        <v>7626666.6666476</v>
      </c>
      <c r="AH1192">
        <v>5.7621340751647896</v>
      </c>
      <c r="AI1192">
        <v>1.25431203842163</v>
      </c>
    </row>
    <row r="1193" spans="1:35">
      <c r="A1193">
        <f t="shared" si="159"/>
        <v>1</v>
      </c>
      <c r="B1193">
        <f t="shared" si="160"/>
        <v>0</v>
      </c>
      <c r="C1193">
        <f t="shared" si="161"/>
        <v>1</v>
      </c>
      <c r="D1193">
        <f t="shared" si="162"/>
        <v>1</v>
      </c>
      <c r="E1193">
        <f t="shared" si="163"/>
        <v>0</v>
      </c>
      <c r="F1193">
        <f t="shared" si="164"/>
        <v>1</v>
      </c>
      <c r="G1193">
        <f t="shared" si="165"/>
        <v>0</v>
      </c>
      <c r="H1193">
        <v>0</v>
      </c>
      <c r="I1193">
        <f t="shared" si="166"/>
        <v>1</v>
      </c>
      <c r="J1193">
        <f t="shared" si="158"/>
        <v>17.88463068008425</v>
      </c>
      <c r="K1193" t="s">
        <v>2945</v>
      </c>
      <c r="L1193" t="s">
        <v>2946</v>
      </c>
      <c r="M1193" t="s">
        <v>27</v>
      </c>
      <c r="N1193" t="s">
        <v>27</v>
      </c>
      <c r="O1193">
        <v>40.65</v>
      </c>
      <c r="P1193">
        <v>10.376594543456999</v>
      </c>
      <c r="Q1193">
        <v>11.345364570617701</v>
      </c>
      <c r="R1193">
        <v>35</v>
      </c>
      <c r="S1193">
        <v>19</v>
      </c>
      <c r="T1193">
        <v>2.78787398338318</v>
      </c>
      <c r="U1193" t="s">
        <v>27</v>
      </c>
      <c r="V1193">
        <v>6677000</v>
      </c>
      <c r="W1193">
        <v>1.30176997184753</v>
      </c>
      <c r="X1193">
        <v>0.479999989271164</v>
      </c>
      <c r="Y1193">
        <v>9.8500003814697301</v>
      </c>
      <c r="Z1193">
        <v>6.5392661094665501</v>
      </c>
      <c r="AA1193">
        <v>6077000</v>
      </c>
      <c r="AB1193" t="s">
        <v>34</v>
      </c>
      <c r="AC1193" t="s">
        <v>35</v>
      </c>
      <c r="AD1193">
        <v>0.66000002622604403</v>
      </c>
      <c r="AE1193" t="s">
        <v>27</v>
      </c>
      <c r="AF1193" t="s">
        <v>27</v>
      </c>
      <c r="AG1193">
        <v>5758000</v>
      </c>
      <c r="AH1193">
        <v>2.4657618999481201</v>
      </c>
      <c r="AI1193">
        <v>0.94185101985931396</v>
      </c>
    </row>
    <row r="1194" spans="1:35">
      <c r="A1194">
        <f t="shared" si="159"/>
        <v>1</v>
      </c>
      <c r="B1194">
        <f t="shared" si="160"/>
        <v>0</v>
      </c>
      <c r="C1194">
        <f t="shared" si="161"/>
        <v>1</v>
      </c>
      <c r="D1194">
        <f t="shared" si="162"/>
        <v>1</v>
      </c>
      <c r="E1194">
        <f t="shared" si="163"/>
        <v>0</v>
      </c>
      <c r="F1194">
        <f t="shared" si="164"/>
        <v>1</v>
      </c>
      <c r="G1194">
        <f t="shared" si="165"/>
        <v>1</v>
      </c>
      <c r="H1194">
        <v>0</v>
      </c>
      <c r="I1194">
        <f t="shared" si="166"/>
        <v>0</v>
      </c>
      <c r="J1194">
        <f t="shared" si="158"/>
        <v>17.846660137176471</v>
      </c>
      <c r="K1194" t="s">
        <v>2070</v>
      </c>
      <c r="L1194" t="s">
        <v>2071</v>
      </c>
      <c r="M1194" t="s">
        <v>27</v>
      </c>
      <c r="N1194" t="s">
        <v>27</v>
      </c>
      <c r="O1194">
        <v>14.36</v>
      </c>
      <c r="P1194">
        <v>8.6567678451538104</v>
      </c>
      <c r="Q1194">
        <v>6.6955809593200701</v>
      </c>
      <c r="R1194">
        <v>19.610000610351602</v>
      </c>
      <c r="S1194">
        <v>14.550000190734901</v>
      </c>
      <c r="T1194">
        <v>58.658981323242202</v>
      </c>
      <c r="U1194">
        <v>16.006647109985401</v>
      </c>
      <c r="V1194">
        <v>12361001</v>
      </c>
      <c r="W1194">
        <v>4.7885260581970197</v>
      </c>
      <c r="X1194">
        <v>0.55000001192092896</v>
      </c>
      <c r="Y1194">
        <v>14.845360755920399</v>
      </c>
      <c r="Z1194">
        <v>11.151079177856399</v>
      </c>
      <c r="AA1194">
        <v>12462000</v>
      </c>
      <c r="AB1194" t="s">
        <v>30</v>
      </c>
      <c r="AC1194" t="s">
        <v>68</v>
      </c>
      <c r="AD1194">
        <v>0.56999999284744296</v>
      </c>
      <c r="AE1194">
        <v>16.9456672668457</v>
      </c>
      <c r="AF1194">
        <v>9.0220717547981693</v>
      </c>
      <c r="AG1194">
        <v>12889000</v>
      </c>
      <c r="AH1194">
        <v>58.624172210693402</v>
      </c>
      <c r="AI1194">
        <v>4.2863588333129901</v>
      </c>
    </row>
    <row r="1195" spans="1:35">
      <c r="A1195">
        <f t="shared" si="159"/>
        <v>0</v>
      </c>
      <c r="B1195">
        <f t="shared" si="160"/>
        <v>0</v>
      </c>
      <c r="C1195">
        <f t="shared" si="161"/>
        <v>0</v>
      </c>
      <c r="D1195">
        <f t="shared" si="162"/>
        <v>0</v>
      </c>
      <c r="E1195">
        <f t="shared" si="163"/>
        <v>0</v>
      </c>
      <c r="F1195">
        <f t="shared" si="164"/>
        <v>1</v>
      </c>
      <c r="G1195">
        <f t="shared" si="165"/>
        <v>0</v>
      </c>
      <c r="H1195">
        <v>0</v>
      </c>
      <c r="I1195">
        <f t="shared" si="166"/>
        <v>0</v>
      </c>
      <c r="J1195">
        <f t="shared" si="158"/>
        <v>17.82781791687011</v>
      </c>
      <c r="K1195" t="s">
        <v>2869</v>
      </c>
      <c r="L1195" t="s">
        <v>2870</v>
      </c>
      <c r="M1195" t="s">
        <v>27</v>
      </c>
      <c r="N1195" t="s">
        <v>27</v>
      </c>
      <c r="O1195">
        <v>3.49</v>
      </c>
      <c r="P1195">
        <v>10.8450937271118</v>
      </c>
      <c r="Q1195">
        <v>6.8102741241455096</v>
      </c>
      <c r="R1195">
        <v>13.25</v>
      </c>
      <c r="S1195">
        <v>32.240001678466797</v>
      </c>
      <c r="T1195">
        <v>24.089307785034201</v>
      </c>
      <c r="U1195">
        <v>24.471500396728501</v>
      </c>
      <c r="V1195">
        <v>-23238000</v>
      </c>
      <c r="W1195">
        <v>7.1980228424072301</v>
      </c>
      <c r="X1195">
        <v>0.55000001192092896</v>
      </c>
      <c r="Y1195">
        <v>5.6975040435790998</v>
      </c>
      <c r="Z1195">
        <v>11.0175437927246</v>
      </c>
      <c r="AA1195">
        <v>55345000</v>
      </c>
      <c r="AB1195" t="s">
        <v>61</v>
      </c>
      <c r="AC1195" t="s">
        <v>131</v>
      </c>
      <c r="AD1195">
        <v>0.34000000357627902</v>
      </c>
      <c r="AE1195">
        <v>21.849180221557599</v>
      </c>
      <c r="AF1195">
        <v>7.8481160242899799</v>
      </c>
      <c r="AG1195">
        <v>60187000</v>
      </c>
      <c r="AH1195">
        <v>27.874412536621101</v>
      </c>
      <c r="AI1195">
        <v>6.9748868942260698</v>
      </c>
    </row>
    <row r="1196" spans="1:35">
      <c r="A1196">
        <f t="shared" si="159"/>
        <v>1</v>
      </c>
      <c r="B1196">
        <f t="shared" si="160"/>
        <v>1</v>
      </c>
      <c r="C1196">
        <f t="shared" si="161"/>
        <v>1</v>
      </c>
      <c r="D1196">
        <f t="shared" si="162"/>
        <v>0</v>
      </c>
      <c r="E1196">
        <f t="shared" si="163"/>
        <v>0</v>
      </c>
      <c r="F1196">
        <f t="shared" si="164"/>
        <v>1</v>
      </c>
      <c r="G1196">
        <f t="shared" si="165"/>
        <v>0</v>
      </c>
      <c r="H1196">
        <v>0</v>
      </c>
      <c r="I1196">
        <f t="shared" si="166"/>
        <v>0</v>
      </c>
      <c r="J1196">
        <f t="shared" si="158"/>
        <v>17.826170921325691</v>
      </c>
      <c r="K1196" t="s">
        <v>173</v>
      </c>
      <c r="L1196" t="s">
        <v>174</v>
      </c>
      <c r="M1196" t="s">
        <v>27</v>
      </c>
      <c r="N1196" t="s">
        <v>27</v>
      </c>
      <c r="O1196">
        <v>23.67</v>
      </c>
      <c r="P1196">
        <v>2.33221411705017</v>
      </c>
      <c r="Q1196">
        <v>8.2673482894897496</v>
      </c>
      <c r="R1196">
        <v>23.090000152587901</v>
      </c>
      <c r="S1196">
        <v>16.700000762939499</v>
      </c>
      <c r="T1196">
        <v>46.752086639404297</v>
      </c>
      <c r="U1196">
        <v>39.496517181396499</v>
      </c>
      <c r="V1196">
        <v>80981000</v>
      </c>
      <c r="W1196">
        <v>2.9154820442199698</v>
      </c>
      <c r="X1196">
        <v>0.30000001192092901</v>
      </c>
      <c r="Y1196">
        <v>14</v>
      </c>
      <c r="Z1196">
        <v>9.5588226318359393</v>
      </c>
      <c r="AA1196">
        <v>30720000</v>
      </c>
      <c r="AB1196" t="s">
        <v>61</v>
      </c>
      <c r="AC1196" t="s">
        <v>101</v>
      </c>
      <c r="AD1196">
        <v>0.30000001192092901</v>
      </c>
      <c r="AE1196">
        <v>37.966751098632798</v>
      </c>
      <c r="AF1196">
        <v>5.2617564364173104</v>
      </c>
      <c r="AG1196">
        <v>31224000</v>
      </c>
      <c r="AH1196">
        <v>34.998989105224602</v>
      </c>
      <c r="AI1196">
        <v>3.2844719886779798</v>
      </c>
    </row>
    <row r="1197" spans="1:35">
      <c r="A1197">
        <f t="shared" si="159"/>
        <v>0</v>
      </c>
      <c r="B1197">
        <f t="shared" si="160"/>
        <v>0</v>
      </c>
      <c r="C1197">
        <f t="shared" si="161"/>
        <v>1</v>
      </c>
      <c r="D1197">
        <f t="shared" si="162"/>
        <v>0</v>
      </c>
      <c r="E1197">
        <f t="shared" si="163"/>
        <v>0</v>
      </c>
      <c r="F1197">
        <f t="shared" si="164"/>
        <v>1</v>
      </c>
      <c r="G1197">
        <f t="shared" si="165"/>
        <v>0</v>
      </c>
      <c r="H1197">
        <v>0</v>
      </c>
      <c r="I1197">
        <f t="shared" si="166"/>
        <v>0</v>
      </c>
      <c r="J1197">
        <f t="shared" si="158"/>
        <v>17.824502468109138</v>
      </c>
      <c r="K1197" t="s">
        <v>2634</v>
      </c>
      <c r="L1197" t="s">
        <v>2635</v>
      </c>
      <c r="M1197" t="s">
        <v>27</v>
      </c>
      <c r="N1197" t="s">
        <v>27</v>
      </c>
      <c r="O1197">
        <v>22.15</v>
      </c>
      <c r="P1197">
        <v>7.9277710914611799</v>
      </c>
      <c r="Q1197">
        <v>6.6775650978088397</v>
      </c>
      <c r="R1197">
        <v>22.0790004730225</v>
      </c>
      <c r="S1197">
        <v>23.625</v>
      </c>
      <c r="T1197">
        <v>7.3137340545654297</v>
      </c>
      <c r="U1197" t="s">
        <v>27</v>
      </c>
      <c r="V1197" t="s">
        <v>27</v>
      </c>
      <c r="W1197">
        <v>1.0777599811553999</v>
      </c>
      <c r="X1197">
        <v>0.62000000476837203</v>
      </c>
      <c r="Y1197">
        <v>11.5393943786621</v>
      </c>
      <c r="Z1197">
        <v>11.1469373703003</v>
      </c>
      <c r="AA1197">
        <v>5682000</v>
      </c>
      <c r="AB1197" t="s">
        <v>27</v>
      </c>
      <c r="AC1197" t="s">
        <v>27</v>
      </c>
      <c r="AD1197">
        <v>0.60000002384185802</v>
      </c>
      <c r="AE1197" t="s">
        <v>27</v>
      </c>
      <c r="AF1197" t="s">
        <v>27</v>
      </c>
      <c r="AG1197">
        <v>5668000</v>
      </c>
      <c r="AH1197">
        <v>8.0936765670776403</v>
      </c>
      <c r="AI1197">
        <v>1.05316197872162</v>
      </c>
    </row>
    <row r="1198" spans="1:35">
      <c r="A1198">
        <f t="shared" si="159"/>
        <v>1</v>
      </c>
      <c r="B1198">
        <f t="shared" si="160"/>
        <v>0</v>
      </c>
      <c r="C1198">
        <f t="shared" si="161"/>
        <v>1</v>
      </c>
      <c r="D1198">
        <f t="shared" si="162"/>
        <v>1</v>
      </c>
      <c r="E1198">
        <f t="shared" si="163"/>
        <v>0</v>
      </c>
      <c r="F1198">
        <f t="shared" si="164"/>
        <v>1</v>
      </c>
      <c r="G1198">
        <f t="shared" si="165"/>
        <v>0</v>
      </c>
      <c r="H1198">
        <v>0</v>
      </c>
      <c r="I1198">
        <f t="shared" si="166"/>
        <v>0</v>
      </c>
      <c r="J1198">
        <f t="shared" si="158"/>
        <v>17.79584074020384</v>
      </c>
      <c r="K1198" t="s">
        <v>3671</v>
      </c>
      <c r="L1198" t="s">
        <v>3672</v>
      </c>
      <c r="M1198" t="s">
        <v>27</v>
      </c>
      <c r="N1198" t="s">
        <v>27</v>
      </c>
      <c r="O1198">
        <v>18.86</v>
      </c>
      <c r="P1198">
        <v>9.9991388320922905</v>
      </c>
      <c r="Q1198">
        <v>10.007976531982401</v>
      </c>
      <c r="R1198">
        <v>21.840000152587901</v>
      </c>
      <c r="S1198">
        <v>14.125</v>
      </c>
      <c r="T1198">
        <v>33.1451416015625</v>
      </c>
      <c r="U1198">
        <v>14.279450416564901</v>
      </c>
      <c r="V1198">
        <v>42816000</v>
      </c>
      <c r="W1198">
        <v>7.0795111656189</v>
      </c>
      <c r="X1198">
        <v>0.17000000178813901</v>
      </c>
      <c r="Y1198">
        <v>11.245283126831101</v>
      </c>
      <c r="Z1198">
        <v>7.78786420822144</v>
      </c>
      <c r="AA1198">
        <v>19719114</v>
      </c>
      <c r="AB1198" t="s">
        <v>61</v>
      </c>
      <c r="AC1198" t="s">
        <v>62</v>
      </c>
      <c r="AD1198">
        <v>0.20999999344348899</v>
      </c>
      <c r="AE1198">
        <v>14.0279331207275</v>
      </c>
      <c r="AF1198">
        <v>5.83599148320413</v>
      </c>
      <c r="AG1198">
        <v>17787860</v>
      </c>
      <c r="AH1198">
        <v>31.963737487793001</v>
      </c>
      <c r="AI1198">
        <v>6.3814129829406703</v>
      </c>
    </row>
    <row r="1199" spans="1:35">
      <c r="A1199">
        <f t="shared" si="159"/>
        <v>1</v>
      </c>
      <c r="B1199">
        <f t="shared" si="160"/>
        <v>1</v>
      </c>
      <c r="C1199">
        <f t="shared" si="161"/>
        <v>1</v>
      </c>
      <c r="D1199">
        <f t="shared" si="162"/>
        <v>1</v>
      </c>
      <c r="E1199">
        <f t="shared" si="163"/>
        <v>0</v>
      </c>
      <c r="F1199">
        <f t="shared" si="164"/>
        <v>1</v>
      </c>
      <c r="G1199">
        <f t="shared" si="165"/>
        <v>1</v>
      </c>
      <c r="H1199">
        <v>0</v>
      </c>
      <c r="I1199">
        <f t="shared" si="166"/>
        <v>0</v>
      </c>
      <c r="J1199">
        <f t="shared" si="158"/>
        <v>17.77350378036499</v>
      </c>
      <c r="K1199" t="s">
        <v>40</v>
      </c>
      <c r="L1199" t="s">
        <v>41</v>
      </c>
      <c r="M1199" t="s">
        <v>27</v>
      </c>
      <c r="N1199" t="s">
        <v>27</v>
      </c>
      <c r="O1199">
        <v>32.049999999999997</v>
      </c>
      <c r="P1199">
        <v>12.620618820190399</v>
      </c>
      <c r="Q1199">
        <v>13.147443771362299</v>
      </c>
      <c r="R1199">
        <v>35.709999084472699</v>
      </c>
      <c r="S1199">
        <v>25.0625</v>
      </c>
      <c r="T1199">
        <v>9.7411842346191406</v>
      </c>
      <c r="U1199">
        <v>43.326786041259801</v>
      </c>
      <c r="V1199">
        <v>5227999.5</v>
      </c>
      <c r="W1199">
        <v>9.3489198684692401</v>
      </c>
      <c r="X1199">
        <v>0.33000001311302202</v>
      </c>
      <c r="Y1199">
        <v>4.1379308700561497</v>
      </c>
      <c r="Z1199">
        <v>4.62606000900269</v>
      </c>
      <c r="AA1199">
        <v>16278999</v>
      </c>
      <c r="AB1199" t="s">
        <v>27</v>
      </c>
      <c r="AC1199" t="s">
        <v>27</v>
      </c>
      <c r="AD1199">
        <v>0.37000000476837203</v>
      </c>
      <c r="AE1199">
        <v>45.574905395507798</v>
      </c>
      <c r="AF1199">
        <v>11.861404327561299</v>
      </c>
      <c r="AG1199">
        <v>16392000</v>
      </c>
      <c r="AH1199">
        <v>8.19586181640625</v>
      </c>
      <c r="AI1199">
        <v>10.1346530914307</v>
      </c>
    </row>
    <row r="1200" spans="1:35">
      <c r="A1200">
        <f t="shared" si="159"/>
        <v>0</v>
      </c>
      <c r="B1200">
        <f t="shared" si="160"/>
        <v>0</v>
      </c>
      <c r="C1200">
        <f t="shared" si="161"/>
        <v>1</v>
      </c>
      <c r="D1200">
        <f t="shared" si="162"/>
        <v>0</v>
      </c>
      <c r="E1200">
        <f t="shared" si="163"/>
        <v>0</v>
      </c>
      <c r="F1200">
        <f t="shared" si="164"/>
        <v>1</v>
      </c>
      <c r="G1200">
        <f t="shared" si="165"/>
        <v>0</v>
      </c>
      <c r="H1200">
        <v>0</v>
      </c>
      <c r="I1200">
        <f t="shared" si="166"/>
        <v>0</v>
      </c>
      <c r="J1200">
        <f t="shared" si="158"/>
        <v>17.77203845977786</v>
      </c>
      <c r="K1200" t="s">
        <v>3851</v>
      </c>
      <c r="L1200" t="s">
        <v>3852</v>
      </c>
      <c r="M1200" t="s">
        <v>27</v>
      </c>
      <c r="N1200" t="s">
        <v>27</v>
      </c>
      <c r="O1200">
        <v>18.100000000000001</v>
      </c>
      <c r="P1200">
        <v>6.6573948860168501</v>
      </c>
      <c r="Q1200">
        <v>5.4805650711059597</v>
      </c>
      <c r="R1200">
        <v>19.994511941192702</v>
      </c>
      <c r="S1200">
        <v>20.385582592272399</v>
      </c>
      <c r="T1200">
        <v>65.534736633300795</v>
      </c>
      <c r="U1200" t="s">
        <v>27</v>
      </c>
      <c r="V1200">
        <v>55426000</v>
      </c>
      <c r="W1200">
        <v>2.7620320320129399</v>
      </c>
      <c r="X1200">
        <v>0.59039552156222097</v>
      </c>
      <c r="Y1200">
        <v>13.1070108413696</v>
      </c>
      <c r="Z1200">
        <v>12.2914733886719</v>
      </c>
      <c r="AA1200">
        <v>29368871.838225</v>
      </c>
      <c r="AB1200" t="s">
        <v>27</v>
      </c>
      <c r="AC1200" t="s">
        <v>27</v>
      </c>
      <c r="AD1200">
        <v>0.26267301146662803</v>
      </c>
      <c r="AE1200" t="s">
        <v>27</v>
      </c>
      <c r="AF1200">
        <v>9.9483278443229697</v>
      </c>
      <c r="AG1200">
        <v>35524107.255384102</v>
      </c>
      <c r="AH1200">
        <v>79.026260375976605</v>
      </c>
      <c r="AI1200">
        <v>2.32636690139771</v>
      </c>
    </row>
    <row r="1201" spans="1:35">
      <c r="A1201">
        <f t="shared" si="159"/>
        <v>1</v>
      </c>
      <c r="B1201">
        <f t="shared" si="160"/>
        <v>0</v>
      </c>
      <c r="C1201">
        <f t="shared" si="161"/>
        <v>0</v>
      </c>
      <c r="D1201">
        <f t="shared" si="162"/>
        <v>1</v>
      </c>
      <c r="E1201">
        <f t="shared" si="163"/>
        <v>0</v>
      </c>
      <c r="F1201">
        <f t="shared" si="164"/>
        <v>1</v>
      </c>
      <c r="G1201">
        <f t="shared" si="165"/>
        <v>0</v>
      </c>
      <c r="H1201">
        <v>0</v>
      </c>
      <c r="I1201">
        <f t="shared" si="166"/>
        <v>1</v>
      </c>
      <c r="J1201">
        <f t="shared" si="158"/>
        <v>17.76690483093266</v>
      </c>
      <c r="K1201" t="s">
        <v>2606</v>
      </c>
      <c r="L1201" t="s">
        <v>2607</v>
      </c>
      <c r="M1201" t="s">
        <v>27</v>
      </c>
      <c r="N1201" t="s">
        <v>27</v>
      </c>
      <c r="O1201">
        <v>28.67</v>
      </c>
      <c r="P1201" t="s">
        <v>27</v>
      </c>
      <c r="Q1201">
        <v>12.407427787780801</v>
      </c>
      <c r="R1201">
        <v>19.600000381469702</v>
      </c>
      <c r="S1201">
        <v>16.625</v>
      </c>
      <c r="T1201">
        <v>2.6726310253143302</v>
      </c>
      <c r="U1201" t="s">
        <v>27</v>
      </c>
      <c r="V1201">
        <v>-7692000</v>
      </c>
      <c r="W1201" t="s">
        <v>27</v>
      </c>
      <c r="X1201">
        <v>0.28999999165535001</v>
      </c>
      <c r="Y1201" t="s">
        <v>27</v>
      </c>
      <c r="Z1201">
        <v>5.3594770431518599</v>
      </c>
      <c r="AA1201">
        <v>3958000</v>
      </c>
      <c r="AB1201" t="s">
        <v>34</v>
      </c>
      <c r="AC1201" t="s">
        <v>35</v>
      </c>
      <c r="AD1201">
        <v>0.36000001430511502</v>
      </c>
      <c r="AE1201" t="s">
        <v>27</v>
      </c>
      <c r="AF1201" t="s">
        <v>27</v>
      </c>
      <c r="AG1201">
        <v>4610000</v>
      </c>
      <c r="AH1201">
        <v>2.4391660690307599</v>
      </c>
      <c r="AI1201">
        <v>0.57466298341751099</v>
      </c>
    </row>
    <row r="1202" spans="1:35">
      <c r="A1202">
        <f t="shared" si="159"/>
        <v>1</v>
      </c>
      <c r="B1202">
        <f t="shared" si="160"/>
        <v>0</v>
      </c>
      <c r="C1202">
        <f t="shared" si="161"/>
        <v>1</v>
      </c>
      <c r="D1202">
        <f t="shared" si="162"/>
        <v>1</v>
      </c>
      <c r="E1202">
        <f t="shared" si="163"/>
        <v>0</v>
      </c>
      <c r="F1202">
        <f t="shared" si="164"/>
        <v>1</v>
      </c>
      <c r="G1202">
        <f t="shared" si="165"/>
        <v>0</v>
      </c>
      <c r="H1202">
        <v>0</v>
      </c>
      <c r="I1202">
        <f t="shared" si="166"/>
        <v>1</v>
      </c>
      <c r="J1202">
        <f t="shared" si="158"/>
        <v>17.717478752136259</v>
      </c>
      <c r="K1202" t="s">
        <v>840</v>
      </c>
      <c r="L1202" t="s">
        <v>841</v>
      </c>
      <c r="M1202" t="s">
        <v>27</v>
      </c>
      <c r="N1202" t="s">
        <v>27</v>
      </c>
      <c r="O1202">
        <v>32.5</v>
      </c>
      <c r="P1202">
        <v>13.932463645935099</v>
      </c>
      <c r="Q1202">
        <v>11.813143730163601</v>
      </c>
      <c r="R1202">
        <v>26.950000762939499</v>
      </c>
      <c r="S1202">
        <v>23.399999618530298</v>
      </c>
      <c r="T1202">
        <v>30.613439559936499</v>
      </c>
      <c r="U1202">
        <v>29.7071437835693</v>
      </c>
      <c r="V1202">
        <v>18464000</v>
      </c>
      <c r="W1202">
        <v>9.0944929122924805</v>
      </c>
      <c r="X1202">
        <v>0.40999999642372098</v>
      </c>
      <c r="Y1202">
        <v>8.1836061477661097</v>
      </c>
      <c r="Z1202">
        <v>5.9043350219726598</v>
      </c>
      <c r="AA1202">
        <v>24323000</v>
      </c>
      <c r="AB1202" t="s">
        <v>61</v>
      </c>
      <c r="AC1202" t="s">
        <v>101</v>
      </c>
      <c r="AD1202">
        <v>0.41999998688697798</v>
      </c>
      <c r="AE1202">
        <v>28.6407279968262</v>
      </c>
      <c r="AF1202">
        <v>9.3520465872941898</v>
      </c>
      <c r="AG1202">
        <v>24619000</v>
      </c>
      <c r="AH1202">
        <v>29.4029750823975</v>
      </c>
      <c r="AI1202">
        <v>8.2544116973877006</v>
      </c>
    </row>
    <row r="1203" spans="1:35">
      <c r="A1203">
        <f t="shared" si="159"/>
        <v>0</v>
      </c>
      <c r="B1203">
        <f t="shared" si="160"/>
        <v>0</v>
      </c>
      <c r="C1203">
        <f t="shared" si="161"/>
        <v>1</v>
      </c>
      <c r="D1203">
        <f t="shared" si="162"/>
        <v>0</v>
      </c>
      <c r="E1203">
        <f t="shared" si="163"/>
        <v>0</v>
      </c>
      <c r="F1203">
        <f t="shared" si="164"/>
        <v>1</v>
      </c>
      <c r="G1203">
        <f t="shared" si="165"/>
        <v>0</v>
      </c>
      <c r="H1203">
        <v>0</v>
      </c>
      <c r="I1203">
        <f t="shared" si="166"/>
        <v>0</v>
      </c>
      <c r="J1203">
        <f t="shared" si="158"/>
        <v>17.633415222167969</v>
      </c>
      <c r="K1203" t="s">
        <v>3797</v>
      </c>
      <c r="L1203" t="s">
        <v>3798</v>
      </c>
      <c r="M1203" t="s">
        <v>27</v>
      </c>
      <c r="N1203" t="s">
        <v>27</v>
      </c>
      <c r="O1203">
        <v>13.94</v>
      </c>
      <c r="P1203">
        <v>8.4992628097534197</v>
      </c>
      <c r="Q1203">
        <v>9.2364683151245099</v>
      </c>
      <c r="R1203">
        <v>14.6499996185303</v>
      </c>
      <c r="S1203">
        <v>14.6000003814697</v>
      </c>
      <c r="T1203">
        <v>24.165969848632798</v>
      </c>
      <c r="U1203">
        <v>36.493278503417997</v>
      </c>
      <c r="V1203">
        <v>12870000</v>
      </c>
      <c r="W1203" t="s">
        <v>27</v>
      </c>
      <c r="X1203">
        <v>0.28999999165535001</v>
      </c>
      <c r="Y1203">
        <v>11.6000003814697</v>
      </c>
      <c r="Z1203">
        <v>8.3969469070434606</v>
      </c>
      <c r="AA1203">
        <v>26427000</v>
      </c>
      <c r="AB1203" t="s">
        <v>61</v>
      </c>
      <c r="AC1203" t="s">
        <v>101</v>
      </c>
      <c r="AD1203">
        <v>0.28999999165535001</v>
      </c>
      <c r="AE1203">
        <v>34.014446258544901</v>
      </c>
      <c r="AF1203">
        <v>6.8073953906148299</v>
      </c>
      <c r="AG1203">
        <v>26516000</v>
      </c>
      <c r="AH1203">
        <v>26.954553604126001</v>
      </c>
      <c r="AI1203" t="s">
        <v>27</v>
      </c>
    </row>
    <row r="1204" spans="1:35">
      <c r="A1204">
        <f t="shared" si="159"/>
        <v>0</v>
      </c>
      <c r="B1204">
        <f t="shared" si="160"/>
        <v>0</v>
      </c>
      <c r="C1204">
        <f t="shared" si="161"/>
        <v>0</v>
      </c>
      <c r="D1204">
        <f t="shared" si="162"/>
        <v>1</v>
      </c>
      <c r="E1204">
        <f t="shared" si="163"/>
        <v>0</v>
      </c>
      <c r="F1204">
        <f t="shared" si="164"/>
        <v>1</v>
      </c>
      <c r="G1204">
        <f t="shared" si="165"/>
        <v>0</v>
      </c>
      <c r="H1204">
        <v>0</v>
      </c>
      <c r="I1204">
        <f t="shared" si="166"/>
        <v>0</v>
      </c>
      <c r="J1204">
        <f t="shared" si="158"/>
        <v>17.6267409324646</v>
      </c>
      <c r="K1204" t="s">
        <v>1878</v>
      </c>
      <c r="L1204" t="s">
        <v>1879</v>
      </c>
      <c r="M1204" t="s">
        <v>27</v>
      </c>
      <c r="N1204" t="s">
        <v>27</v>
      </c>
      <c r="O1204">
        <v>12.95</v>
      </c>
      <c r="P1204">
        <v>9.6204528808593803</v>
      </c>
      <c r="Q1204">
        <v>7.85475397109985</v>
      </c>
      <c r="R1204">
        <v>16.329999923706101</v>
      </c>
      <c r="S1204">
        <v>9</v>
      </c>
      <c r="T1204">
        <v>72.472068786621094</v>
      </c>
      <c r="U1204">
        <v>49.280990600585902</v>
      </c>
      <c r="V1204">
        <v>-13813000</v>
      </c>
      <c r="W1204">
        <v>3.1353209018707302</v>
      </c>
      <c r="X1204">
        <v>0.31999999284744302</v>
      </c>
      <c r="Y1204">
        <v>12.345679283142101</v>
      </c>
      <c r="Z1204">
        <v>9.7719869613647496</v>
      </c>
      <c r="AA1204">
        <v>30527000</v>
      </c>
      <c r="AB1204" t="s">
        <v>30</v>
      </c>
      <c r="AC1204" t="s">
        <v>223</v>
      </c>
      <c r="AD1204">
        <v>0.37000000476837203</v>
      </c>
      <c r="AE1204">
        <v>47.801589965820298</v>
      </c>
      <c r="AF1204">
        <v>5.2132619907147504</v>
      </c>
      <c r="AG1204">
        <v>27651000</v>
      </c>
      <c r="AH1204">
        <v>74.747955322265597</v>
      </c>
      <c r="AI1204">
        <v>1.87054002285004</v>
      </c>
    </row>
    <row r="1205" spans="1:35">
      <c r="A1205">
        <f t="shared" si="159"/>
        <v>1</v>
      </c>
      <c r="B1205">
        <f t="shared" si="160"/>
        <v>0</v>
      </c>
      <c r="C1205">
        <f t="shared" si="161"/>
        <v>1</v>
      </c>
      <c r="D1205">
        <f t="shared" si="162"/>
        <v>0</v>
      </c>
      <c r="E1205">
        <f t="shared" si="163"/>
        <v>0</v>
      </c>
      <c r="F1205">
        <f t="shared" si="164"/>
        <v>1</v>
      </c>
      <c r="G1205">
        <f t="shared" si="165"/>
        <v>0</v>
      </c>
      <c r="H1205">
        <v>0</v>
      </c>
      <c r="I1205">
        <f t="shared" si="166"/>
        <v>0</v>
      </c>
      <c r="J1205">
        <f t="shared" si="158"/>
        <v>17.584174156189</v>
      </c>
      <c r="K1205" t="s">
        <v>3316</v>
      </c>
      <c r="L1205" t="s">
        <v>3317</v>
      </c>
      <c r="M1205" t="s">
        <v>27</v>
      </c>
      <c r="N1205" t="s">
        <v>27</v>
      </c>
      <c r="O1205">
        <v>15.38</v>
      </c>
      <c r="P1205">
        <v>7.91739797592163</v>
      </c>
      <c r="Q1205">
        <v>5.4378662109375</v>
      </c>
      <c r="R1205">
        <v>19.799999237060501</v>
      </c>
      <c r="S1205">
        <v>17.0200004577637</v>
      </c>
      <c r="T1205">
        <v>55.829414367675803</v>
      </c>
      <c r="U1205">
        <v>30.966161727905298</v>
      </c>
      <c r="V1205">
        <v>16739000</v>
      </c>
      <c r="W1205">
        <v>5.8443179130554199</v>
      </c>
      <c r="X1205">
        <v>0.31000000238418601</v>
      </c>
      <c r="Y1205">
        <v>11.1827945709229</v>
      </c>
      <c r="Z1205">
        <v>12.1463079452515</v>
      </c>
      <c r="AA1205">
        <v>8932000</v>
      </c>
      <c r="AB1205" t="s">
        <v>27</v>
      </c>
      <c r="AC1205" t="s">
        <v>27</v>
      </c>
      <c r="AD1205">
        <v>0.28000000119209301</v>
      </c>
      <c r="AE1205">
        <v>29.328588485717798</v>
      </c>
      <c r="AF1205">
        <v>8.2332109284447093</v>
      </c>
      <c r="AG1205">
        <v>8947000</v>
      </c>
      <c r="AH1205">
        <v>54.916290283203097</v>
      </c>
      <c r="AI1205">
        <v>4.6220078468322798</v>
      </c>
    </row>
    <row r="1206" spans="1:35">
      <c r="A1206">
        <f t="shared" si="159"/>
        <v>0</v>
      </c>
      <c r="B1206">
        <f t="shared" si="160"/>
        <v>1</v>
      </c>
      <c r="C1206">
        <f t="shared" si="161"/>
        <v>0</v>
      </c>
      <c r="D1206">
        <f t="shared" si="162"/>
        <v>1</v>
      </c>
      <c r="E1206">
        <f t="shared" si="163"/>
        <v>0</v>
      </c>
      <c r="F1206">
        <f t="shared" si="164"/>
        <v>1</v>
      </c>
      <c r="G1206">
        <f t="shared" si="165"/>
        <v>1</v>
      </c>
      <c r="H1206">
        <v>0</v>
      </c>
      <c r="I1206">
        <f t="shared" si="166"/>
        <v>0</v>
      </c>
      <c r="J1206">
        <f t="shared" si="158"/>
        <v>17.579384803771951</v>
      </c>
      <c r="K1206" t="s">
        <v>1818</v>
      </c>
      <c r="L1206" t="s">
        <v>1819</v>
      </c>
      <c r="M1206" t="s">
        <v>27</v>
      </c>
      <c r="N1206" t="s">
        <v>27</v>
      </c>
      <c r="O1206">
        <v>7.11</v>
      </c>
      <c r="P1206">
        <v>9.7596254348754901</v>
      </c>
      <c r="Q1206">
        <v>12.470506668090801</v>
      </c>
      <c r="R1206">
        <v>8</v>
      </c>
      <c r="S1206">
        <v>6.6666666666666696</v>
      </c>
      <c r="T1206">
        <v>6.2916212081909197</v>
      </c>
      <c r="U1206">
        <v>46.326137542724602</v>
      </c>
      <c r="V1206">
        <v>-800000</v>
      </c>
      <c r="W1206">
        <v>5.5189127922058097</v>
      </c>
      <c r="X1206">
        <v>9.3333333730697604E-2</v>
      </c>
      <c r="Y1206">
        <v>5.2190480232238796</v>
      </c>
      <c r="Z1206">
        <v>5.1088781356811497</v>
      </c>
      <c r="AA1206">
        <v>17502000</v>
      </c>
      <c r="AB1206" t="s">
        <v>194</v>
      </c>
      <c r="AC1206" t="s">
        <v>1176</v>
      </c>
      <c r="AD1206">
        <v>0.109999999403954</v>
      </c>
      <c r="AE1206">
        <v>48.070796966552699</v>
      </c>
      <c r="AF1206">
        <v>6.4959448231442201</v>
      </c>
      <c r="AG1206">
        <v>18649090</v>
      </c>
      <c r="AH1206">
        <v>7.0149860382080096</v>
      </c>
      <c r="AI1206">
        <v>7.2488641738891602</v>
      </c>
    </row>
    <row r="1207" spans="1:35">
      <c r="A1207">
        <f t="shared" si="159"/>
        <v>0</v>
      </c>
      <c r="B1207">
        <f t="shared" si="160"/>
        <v>1</v>
      </c>
      <c r="C1207">
        <f t="shared" si="161"/>
        <v>1</v>
      </c>
      <c r="D1207">
        <f t="shared" si="162"/>
        <v>0</v>
      </c>
      <c r="E1207">
        <f t="shared" si="163"/>
        <v>0</v>
      </c>
      <c r="F1207">
        <f t="shared" si="164"/>
        <v>1</v>
      </c>
      <c r="G1207">
        <f t="shared" si="165"/>
        <v>0</v>
      </c>
      <c r="H1207">
        <v>0</v>
      </c>
      <c r="I1207">
        <f t="shared" si="166"/>
        <v>0</v>
      </c>
      <c r="J1207">
        <f t="shared" si="158"/>
        <v>17.562695980072043</v>
      </c>
      <c r="K1207" t="s">
        <v>459</v>
      </c>
      <c r="L1207" t="s">
        <v>460</v>
      </c>
      <c r="M1207" t="s">
        <v>27</v>
      </c>
      <c r="N1207" t="s">
        <v>27</v>
      </c>
      <c r="O1207">
        <v>17.170000000000002</v>
      </c>
      <c r="P1207">
        <v>13.2268991470337</v>
      </c>
      <c r="Q1207">
        <v>11.844551086425801</v>
      </c>
      <c r="R1207">
        <v>16.039999389648401</v>
      </c>
      <c r="S1207">
        <v>16.7</v>
      </c>
      <c r="T1207">
        <v>3.52376389503479</v>
      </c>
      <c r="U1207" t="s">
        <v>27</v>
      </c>
      <c r="V1207">
        <v>20110000</v>
      </c>
      <c r="W1207">
        <v>2.42221999168396</v>
      </c>
      <c r="X1207">
        <v>0.26400001049041699</v>
      </c>
      <c r="Y1207">
        <v>5.8419618606567401</v>
      </c>
      <c r="Z1207">
        <v>5.7181448936462402</v>
      </c>
      <c r="AA1207">
        <v>14067500</v>
      </c>
      <c r="AB1207" t="s">
        <v>27</v>
      </c>
      <c r="AC1207" t="s">
        <v>27</v>
      </c>
      <c r="AD1207">
        <v>0.248000001907349</v>
      </c>
      <c r="AE1207" t="s">
        <v>27</v>
      </c>
      <c r="AF1207" t="s">
        <v>27</v>
      </c>
      <c r="AG1207">
        <v>13837500</v>
      </c>
      <c r="AH1207">
        <v>4.7462868690490696</v>
      </c>
      <c r="AI1207">
        <v>2.44806909561157</v>
      </c>
    </row>
    <row r="1208" spans="1:35">
      <c r="A1208">
        <f t="shared" si="159"/>
        <v>0</v>
      </c>
      <c r="B1208">
        <f t="shared" si="160"/>
        <v>0</v>
      </c>
      <c r="C1208">
        <f t="shared" si="161"/>
        <v>1</v>
      </c>
      <c r="D1208">
        <f t="shared" si="162"/>
        <v>1</v>
      </c>
      <c r="E1208">
        <f t="shared" si="163"/>
        <v>0</v>
      </c>
      <c r="F1208">
        <f t="shared" si="164"/>
        <v>1</v>
      </c>
      <c r="G1208">
        <f t="shared" si="165"/>
        <v>0</v>
      </c>
      <c r="H1208">
        <v>0</v>
      </c>
      <c r="I1208">
        <f t="shared" si="166"/>
        <v>1</v>
      </c>
      <c r="J1208">
        <f t="shared" si="158"/>
        <v>17.556367874145508</v>
      </c>
      <c r="K1208" t="s">
        <v>1237</v>
      </c>
      <c r="L1208" t="s">
        <v>1238</v>
      </c>
      <c r="M1208" t="s">
        <v>27</v>
      </c>
      <c r="N1208" t="s">
        <v>27</v>
      </c>
      <c r="O1208">
        <v>23.5</v>
      </c>
      <c r="P1208">
        <v>8.4729690551757795</v>
      </c>
      <c r="Q1208">
        <v>8.3255987167358398</v>
      </c>
      <c r="R1208">
        <v>20.350000381469702</v>
      </c>
      <c r="S1208">
        <v>13.7600002288818</v>
      </c>
      <c r="T1208">
        <v>47.137588500976598</v>
      </c>
      <c r="U1208" t="s">
        <v>27</v>
      </c>
      <c r="V1208">
        <v>8758000</v>
      </c>
      <c r="W1208">
        <v>4.7341489791870099</v>
      </c>
      <c r="X1208">
        <v>0.40000000596046398</v>
      </c>
      <c r="Y1208">
        <v>15.529412269592299</v>
      </c>
      <c r="Z1208">
        <v>9.2307691574096697</v>
      </c>
      <c r="AA1208">
        <v>14723000</v>
      </c>
      <c r="AB1208" t="s">
        <v>83</v>
      </c>
      <c r="AC1208" t="s">
        <v>84</v>
      </c>
      <c r="AD1208">
        <v>0.40999999642372098</v>
      </c>
      <c r="AE1208" t="s">
        <v>27</v>
      </c>
      <c r="AF1208">
        <v>12.4768903201364</v>
      </c>
      <c r="AG1208">
        <v>14799000</v>
      </c>
      <c r="AH1208">
        <v>50.288944244384801</v>
      </c>
      <c r="AI1208">
        <v>4.6943898200988796</v>
      </c>
    </row>
    <row r="1209" spans="1:35">
      <c r="A1209">
        <f t="shared" si="159"/>
        <v>1</v>
      </c>
      <c r="B1209">
        <f t="shared" si="160"/>
        <v>1</v>
      </c>
      <c r="C1209">
        <f t="shared" si="161"/>
        <v>1</v>
      </c>
      <c r="D1209">
        <f t="shared" si="162"/>
        <v>1</v>
      </c>
      <c r="E1209">
        <f t="shared" si="163"/>
        <v>0</v>
      </c>
      <c r="F1209">
        <f t="shared" si="164"/>
        <v>1</v>
      </c>
      <c r="G1209">
        <f t="shared" si="165"/>
        <v>1</v>
      </c>
      <c r="H1209">
        <v>0</v>
      </c>
      <c r="I1209">
        <f t="shared" si="166"/>
        <v>1</v>
      </c>
      <c r="J1209">
        <f t="shared" si="158"/>
        <v>17.550113677978519</v>
      </c>
      <c r="K1209" t="s">
        <v>2310</v>
      </c>
      <c r="L1209" t="s">
        <v>2311</v>
      </c>
      <c r="M1209" t="s">
        <v>27</v>
      </c>
      <c r="N1209" t="s">
        <v>27</v>
      </c>
      <c r="O1209">
        <v>31.9</v>
      </c>
      <c r="P1209">
        <v>7.9755601882934597</v>
      </c>
      <c r="Q1209">
        <v>8.2161893844604492</v>
      </c>
      <c r="R1209">
        <v>26.110000610351602</v>
      </c>
      <c r="S1209">
        <v>20.1666666666667</v>
      </c>
      <c r="T1209">
        <v>46.265785217285199</v>
      </c>
      <c r="U1209">
        <v>30.004461288452099</v>
      </c>
      <c r="V1209">
        <v>14437000</v>
      </c>
      <c r="W1209">
        <v>3.1946029663085902</v>
      </c>
      <c r="X1209">
        <v>0.493333339691162</v>
      </c>
      <c r="Y1209">
        <v>9.4273862838745099</v>
      </c>
      <c r="Z1209">
        <v>9.33392429351807</v>
      </c>
      <c r="AA1209">
        <v>13117500</v>
      </c>
      <c r="AB1209" t="s">
        <v>61</v>
      </c>
      <c r="AC1209" t="s">
        <v>65</v>
      </c>
      <c r="AD1209">
        <v>0.56999999284744296</v>
      </c>
      <c r="AE1209">
        <v>31.055915832519499</v>
      </c>
      <c r="AF1209">
        <v>7.4228280702417297</v>
      </c>
      <c r="AG1209">
        <v>13076000</v>
      </c>
      <c r="AH1209">
        <v>43.585655212402301</v>
      </c>
      <c r="AI1209">
        <v>3.3900260925293</v>
      </c>
    </row>
    <row r="1210" spans="1:35">
      <c r="A1210">
        <f t="shared" si="159"/>
        <v>1</v>
      </c>
      <c r="B1210">
        <f t="shared" si="160"/>
        <v>0</v>
      </c>
      <c r="C1210">
        <f t="shared" si="161"/>
        <v>0</v>
      </c>
      <c r="D1210">
        <f t="shared" si="162"/>
        <v>1</v>
      </c>
      <c r="E1210">
        <f t="shared" si="163"/>
        <v>0</v>
      </c>
      <c r="F1210">
        <f t="shared" si="164"/>
        <v>1</v>
      </c>
      <c r="G1210">
        <f t="shared" si="165"/>
        <v>0</v>
      </c>
      <c r="H1210">
        <v>0</v>
      </c>
      <c r="I1210">
        <f t="shared" si="166"/>
        <v>1</v>
      </c>
      <c r="J1210">
        <f t="shared" si="158"/>
        <v>17.512678146362259</v>
      </c>
      <c r="K1210" t="s">
        <v>1384</v>
      </c>
      <c r="L1210" t="s">
        <v>1385</v>
      </c>
      <c r="M1210" t="s">
        <v>27</v>
      </c>
      <c r="N1210" t="s">
        <v>27</v>
      </c>
      <c r="O1210">
        <v>35.479999999999997</v>
      </c>
      <c r="P1210">
        <v>6.5253548622131303</v>
      </c>
      <c r="Q1210">
        <v>10.7843971252441</v>
      </c>
      <c r="R1210">
        <v>24</v>
      </c>
      <c r="S1210">
        <v>15.6666666666667</v>
      </c>
      <c r="T1210">
        <v>1.6478290557861299</v>
      </c>
      <c r="U1210" t="s">
        <v>27</v>
      </c>
      <c r="V1210">
        <v>-3581000</v>
      </c>
      <c r="W1210">
        <v>1.11365902423859</v>
      </c>
      <c r="X1210">
        <v>0.20000000794728601</v>
      </c>
      <c r="Y1210">
        <v>5.4012742042541504</v>
      </c>
      <c r="Z1210">
        <v>6.7282810211181596</v>
      </c>
      <c r="AA1210">
        <v>4470000</v>
      </c>
      <c r="AB1210" t="s">
        <v>34</v>
      </c>
      <c r="AC1210" t="s">
        <v>35</v>
      </c>
      <c r="AD1210">
        <v>0.36000001430511502</v>
      </c>
      <c r="AE1210" t="s">
        <v>27</v>
      </c>
      <c r="AF1210" t="s">
        <v>27</v>
      </c>
      <c r="AG1210">
        <v>4321500</v>
      </c>
      <c r="AH1210">
        <v>0.90706700086593595</v>
      </c>
      <c r="AI1210">
        <v>0.83331000804901101</v>
      </c>
    </row>
    <row r="1211" spans="1:35">
      <c r="A1211">
        <f t="shared" si="159"/>
        <v>0</v>
      </c>
      <c r="B1211">
        <f t="shared" si="160"/>
        <v>0</v>
      </c>
      <c r="C1211">
        <f t="shared" si="161"/>
        <v>1</v>
      </c>
      <c r="D1211">
        <f t="shared" si="162"/>
        <v>0</v>
      </c>
      <c r="E1211">
        <f t="shared" si="163"/>
        <v>0</v>
      </c>
      <c r="F1211">
        <f t="shared" si="164"/>
        <v>1</v>
      </c>
      <c r="G1211">
        <f t="shared" si="165"/>
        <v>0</v>
      </c>
      <c r="H1211">
        <v>0</v>
      </c>
      <c r="I1211">
        <f t="shared" si="166"/>
        <v>0</v>
      </c>
      <c r="J1211">
        <f t="shared" si="158"/>
        <v>17.496501445770289</v>
      </c>
      <c r="K1211" t="s">
        <v>2244</v>
      </c>
      <c r="L1211" t="s">
        <v>2245</v>
      </c>
      <c r="M1211" t="s">
        <v>27</v>
      </c>
      <c r="N1211" t="s">
        <v>27</v>
      </c>
      <c r="O1211">
        <v>8.75</v>
      </c>
      <c r="P1211">
        <v>7.2030792236328098</v>
      </c>
      <c r="Q1211">
        <v>4.3891568183898899</v>
      </c>
      <c r="R1211">
        <v>8.8999996185302699</v>
      </c>
      <c r="S1211">
        <v>6.0999999046325701</v>
      </c>
      <c r="T1211">
        <v>86.353988647460895</v>
      </c>
      <c r="U1211" t="s">
        <v>27</v>
      </c>
      <c r="V1211">
        <v>6350000</v>
      </c>
      <c r="W1211">
        <v>1.9263600111007699</v>
      </c>
      <c r="X1211">
        <v>0.37000000476837203</v>
      </c>
      <c r="Y1211">
        <v>16.5647068023682</v>
      </c>
      <c r="Z1211">
        <v>13.1073446273804</v>
      </c>
      <c r="AA1211">
        <v>8866000</v>
      </c>
      <c r="AB1211" t="s">
        <v>34</v>
      </c>
      <c r="AC1211" t="s">
        <v>298</v>
      </c>
      <c r="AD1211">
        <v>0.270000010728836</v>
      </c>
      <c r="AE1211" t="s">
        <v>27</v>
      </c>
      <c r="AF1211">
        <v>30.6779581307425</v>
      </c>
      <c r="AG1211">
        <v>19035000</v>
      </c>
      <c r="AH1211">
        <v>88.749519348144503</v>
      </c>
      <c r="AI1211">
        <v>1.50275802612305</v>
      </c>
    </row>
    <row r="1212" spans="1:35">
      <c r="A1212">
        <f t="shared" si="159"/>
        <v>0</v>
      </c>
      <c r="B1212">
        <f t="shared" si="160"/>
        <v>1</v>
      </c>
      <c r="C1212">
        <f t="shared" si="161"/>
        <v>0</v>
      </c>
      <c r="D1212">
        <f t="shared" si="162"/>
        <v>1</v>
      </c>
      <c r="E1212">
        <f t="shared" si="163"/>
        <v>0</v>
      </c>
      <c r="F1212">
        <f t="shared" si="164"/>
        <v>1</v>
      </c>
      <c r="G1212">
        <f t="shared" si="165"/>
        <v>1</v>
      </c>
      <c r="H1212">
        <v>0</v>
      </c>
      <c r="I1212">
        <f t="shared" si="166"/>
        <v>0</v>
      </c>
      <c r="J1212">
        <f t="shared" si="158"/>
        <v>17.461343288421659</v>
      </c>
      <c r="K1212" t="s">
        <v>1314</v>
      </c>
      <c r="L1212" t="s">
        <v>1315</v>
      </c>
      <c r="M1212" t="s">
        <v>27</v>
      </c>
      <c r="N1212" t="s">
        <v>27</v>
      </c>
      <c r="O1212">
        <v>15.91</v>
      </c>
      <c r="P1212">
        <v>7.2031960487365696</v>
      </c>
      <c r="Q1212">
        <v>10.886630058288601</v>
      </c>
      <c r="R1212">
        <v>33.580001831054702</v>
      </c>
      <c r="S1212">
        <v>29.625</v>
      </c>
      <c r="T1212">
        <v>12.8065900802612</v>
      </c>
      <c r="U1212">
        <v>40.980300903320298</v>
      </c>
      <c r="V1212">
        <v>-15503000</v>
      </c>
      <c r="W1212">
        <v>-3.0798890590667698</v>
      </c>
      <c r="X1212">
        <v>0.15999999642372101</v>
      </c>
      <c r="Y1212">
        <v>3.13544702529907</v>
      </c>
      <c r="Z1212">
        <v>6.5747132301330602</v>
      </c>
      <c r="AA1212">
        <v>28284000</v>
      </c>
      <c r="AB1212" t="s">
        <v>38</v>
      </c>
      <c r="AC1212" t="s">
        <v>146</v>
      </c>
      <c r="AD1212">
        <v>0.18000000715255701</v>
      </c>
      <c r="AE1212">
        <v>48.732040405273402</v>
      </c>
      <c r="AF1212">
        <v>8.05185220494924</v>
      </c>
      <c r="AG1212">
        <v>31943000</v>
      </c>
      <c r="AH1212">
        <v>28.778633117675799</v>
      </c>
      <c r="AI1212">
        <v>4.4154891967773402</v>
      </c>
    </row>
    <row r="1213" spans="1:35">
      <c r="A1213">
        <f t="shared" si="159"/>
        <v>0</v>
      </c>
      <c r="B1213">
        <f t="shared" si="160"/>
        <v>1</v>
      </c>
      <c r="C1213">
        <f t="shared" si="161"/>
        <v>1</v>
      </c>
      <c r="D1213">
        <f t="shared" si="162"/>
        <v>0</v>
      </c>
      <c r="E1213">
        <f t="shared" si="163"/>
        <v>0</v>
      </c>
      <c r="F1213">
        <f t="shared" si="164"/>
        <v>1</v>
      </c>
      <c r="G1213">
        <f t="shared" si="165"/>
        <v>1</v>
      </c>
      <c r="H1213">
        <v>0</v>
      </c>
      <c r="I1213">
        <f t="shared" si="166"/>
        <v>1</v>
      </c>
      <c r="J1213">
        <f t="shared" si="158"/>
        <v>17.403411626815831</v>
      </c>
      <c r="K1213" t="s">
        <v>1846</v>
      </c>
      <c r="L1213" t="s">
        <v>1847</v>
      </c>
      <c r="M1213" t="s">
        <v>27</v>
      </c>
      <c r="N1213" t="s">
        <v>27</v>
      </c>
      <c r="O1213">
        <v>10.25</v>
      </c>
      <c r="P1213">
        <v>3.9248180389404301</v>
      </c>
      <c r="Q1213">
        <v>3.8133780956268302</v>
      </c>
      <c r="R1213">
        <v>8.6999998092651403</v>
      </c>
      <c r="S1213">
        <v>7.6399998664856001</v>
      </c>
      <c r="T1213">
        <v>47.475608825683601</v>
      </c>
      <c r="U1213">
        <v>33.798233032226598</v>
      </c>
      <c r="V1213">
        <v>25716000</v>
      </c>
      <c r="W1213">
        <v>4.1637291908264196</v>
      </c>
      <c r="X1213">
        <v>0.40000000596046398</v>
      </c>
      <c r="Y1213">
        <v>13.209301948547401</v>
      </c>
      <c r="Z1213">
        <v>13.590033531189</v>
      </c>
      <c r="AA1213">
        <v>67450000</v>
      </c>
      <c r="AB1213" t="s">
        <v>27</v>
      </c>
      <c r="AC1213" t="s">
        <v>27</v>
      </c>
      <c r="AD1213">
        <v>-2.9999999329447701E-2</v>
      </c>
      <c r="AE1213">
        <v>39.090187072753899</v>
      </c>
      <c r="AF1213">
        <v>5.6516007744844696</v>
      </c>
      <c r="AG1213">
        <v>65300004</v>
      </c>
      <c r="AH1213">
        <v>56.765010833740199</v>
      </c>
      <c r="AI1213">
        <v>4.95870018005371</v>
      </c>
    </row>
    <row r="1214" spans="1:35">
      <c r="A1214">
        <f t="shared" si="159"/>
        <v>0</v>
      </c>
      <c r="B1214">
        <f t="shared" si="160"/>
        <v>1</v>
      </c>
      <c r="C1214">
        <f t="shared" si="161"/>
        <v>1</v>
      </c>
      <c r="D1214">
        <f t="shared" si="162"/>
        <v>1</v>
      </c>
      <c r="E1214">
        <f t="shared" si="163"/>
        <v>0</v>
      </c>
      <c r="F1214">
        <f t="shared" si="164"/>
        <v>1</v>
      </c>
      <c r="G1214">
        <f t="shared" si="165"/>
        <v>0</v>
      </c>
      <c r="H1214">
        <v>0</v>
      </c>
      <c r="I1214">
        <f t="shared" si="166"/>
        <v>1</v>
      </c>
      <c r="J1214">
        <f t="shared" si="158"/>
        <v>17.368480682373029</v>
      </c>
      <c r="K1214" t="s">
        <v>647</v>
      </c>
      <c r="L1214" t="s">
        <v>648</v>
      </c>
      <c r="M1214" t="s">
        <v>27</v>
      </c>
      <c r="N1214" t="s">
        <v>27</v>
      </c>
      <c r="O1214">
        <v>23.1</v>
      </c>
      <c r="P1214">
        <v>6.82067823410034</v>
      </c>
      <c r="Q1214">
        <v>5.9692049026489302</v>
      </c>
      <c r="R1214">
        <v>18.200000762939499</v>
      </c>
      <c r="S1214">
        <v>16.049999237060501</v>
      </c>
      <c r="T1214">
        <v>17.157627105712901</v>
      </c>
      <c r="U1214" t="s">
        <v>27</v>
      </c>
      <c r="V1214">
        <v>6601000</v>
      </c>
      <c r="W1214">
        <v>1.15736997127533</v>
      </c>
      <c r="X1214">
        <v>0.490000009536743</v>
      </c>
      <c r="Y1214">
        <v>10.095237731933601</v>
      </c>
      <c r="Z1214">
        <v>11.3992757797241</v>
      </c>
      <c r="AA1214">
        <v>8157000</v>
      </c>
      <c r="AB1214" t="s">
        <v>34</v>
      </c>
      <c r="AC1214" t="s">
        <v>35</v>
      </c>
      <c r="AD1214">
        <v>0.55000001192092896</v>
      </c>
      <c r="AE1214" t="s">
        <v>27</v>
      </c>
      <c r="AF1214" t="s">
        <v>27</v>
      </c>
      <c r="AG1214">
        <v>8080000</v>
      </c>
      <c r="AH1214">
        <v>22.1974391937256</v>
      </c>
      <c r="AI1214">
        <v>1.42932796478271</v>
      </c>
    </row>
    <row r="1215" spans="1:35">
      <c r="A1215">
        <f t="shared" si="159"/>
        <v>1</v>
      </c>
      <c r="B1215">
        <f t="shared" si="160"/>
        <v>0</v>
      </c>
      <c r="C1215">
        <f t="shared" si="161"/>
        <v>1</v>
      </c>
      <c r="D1215">
        <f t="shared" si="162"/>
        <v>1</v>
      </c>
      <c r="E1215">
        <f t="shared" si="163"/>
        <v>0</v>
      </c>
      <c r="F1215">
        <f t="shared" si="164"/>
        <v>1</v>
      </c>
      <c r="G1215">
        <f t="shared" si="165"/>
        <v>0</v>
      </c>
      <c r="H1215">
        <v>0</v>
      </c>
      <c r="I1215">
        <f t="shared" si="166"/>
        <v>1</v>
      </c>
      <c r="J1215">
        <f t="shared" si="158"/>
        <v>17.36443710327152</v>
      </c>
      <c r="K1215" t="s">
        <v>2122</v>
      </c>
      <c r="L1215" t="s">
        <v>2123</v>
      </c>
      <c r="M1215" t="s">
        <v>27</v>
      </c>
      <c r="N1215" t="s">
        <v>27</v>
      </c>
      <c r="O1215">
        <v>19.8</v>
      </c>
      <c r="P1215">
        <v>15.1245374679565</v>
      </c>
      <c r="Q1215">
        <v>11.4166879653931</v>
      </c>
      <c r="R1215">
        <v>16.899999618530298</v>
      </c>
      <c r="S1215">
        <v>14.5</v>
      </c>
      <c r="T1215">
        <v>6.4871068000793501</v>
      </c>
      <c r="U1215" t="s">
        <v>27</v>
      </c>
      <c r="V1215">
        <v>4090000</v>
      </c>
      <c r="W1215">
        <v>2.1288390159606898</v>
      </c>
      <c r="X1215">
        <v>0.25</v>
      </c>
      <c r="Y1215">
        <v>7.79274606704712</v>
      </c>
      <c r="Z1215">
        <v>5.9477491378784197</v>
      </c>
      <c r="AA1215">
        <v>13867000</v>
      </c>
      <c r="AB1215" t="s">
        <v>27</v>
      </c>
      <c r="AC1215" t="s">
        <v>27</v>
      </c>
      <c r="AD1215">
        <v>0.28999999165535001</v>
      </c>
      <c r="AE1215" t="s">
        <v>27</v>
      </c>
      <c r="AF1215" t="s">
        <v>27</v>
      </c>
      <c r="AG1215">
        <v>15662000</v>
      </c>
      <c r="AH1215">
        <v>5.4192490577697798</v>
      </c>
      <c r="AI1215">
        <v>1.4482680559158301</v>
      </c>
    </row>
    <row r="1216" spans="1:35">
      <c r="A1216">
        <f t="shared" si="159"/>
        <v>1</v>
      </c>
      <c r="B1216">
        <f t="shared" si="160"/>
        <v>0</v>
      </c>
      <c r="C1216">
        <f t="shared" si="161"/>
        <v>1</v>
      </c>
      <c r="D1216">
        <f t="shared" si="162"/>
        <v>1</v>
      </c>
      <c r="E1216">
        <f t="shared" si="163"/>
        <v>0</v>
      </c>
      <c r="F1216">
        <f t="shared" si="164"/>
        <v>1</v>
      </c>
      <c r="G1216">
        <f t="shared" si="165"/>
        <v>0</v>
      </c>
      <c r="H1216">
        <v>0</v>
      </c>
      <c r="I1216">
        <f t="shared" si="166"/>
        <v>1</v>
      </c>
      <c r="J1216">
        <f t="shared" si="158"/>
        <v>17.356291770935059</v>
      </c>
      <c r="K1216" t="s">
        <v>248</v>
      </c>
      <c r="L1216" t="s">
        <v>249</v>
      </c>
      <c r="M1216" t="s">
        <v>27</v>
      </c>
      <c r="N1216" t="s">
        <v>27</v>
      </c>
      <c r="O1216">
        <v>24.54</v>
      </c>
      <c r="P1216">
        <v>8.6398220062255895</v>
      </c>
      <c r="Q1216">
        <v>8.8714437484741193</v>
      </c>
      <c r="R1216">
        <v>18.899999618530298</v>
      </c>
      <c r="S1216">
        <v>16.375</v>
      </c>
      <c r="T1216">
        <v>9.6806774139404297</v>
      </c>
      <c r="U1216" t="s">
        <v>27</v>
      </c>
      <c r="V1216">
        <v>4719000</v>
      </c>
      <c r="W1216" t="s">
        <v>27</v>
      </c>
      <c r="X1216">
        <v>0.36000001430511502</v>
      </c>
      <c r="Y1216">
        <v>12.7272729873657</v>
      </c>
      <c r="Z1216">
        <v>8.4848480224609393</v>
      </c>
      <c r="AA1216">
        <v>6088000</v>
      </c>
      <c r="AB1216" t="s">
        <v>34</v>
      </c>
      <c r="AC1216" t="s">
        <v>35</v>
      </c>
      <c r="AD1216">
        <v>0.38999998569488498</v>
      </c>
      <c r="AE1216" t="s">
        <v>27</v>
      </c>
      <c r="AF1216" t="s">
        <v>27</v>
      </c>
      <c r="AG1216">
        <v>5914000</v>
      </c>
      <c r="AH1216">
        <v>7.4948830604553196</v>
      </c>
      <c r="AI1216">
        <v>1.67993199825287</v>
      </c>
    </row>
    <row r="1217" spans="1:35">
      <c r="A1217">
        <f t="shared" si="159"/>
        <v>0</v>
      </c>
      <c r="B1217">
        <f t="shared" si="160"/>
        <v>1</v>
      </c>
      <c r="C1217">
        <f t="shared" si="161"/>
        <v>1</v>
      </c>
      <c r="D1217">
        <f t="shared" si="162"/>
        <v>0</v>
      </c>
      <c r="E1217">
        <f t="shared" si="163"/>
        <v>0</v>
      </c>
      <c r="F1217">
        <f t="shared" si="164"/>
        <v>1</v>
      </c>
      <c r="G1217">
        <f t="shared" si="165"/>
        <v>1</v>
      </c>
      <c r="H1217">
        <v>0</v>
      </c>
      <c r="I1217">
        <f t="shared" si="166"/>
        <v>1</v>
      </c>
      <c r="J1217">
        <f t="shared" si="158"/>
        <v>17.329477548599268</v>
      </c>
      <c r="K1217" t="s">
        <v>1099</v>
      </c>
      <c r="L1217" t="s">
        <v>1100</v>
      </c>
      <c r="M1217" t="s">
        <v>27</v>
      </c>
      <c r="N1217" t="s">
        <v>27</v>
      </c>
      <c r="O1217">
        <v>19.98</v>
      </c>
      <c r="P1217">
        <v>-937.24328613281295</v>
      </c>
      <c r="Q1217">
        <v>3.5606338977813698</v>
      </c>
      <c r="R1217">
        <v>15.069999694824199</v>
      </c>
      <c r="S1217">
        <v>20.4799995422363</v>
      </c>
      <c r="T1217">
        <v>72.288688659667997</v>
      </c>
      <c r="U1217">
        <v>41.8960151672363</v>
      </c>
      <c r="V1217">
        <v>323449984</v>
      </c>
      <c r="W1217">
        <v>2.9520280361175502</v>
      </c>
      <c r="X1217">
        <v>1.4900000095367401</v>
      </c>
      <c r="Y1217">
        <v>15.6455698013306</v>
      </c>
      <c r="Z1217">
        <v>13.7688436508179</v>
      </c>
      <c r="AA1217">
        <v>24183000</v>
      </c>
      <c r="AB1217" t="s">
        <v>27</v>
      </c>
      <c r="AC1217" t="s">
        <v>27</v>
      </c>
      <c r="AD1217">
        <v>0.25</v>
      </c>
      <c r="AE1217">
        <v>64.182800292968807</v>
      </c>
      <c r="AF1217" t="s">
        <v>27</v>
      </c>
      <c r="AG1217">
        <v>24294000</v>
      </c>
      <c r="AH1217">
        <v>74.734443664550795</v>
      </c>
      <c r="AI1217">
        <v>3.6520841121673602</v>
      </c>
    </row>
    <row r="1218" spans="1:35">
      <c r="A1218">
        <f t="shared" si="159"/>
        <v>0</v>
      </c>
      <c r="B1218">
        <f t="shared" si="160"/>
        <v>0</v>
      </c>
      <c r="C1218">
        <f t="shared" si="161"/>
        <v>1</v>
      </c>
      <c r="D1218">
        <f t="shared" si="162"/>
        <v>0</v>
      </c>
      <c r="E1218">
        <f t="shared" si="163"/>
        <v>0</v>
      </c>
      <c r="F1218">
        <f t="shared" si="164"/>
        <v>1</v>
      </c>
      <c r="G1218">
        <f t="shared" si="165"/>
        <v>0</v>
      </c>
      <c r="H1218">
        <v>0</v>
      </c>
      <c r="I1218">
        <f t="shared" si="166"/>
        <v>0</v>
      </c>
      <c r="J1218">
        <f t="shared" si="158"/>
        <v>17.326176643371582</v>
      </c>
      <c r="K1218" t="s">
        <v>1886</v>
      </c>
      <c r="L1218" t="s">
        <v>1887</v>
      </c>
      <c r="M1218" t="s">
        <v>27</v>
      </c>
      <c r="N1218" t="s">
        <v>27</v>
      </c>
      <c r="O1218">
        <v>4.08</v>
      </c>
      <c r="P1218" t="s">
        <v>27</v>
      </c>
      <c r="Q1218">
        <v>11.3419246673584</v>
      </c>
      <c r="R1218">
        <v>11.5</v>
      </c>
      <c r="S1218">
        <v>33.875</v>
      </c>
      <c r="T1218">
        <v>0</v>
      </c>
      <c r="U1218">
        <v>81.131546020507798</v>
      </c>
      <c r="V1218">
        <v>5459000</v>
      </c>
      <c r="W1218">
        <v>50.398155212402301</v>
      </c>
      <c r="X1218">
        <v>2.9999999329447701E-2</v>
      </c>
      <c r="Y1218" t="s">
        <v>27</v>
      </c>
      <c r="Z1218">
        <v>5.98425197601318</v>
      </c>
      <c r="AA1218">
        <v>47412000</v>
      </c>
      <c r="AB1218" t="s">
        <v>38</v>
      </c>
      <c r="AC1218" t="s">
        <v>113</v>
      </c>
      <c r="AD1218">
        <v>2.9999999329447701E-2</v>
      </c>
      <c r="AE1218">
        <v>77.729713439941406</v>
      </c>
      <c r="AF1218">
        <v>12.294639936494599</v>
      </c>
      <c r="AG1218">
        <v>55260000</v>
      </c>
      <c r="AH1218">
        <v>0</v>
      </c>
      <c r="AI1218">
        <v>11.614208221435501</v>
      </c>
    </row>
    <row r="1219" spans="1:35">
      <c r="A1219">
        <f t="shared" si="159"/>
        <v>0</v>
      </c>
      <c r="B1219">
        <f t="shared" si="160"/>
        <v>0</v>
      </c>
      <c r="C1219">
        <f t="shared" si="161"/>
        <v>0</v>
      </c>
      <c r="D1219">
        <f t="shared" si="162"/>
        <v>0</v>
      </c>
      <c r="E1219">
        <f t="shared" si="163"/>
        <v>0</v>
      </c>
      <c r="F1219">
        <f t="shared" si="164"/>
        <v>1</v>
      </c>
      <c r="G1219">
        <f t="shared" si="165"/>
        <v>0</v>
      </c>
      <c r="H1219">
        <v>0</v>
      </c>
      <c r="I1219">
        <f t="shared" si="166"/>
        <v>0</v>
      </c>
      <c r="J1219">
        <f t="shared" si="158"/>
        <v>17.302052021026618</v>
      </c>
      <c r="K1219" t="s">
        <v>1750</v>
      </c>
      <c r="L1219" t="s">
        <v>1751</v>
      </c>
      <c r="M1219" t="s">
        <v>27</v>
      </c>
      <c r="N1219" t="s">
        <v>27</v>
      </c>
      <c r="O1219">
        <v>29.58</v>
      </c>
      <c r="P1219" t="s">
        <v>27</v>
      </c>
      <c r="Q1219">
        <v>9.9491109848022496</v>
      </c>
      <c r="R1219">
        <v>32.009998321533203</v>
      </c>
      <c r="S1219">
        <v>20.5</v>
      </c>
      <c r="T1219">
        <v>25.392738342285199</v>
      </c>
      <c r="U1219">
        <v>71.875</v>
      </c>
      <c r="V1219">
        <v>-2200000.25</v>
      </c>
      <c r="W1219">
        <v>19.866409301757798</v>
      </c>
      <c r="X1219">
        <v>0.37000000476837203</v>
      </c>
      <c r="Y1219">
        <v>5.9733328819274902</v>
      </c>
      <c r="Z1219">
        <v>7.3529410362243697</v>
      </c>
      <c r="AA1219">
        <v>20403000</v>
      </c>
      <c r="AB1219" t="s">
        <v>27</v>
      </c>
      <c r="AC1219" t="s">
        <v>27</v>
      </c>
      <c r="AD1219">
        <v>0.17000000178813901</v>
      </c>
      <c r="AE1219">
        <v>70.950706481933594</v>
      </c>
      <c r="AF1219">
        <v>10.8210062153846</v>
      </c>
      <c r="AG1219">
        <v>20100000</v>
      </c>
      <c r="AH1219">
        <v>30.377500534057599</v>
      </c>
      <c r="AI1219">
        <v>10.642291069030801</v>
      </c>
    </row>
    <row r="1220" spans="1:35">
      <c r="A1220">
        <f t="shared" si="159"/>
        <v>0</v>
      </c>
      <c r="B1220">
        <f t="shared" si="160"/>
        <v>1</v>
      </c>
      <c r="C1220">
        <f t="shared" si="161"/>
        <v>1</v>
      </c>
      <c r="D1220">
        <f t="shared" si="162"/>
        <v>0</v>
      </c>
      <c r="E1220">
        <f t="shared" si="163"/>
        <v>0</v>
      </c>
      <c r="F1220">
        <f t="shared" si="164"/>
        <v>1</v>
      </c>
      <c r="G1220">
        <f t="shared" si="165"/>
        <v>0</v>
      </c>
      <c r="H1220">
        <v>0</v>
      </c>
      <c r="I1220">
        <f t="shared" si="166"/>
        <v>1</v>
      </c>
      <c r="J1220">
        <f t="shared" si="158"/>
        <v>17.2971863746643</v>
      </c>
      <c r="K1220" t="s">
        <v>905</v>
      </c>
      <c r="L1220" t="s">
        <v>906</v>
      </c>
      <c r="M1220" t="s">
        <v>27</v>
      </c>
      <c r="N1220" t="s">
        <v>27</v>
      </c>
      <c r="O1220">
        <v>25.49</v>
      </c>
      <c r="P1220">
        <v>9.8638267517089808</v>
      </c>
      <c r="Q1220">
        <v>9.3055543899536097</v>
      </c>
      <c r="R1220">
        <v>21.136363636363601</v>
      </c>
      <c r="S1220">
        <v>14.545454545454501</v>
      </c>
      <c r="T1220">
        <v>5.1179261207580602</v>
      </c>
      <c r="U1220" t="s">
        <v>27</v>
      </c>
      <c r="V1220">
        <v>40556000</v>
      </c>
      <c r="W1220">
        <v>0.98753899335861195</v>
      </c>
      <c r="X1220">
        <v>0.43636362661014899</v>
      </c>
      <c r="Y1220">
        <v>11.846658706665</v>
      </c>
      <c r="Z1220">
        <v>7.9916319847106898</v>
      </c>
      <c r="AA1220">
        <v>12905200</v>
      </c>
      <c r="AB1220" t="s">
        <v>34</v>
      </c>
      <c r="AC1220" t="s">
        <v>35</v>
      </c>
      <c r="AD1220">
        <v>0.418181825767864</v>
      </c>
      <c r="AE1220" t="s">
        <v>27</v>
      </c>
      <c r="AF1220" t="s">
        <v>27</v>
      </c>
      <c r="AG1220">
        <v>12555400</v>
      </c>
      <c r="AH1220">
        <v>5.6588802337646502</v>
      </c>
      <c r="AI1220">
        <v>1.0070149898529099</v>
      </c>
    </row>
    <row r="1221" spans="1:35">
      <c r="A1221">
        <f t="shared" si="159"/>
        <v>1</v>
      </c>
      <c r="B1221">
        <f t="shared" si="160"/>
        <v>1</v>
      </c>
      <c r="C1221">
        <f t="shared" si="161"/>
        <v>1</v>
      </c>
      <c r="D1221">
        <f t="shared" si="162"/>
        <v>0</v>
      </c>
      <c r="E1221">
        <f t="shared" si="163"/>
        <v>0</v>
      </c>
      <c r="F1221">
        <f t="shared" si="164"/>
        <v>1</v>
      </c>
      <c r="G1221">
        <f t="shared" si="165"/>
        <v>0</v>
      </c>
      <c r="H1221">
        <v>0</v>
      </c>
      <c r="I1221">
        <f t="shared" si="166"/>
        <v>1</v>
      </c>
      <c r="J1221">
        <f t="shared" si="158"/>
        <v>17.264580726623528</v>
      </c>
      <c r="K1221" t="s">
        <v>1416</v>
      </c>
      <c r="L1221" t="s">
        <v>1417</v>
      </c>
      <c r="M1221" t="s">
        <v>27</v>
      </c>
      <c r="N1221" t="s">
        <v>27</v>
      </c>
      <c r="O1221">
        <v>23.73</v>
      </c>
      <c r="P1221">
        <v>7.8583550453186</v>
      </c>
      <c r="Q1221">
        <v>8.9272317886352504</v>
      </c>
      <c r="R1221">
        <v>18.867924528301899</v>
      </c>
      <c r="S1221">
        <v>14.8584905660377</v>
      </c>
      <c r="T1221">
        <v>8.3783149719238299</v>
      </c>
      <c r="U1221" t="s">
        <v>27</v>
      </c>
      <c r="V1221">
        <v>5441000</v>
      </c>
      <c r="W1221">
        <v>1.29277896881104</v>
      </c>
      <c r="X1221">
        <v>0.40566038410618599</v>
      </c>
      <c r="Y1221">
        <v>9.7647056579589808</v>
      </c>
      <c r="Z1221">
        <v>8.3373489379882795</v>
      </c>
      <c r="AA1221">
        <v>4230460</v>
      </c>
      <c r="AB1221" t="s">
        <v>27</v>
      </c>
      <c r="AC1221" t="s">
        <v>27</v>
      </c>
      <c r="AD1221">
        <v>0.39622640272356402</v>
      </c>
      <c r="AE1221" t="s">
        <v>27</v>
      </c>
      <c r="AF1221" t="s">
        <v>27</v>
      </c>
      <c r="AG1221">
        <v>4459420</v>
      </c>
      <c r="AH1221">
        <v>2.24263691902161</v>
      </c>
      <c r="AI1221">
        <v>1.29414999485016</v>
      </c>
    </row>
    <row r="1222" spans="1:35">
      <c r="A1222">
        <f t="shared" si="159"/>
        <v>1</v>
      </c>
      <c r="B1222">
        <f t="shared" si="160"/>
        <v>0</v>
      </c>
      <c r="C1222">
        <f t="shared" si="161"/>
        <v>1</v>
      </c>
      <c r="D1222">
        <f t="shared" si="162"/>
        <v>0</v>
      </c>
      <c r="E1222">
        <f t="shared" si="163"/>
        <v>0</v>
      </c>
      <c r="F1222">
        <f t="shared" si="164"/>
        <v>1</v>
      </c>
      <c r="G1222">
        <f t="shared" si="165"/>
        <v>1</v>
      </c>
      <c r="H1222">
        <v>0</v>
      </c>
      <c r="I1222">
        <f t="shared" si="166"/>
        <v>1</v>
      </c>
      <c r="J1222">
        <f t="shared" si="158"/>
        <v>17.25597095489502</v>
      </c>
      <c r="K1222" t="s">
        <v>1018</v>
      </c>
      <c r="L1222" t="s">
        <v>1019</v>
      </c>
      <c r="M1222" t="s">
        <v>27</v>
      </c>
      <c r="N1222" t="s">
        <v>27</v>
      </c>
      <c r="O1222">
        <v>54.45</v>
      </c>
      <c r="P1222">
        <v>9.5417051315307599</v>
      </c>
      <c r="Q1222">
        <v>9.1658420562744105</v>
      </c>
      <c r="R1222">
        <v>47.150001525878899</v>
      </c>
      <c r="S1222">
        <v>47.5200004577637</v>
      </c>
      <c r="T1222">
        <v>7.6860918998718297</v>
      </c>
      <c r="U1222">
        <v>37.576637268066399</v>
      </c>
      <c r="V1222">
        <v>10371001</v>
      </c>
      <c r="W1222">
        <v>10.554613113403301</v>
      </c>
      <c r="X1222">
        <v>1.1100000143051101</v>
      </c>
      <c r="Y1222">
        <v>7.9894042015075701</v>
      </c>
      <c r="Z1222">
        <v>8.0901288986206108</v>
      </c>
      <c r="AA1222">
        <v>10014000</v>
      </c>
      <c r="AB1222" t="s">
        <v>61</v>
      </c>
      <c r="AC1222" t="s">
        <v>65</v>
      </c>
      <c r="AD1222">
        <v>0.87000000476837203</v>
      </c>
      <c r="AE1222">
        <v>38.009315490722699</v>
      </c>
      <c r="AF1222">
        <v>8.0523752005500793</v>
      </c>
      <c r="AG1222">
        <v>10074000</v>
      </c>
      <c r="AH1222">
        <v>5.0771350860595703</v>
      </c>
      <c r="AI1222">
        <v>10.3130779266357</v>
      </c>
    </row>
    <row r="1223" spans="1:35">
      <c r="A1223">
        <f t="shared" si="159"/>
        <v>1</v>
      </c>
      <c r="B1223">
        <f t="shared" si="160"/>
        <v>0</v>
      </c>
      <c r="C1223">
        <f t="shared" si="161"/>
        <v>1</v>
      </c>
      <c r="D1223">
        <f t="shared" si="162"/>
        <v>1</v>
      </c>
      <c r="E1223">
        <f t="shared" si="163"/>
        <v>0</v>
      </c>
      <c r="F1223">
        <f t="shared" si="164"/>
        <v>1</v>
      </c>
      <c r="G1223">
        <f t="shared" si="165"/>
        <v>0</v>
      </c>
      <c r="H1223">
        <v>0</v>
      </c>
      <c r="I1223">
        <f t="shared" si="166"/>
        <v>0</v>
      </c>
      <c r="J1223">
        <f t="shared" si="158"/>
        <v>17.25274515151974</v>
      </c>
      <c r="K1223" t="s">
        <v>1660</v>
      </c>
      <c r="L1223" t="s">
        <v>1661</v>
      </c>
      <c r="M1223" t="s">
        <v>27</v>
      </c>
      <c r="N1223" t="s">
        <v>27</v>
      </c>
      <c r="O1223">
        <v>37.619999999999997</v>
      </c>
      <c r="P1223">
        <v>12.400321960449199</v>
      </c>
      <c r="Q1223">
        <v>13.122072219848601</v>
      </c>
      <c r="R1223">
        <v>36.75</v>
      </c>
      <c r="S1223">
        <v>17.559999465942401</v>
      </c>
      <c r="T1223">
        <v>32.167491912841797</v>
      </c>
      <c r="U1223" t="s">
        <v>27</v>
      </c>
      <c r="V1223">
        <v>19471000</v>
      </c>
      <c r="W1223" t="s">
        <v>27</v>
      </c>
      <c r="X1223">
        <v>0.234999999403954</v>
      </c>
      <c r="Y1223">
        <v>3.5502250194549601</v>
      </c>
      <c r="Z1223">
        <v>4.1306729316711399</v>
      </c>
      <c r="AA1223">
        <v>26312000</v>
      </c>
      <c r="AB1223" t="s">
        <v>27</v>
      </c>
      <c r="AC1223" t="s">
        <v>27</v>
      </c>
      <c r="AD1223">
        <v>0.34499999880790699</v>
      </c>
      <c r="AE1223" t="s">
        <v>27</v>
      </c>
      <c r="AF1223">
        <v>13.0505045196336</v>
      </c>
      <c r="AG1223">
        <v>28160000</v>
      </c>
      <c r="AH1223">
        <v>28.689918518066399</v>
      </c>
      <c r="AI1223">
        <v>6.4952511787414604</v>
      </c>
    </row>
    <row r="1224" spans="1:35">
      <c r="A1224">
        <f t="shared" si="159"/>
        <v>1</v>
      </c>
      <c r="B1224">
        <f t="shared" si="160"/>
        <v>0</v>
      </c>
      <c r="C1224">
        <f t="shared" si="161"/>
        <v>1</v>
      </c>
      <c r="D1224">
        <f t="shared" si="162"/>
        <v>1</v>
      </c>
      <c r="E1224">
        <f t="shared" si="163"/>
        <v>0</v>
      </c>
      <c r="F1224">
        <f t="shared" si="164"/>
        <v>1</v>
      </c>
      <c r="G1224">
        <f t="shared" si="165"/>
        <v>1</v>
      </c>
      <c r="H1224">
        <v>0</v>
      </c>
      <c r="I1224">
        <f t="shared" si="166"/>
        <v>0</v>
      </c>
      <c r="J1224">
        <f t="shared" si="158"/>
        <v>17.228391170501702</v>
      </c>
      <c r="K1224" t="s">
        <v>842</v>
      </c>
      <c r="L1224" t="s">
        <v>843</v>
      </c>
      <c r="M1224" t="s">
        <v>27</v>
      </c>
      <c r="N1224" t="s">
        <v>27</v>
      </c>
      <c r="O1224">
        <v>18.010000000000002</v>
      </c>
      <c r="P1224">
        <v>8.0140361785888707</v>
      </c>
      <c r="Q1224">
        <v>10.827649116516101</v>
      </c>
      <c r="R1224">
        <v>25.2700004577637</v>
      </c>
      <c r="S1224">
        <v>11.375</v>
      </c>
      <c r="T1224">
        <v>33.399688720703097</v>
      </c>
      <c r="U1224">
        <v>66.064369201660199</v>
      </c>
      <c r="V1224">
        <v>5466000</v>
      </c>
      <c r="W1224">
        <v>9.1504898071289098</v>
      </c>
      <c r="X1224">
        <v>0.109999999403954</v>
      </c>
      <c r="Y1224">
        <v>8.2453994750976598</v>
      </c>
      <c r="Z1224">
        <v>6.4007420539856001</v>
      </c>
      <c r="AA1224">
        <v>12646610</v>
      </c>
      <c r="AB1224" t="s">
        <v>27</v>
      </c>
      <c r="AC1224" t="s">
        <v>27</v>
      </c>
      <c r="AD1224">
        <v>0.140000000596046</v>
      </c>
      <c r="AE1224">
        <v>69.410629272460895</v>
      </c>
      <c r="AF1224" t="s">
        <v>27</v>
      </c>
      <c r="AG1224">
        <v>12824000</v>
      </c>
      <c r="AH1224">
        <v>31.999731063842798</v>
      </c>
      <c r="AI1224">
        <v>6.6292390823364302</v>
      </c>
    </row>
    <row r="1225" spans="1:35">
      <c r="A1225">
        <f t="shared" si="159"/>
        <v>1</v>
      </c>
      <c r="B1225">
        <f t="shared" si="160"/>
        <v>1</v>
      </c>
      <c r="C1225">
        <f t="shared" si="161"/>
        <v>1</v>
      </c>
      <c r="D1225">
        <f t="shared" si="162"/>
        <v>1</v>
      </c>
      <c r="E1225">
        <f t="shared" si="163"/>
        <v>0</v>
      </c>
      <c r="F1225">
        <f t="shared" si="164"/>
        <v>1</v>
      </c>
      <c r="G1225">
        <f t="shared" si="165"/>
        <v>1</v>
      </c>
      <c r="H1225">
        <v>0</v>
      </c>
      <c r="I1225">
        <f t="shared" si="166"/>
        <v>0</v>
      </c>
      <c r="J1225">
        <f t="shared" si="158"/>
        <v>17.210376262664791</v>
      </c>
      <c r="K1225" t="s">
        <v>1572</v>
      </c>
      <c r="L1225" t="s">
        <v>1573</v>
      </c>
      <c r="M1225" t="s">
        <v>27</v>
      </c>
      <c r="N1225" t="s">
        <v>27</v>
      </c>
      <c r="O1225">
        <v>13.52</v>
      </c>
      <c r="P1225">
        <v>7.6055049896240199</v>
      </c>
      <c r="Q1225">
        <v>9.5427160263061506</v>
      </c>
      <c r="R1225">
        <v>15.7200002670288</v>
      </c>
      <c r="S1225">
        <v>6.1363636363636402</v>
      </c>
      <c r="T1225">
        <v>29.315700531005898</v>
      </c>
      <c r="U1225">
        <v>26.098852157592798</v>
      </c>
      <c r="V1225">
        <v>19165000</v>
      </c>
      <c r="W1225">
        <v>3.5124330520629901</v>
      </c>
      <c r="X1225">
        <v>0.22727272727272699</v>
      </c>
      <c r="Y1225">
        <v>10.842974662780801</v>
      </c>
      <c r="Z1225">
        <v>7.6676602363586399</v>
      </c>
      <c r="AA1225">
        <v>32649100</v>
      </c>
      <c r="AB1225" t="s">
        <v>61</v>
      </c>
      <c r="AC1225" t="s">
        <v>62</v>
      </c>
      <c r="AD1225">
        <v>0.37999999523162797</v>
      </c>
      <c r="AE1225">
        <v>28.977842330932599</v>
      </c>
      <c r="AF1225">
        <v>5.1092828188213701</v>
      </c>
      <c r="AG1225">
        <v>32738998</v>
      </c>
      <c r="AH1225">
        <v>19.993572235107401</v>
      </c>
      <c r="AI1225">
        <v>5.2429308891296396</v>
      </c>
    </row>
    <row r="1226" spans="1:35">
      <c r="A1226">
        <f t="shared" si="159"/>
        <v>1</v>
      </c>
      <c r="B1226">
        <f t="shared" si="160"/>
        <v>1</v>
      </c>
      <c r="C1226">
        <f t="shared" si="161"/>
        <v>1</v>
      </c>
      <c r="D1226">
        <f t="shared" si="162"/>
        <v>1</v>
      </c>
      <c r="E1226">
        <f t="shared" si="163"/>
        <v>0</v>
      </c>
      <c r="F1226">
        <f t="shared" si="164"/>
        <v>1</v>
      </c>
      <c r="G1226">
        <f t="shared" si="165"/>
        <v>1</v>
      </c>
      <c r="H1226">
        <v>0</v>
      </c>
      <c r="I1226">
        <f t="shared" si="166"/>
        <v>1</v>
      </c>
      <c r="J1226">
        <f t="shared" si="158"/>
        <v>17.17116594314578</v>
      </c>
      <c r="K1226" t="s">
        <v>1716</v>
      </c>
      <c r="L1226" t="s">
        <v>1717</v>
      </c>
      <c r="M1226" t="s">
        <v>27</v>
      </c>
      <c r="N1226" t="s">
        <v>27</v>
      </c>
      <c r="O1226">
        <v>34.619999999999997</v>
      </c>
      <c r="P1226">
        <v>10.9228610992432</v>
      </c>
      <c r="Q1226">
        <v>12.507066726684601</v>
      </c>
      <c r="R1226">
        <v>25.420000076293899</v>
      </c>
      <c r="S1226">
        <v>22.1875</v>
      </c>
      <c r="T1226">
        <v>2.4057459831237802</v>
      </c>
      <c r="U1226">
        <v>47.256385803222699</v>
      </c>
      <c r="V1226">
        <v>18423000</v>
      </c>
      <c r="W1226">
        <v>8.7257900238037092</v>
      </c>
      <c r="X1226">
        <v>0.270000010728836</v>
      </c>
      <c r="Y1226">
        <v>3.6635510921478298</v>
      </c>
      <c r="Z1226">
        <v>4.6640992164611799</v>
      </c>
      <c r="AA1226">
        <v>33844000</v>
      </c>
      <c r="AB1226" t="s">
        <v>73</v>
      </c>
      <c r="AC1226" t="s">
        <v>74</v>
      </c>
      <c r="AD1226">
        <v>0.31000000238418601</v>
      </c>
      <c r="AE1226">
        <v>47.600540161132798</v>
      </c>
      <c r="AF1226">
        <v>12.611640156453699</v>
      </c>
      <c r="AG1226">
        <v>33396000</v>
      </c>
      <c r="AH1226">
        <v>2.3442749977111799</v>
      </c>
      <c r="AI1226">
        <v>10.527132987976101</v>
      </c>
    </row>
    <row r="1227" spans="1:35">
      <c r="A1227">
        <f t="shared" si="159"/>
        <v>0</v>
      </c>
      <c r="B1227">
        <f t="shared" si="160"/>
        <v>0</v>
      </c>
      <c r="C1227">
        <f t="shared" si="161"/>
        <v>1</v>
      </c>
      <c r="D1227">
        <f t="shared" si="162"/>
        <v>0</v>
      </c>
      <c r="E1227">
        <f t="shared" si="163"/>
        <v>0</v>
      </c>
      <c r="F1227">
        <f t="shared" si="164"/>
        <v>1</v>
      </c>
      <c r="G1227">
        <f t="shared" si="165"/>
        <v>0</v>
      </c>
      <c r="H1227">
        <v>0</v>
      </c>
      <c r="I1227">
        <f t="shared" si="166"/>
        <v>0</v>
      </c>
      <c r="J1227">
        <f t="shared" si="158"/>
        <v>17.166378974914501</v>
      </c>
      <c r="K1227" t="s">
        <v>2302</v>
      </c>
      <c r="L1227" t="s">
        <v>2303</v>
      </c>
      <c r="M1227" t="s">
        <v>27</v>
      </c>
      <c r="N1227" t="s">
        <v>27</v>
      </c>
      <c r="O1227">
        <v>12.5</v>
      </c>
      <c r="P1227">
        <v>24.076099395751999</v>
      </c>
      <c r="Q1227">
        <v>10.850588798522899</v>
      </c>
      <c r="R1227">
        <v>28.399999618530298</v>
      </c>
      <c r="S1227">
        <v>13.7533327738444</v>
      </c>
      <c r="T1227">
        <v>11.3839864730835</v>
      </c>
      <c r="U1227">
        <v>13.652366638183601</v>
      </c>
      <c r="V1227">
        <v>16704999</v>
      </c>
      <c r="W1227">
        <v>20.034612655639599</v>
      </c>
      <c r="X1227">
        <v>0.34999998410542799</v>
      </c>
      <c r="Y1227">
        <v>14.1818180084229</v>
      </c>
      <c r="Z1227">
        <v>6.3157901763915998</v>
      </c>
      <c r="AA1227">
        <v>28414500</v>
      </c>
      <c r="AB1227" t="s">
        <v>27</v>
      </c>
      <c r="AC1227" t="s">
        <v>27</v>
      </c>
      <c r="AD1227">
        <v>0.230000004172325</v>
      </c>
      <c r="AE1227">
        <v>12.684409141540501</v>
      </c>
      <c r="AF1227">
        <v>5.4275658282582997</v>
      </c>
      <c r="AG1227">
        <v>28586000</v>
      </c>
      <c r="AH1227">
        <v>14.9654550552368</v>
      </c>
      <c r="AI1227">
        <v>14.963305473327599</v>
      </c>
    </row>
    <row r="1228" spans="1:35">
      <c r="A1228">
        <f t="shared" si="159"/>
        <v>0</v>
      </c>
      <c r="B1228">
        <f t="shared" si="160"/>
        <v>0</v>
      </c>
      <c r="C1228">
        <f t="shared" si="161"/>
        <v>0</v>
      </c>
      <c r="D1228">
        <f t="shared" si="162"/>
        <v>0</v>
      </c>
      <c r="E1228">
        <f t="shared" si="163"/>
        <v>0</v>
      </c>
      <c r="F1228">
        <f t="shared" si="164"/>
        <v>1</v>
      </c>
      <c r="G1228">
        <f t="shared" si="165"/>
        <v>0</v>
      </c>
      <c r="H1228">
        <v>0</v>
      </c>
      <c r="I1228">
        <f t="shared" si="166"/>
        <v>1</v>
      </c>
      <c r="J1228">
        <f t="shared" si="158"/>
        <v>17.145322799682617</v>
      </c>
      <c r="K1228" t="s">
        <v>584</v>
      </c>
      <c r="L1228" t="s">
        <v>585</v>
      </c>
      <c r="M1228" t="s">
        <v>27</v>
      </c>
      <c r="N1228" t="s">
        <v>27</v>
      </c>
      <c r="O1228">
        <v>14.67</v>
      </c>
      <c r="P1228">
        <v>13.7122402191162</v>
      </c>
      <c r="Q1228">
        <v>8.5508737564086896</v>
      </c>
      <c r="R1228">
        <v>11.3500003814697</v>
      </c>
      <c r="S1228">
        <v>14.875</v>
      </c>
      <c r="T1228">
        <v>20.127689361572301</v>
      </c>
      <c r="U1228">
        <v>28.337276458740199</v>
      </c>
      <c r="V1228">
        <v>-34210000</v>
      </c>
      <c r="W1228">
        <v>10.379503250122101</v>
      </c>
      <c r="X1228">
        <v>-0.58999997377395597</v>
      </c>
      <c r="Y1228">
        <v>11.5200004577637</v>
      </c>
      <c r="Z1228">
        <v>8.5944490432739293</v>
      </c>
      <c r="AA1228">
        <v>8319999.5</v>
      </c>
      <c r="AB1228" t="s">
        <v>27</v>
      </c>
      <c r="AC1228" t="s">
        <v>27</v>
      </c>
      <c r="AD1228">
        <v>-1.0700000524520901</v>
      </c>
      <c r="AE1228">
        <v>24.293012619018601</v>
      </c>
      <c r="AF1228">
        <v>5.6078429860052701</v>
      </c>
      <c r="AG1228">
        <v>8370000</v>
      </c>
      <c r="AH1228">
        <v>21.144424438476602</v>
      </c>
      <c r="AI1228">
        <v>9.9271278381347692</v>
      </c>
    </row>
    <row r="1229" spans="1:35">
      <c r="A1229">
        <f t="shared" si="159"/>
        <v>1</v>
      </c>
      <c r="B1229">
        <f t="shared" si="160"/>
        <v>0</v>
      </c>
      <c r="C1229">
        <f t="shared" si="161"/>
        <v>1</v>
      </c>
      <c r="D1229">
        <f t="shared" si="162"/>
        <v>0</v>
      </c>
      <c r="E1229">
        <f t="shared" si="163"/>
        <v>0</v>
      </c>
      <c r="F1229">
        <f t="shared" si="164"/>
        <v>1</v>
      </c>
      <c r="G1229">
        <f t="shared" si="165"/>
        <v>1</v>
      </c>
      <c r="H1229">
        <v>0</v>
      </c>
      <c r="I1229">
        <f t="shared" si="166"/>
        <v>1</v>
      </c>
      <c r="J1229">
        <f t="shared" si="158"/>
        <v>17.119124412536621</v>
      </c>
      <c r="K1229" t="s">
        <v>3709</v>
      </c>
      <c r="L1229" t="s">
        <v>3710</v>
      </c>
      <c r="M1229" t="s">
        <v>27</v>
      </c>
      <c r="N1229" t="s">
        <v>27</v>
      </c>
      <c r="O1229">
        <v>21.05</v>
      </c>
      <c r="P1229">
        <v>11.0427160263062</v>
      </c>
      <c r="Q1229">
        <v>8.8334102630615199</v>
      </c>
      <c r="R1229">
        <v>14.5</v>
      </c>
      <c r="S1229">
        <v>19.5625</v>
      </c>
      <c r="T1229">
        <v>42.335254669189503</v>
      </c>
      <c r="U1229">
        <v>25.325273513793899</v>
      </c>
      <c r="V1229">
        <v>24861000</v>
      </c>
      <c r="W1229">
        <v>6.3820061683654803</v>
      </c>
      <c r="X1229">
        <v>0.30000001192092901</v>
      </c>
      <c r="Y1229">
        <v>6.6624608039856001</v>
      </c>
      <c r="Z1229">
        <v>8.2857141494750994</v>
      </c>
      <c r="AA1229">
        <v>23267000</v>
      </c>
      <c r="AB1229" t="s">
        <v>61</v>
      </c>
      <c r="AC1229" t="s">
        <v>131</v>
      </c>
      <c r="AD1229">
        <v>0.28000000119209301</v>
      </c>
      <c r="AE1229">
        <v>25.388103485107401</v>
      </c>
      <c r="AF1229" t="s">
        <v>27</v>
      </c>
      <c r="AG1229">
        <v>24472000</v>
      </c>
      <c r="AH1229">
        <v>38.703304290771499</v>
      </c>
      <c r="AI1229">
        <v>5.9638829231262198</v>
      </c>
    </row>
    <row r="1230" spans="1:35">
      <c r="A1230">
        <f t="shared" si="159"/>
        <v>0</v>
      </c>
      <c r="B1230">
        <f t="shared" si="160"/>
        <v>1</v>
      </c>
      <c r="C1230">
        <f t="shared" si="161"/>
        <v>0</v>
      </c>
      <c r="D1230">
        <f t="shared" si="162"/>
        <v>1</v>
      </c>
      <c r="E1230">
        <f t="shared" si="163"/>
        <v>0</v>
      </c>
      <c r="F1230">
        <f t="shared" si="164"/>
        <v>1</v>
      </c>
      <c r="G1230">
        <f t="shared" si="165"/>
        <v>1</v>
      </c>
      <c r="H1230">
        <v>0</v>
      </c>
      <c r="I1230">
        <f t="shared" si="166"/>
        <v>1</v>
      </c>
      <c r="J1230">
        <f t="shared" si="158"/>
        <v>17.116739749908479</v>
      </c>
      <c r="K1230" t="s">
        <v>1265</v>
      </c>
      <c r="L1230" t="s">
        <v>1266</v>
      </c>
      <c r="M1230" t="s">
        <v>27</v>
      </c>
      <c r="N1230" t="s">
        <v>27</v>
      </c>
      <c r="O1230">
        <v>43.27</v>
      </c>
      <c r="P1230">
        <v>3.8408789634704599</v>
      </c>
      <c r="Q1230">
        <v>10.813352584838899</v>
      </c>
      <c r="R1230">
        <v>35.970001220703097</v>
      </c>
      <c r="S1230">
        <v>31.5</v>
      </c>
      <c r="T1230">
        <v>20.7289142608643</v>
      </c>
      <c r="U1230">
        <v>52.565143585205099</v>
      </c>
      <c r="V1230">
        <v>-23343002</v>
      </c>
      <c r="W1230">
        <v>3.1648631095886199</v>
      </c>
      <c r="X1230">
        <v>0.15999999642372101</v>
      </c>
      <c r="Y1230">
        <v>1.52517998218536</v>
      </c>
      <c r="Z1230">
        <v>6.3033871650695801</v>
      </c>
      <c r="AA1230">
        <v>15158000</v>
      </c>
      <c r="AB1230" t="s">
        <v>27</v>
      </c>
      <c r="AC1230" t="s">
        <v>27</v>
      </c>
      <c r="AD1230">
        <v>0.37999999523162797</v>
      </c>
      <c r="AE1230">
        <v>57.162044525146499</v>
      </c>
      <c r="AF1230">
        <v>18.948816357331498</v>
      </c>
      <c r="AG1230">
        <v>18585000</v>
      </c>
      <c r="AH1230">
        <v>31.624092102050799</v>
      </c>
      <c r="AI1230">
        <v>5.35085105895996</v>
      </c>
    </row>
    <row r="1231" spans="1:35">
      <c r="A1231">
        <f t="shared" si="159"/>
        <v>1</v>
      </c>
      <c r="B1231">
        <f t="shared" si="160"/>
        <v>1</v>
      </c>
      <c r="C1231">
        <f t="shared" si="161"/>
        <v>1</v>
      </c>
      <c r="D1231">
        <f t="shared" si="162"/>
        <v>1</v>
      </c>
      <c r="E1231">
        <f t="shared" si="163"/>
        <v>0</v>
      </c>
      <c r="F1231">
        <f t="shared" si="164"/>
        <v>1</v>
      </c>
      <c r="G1231">
        <f t="shared" si="165"/>
        <v>0</v>
      </c>
      <c r="H1231">
        <v>0</v>
      </c>
      <c r="I1231">
        <f t="shared" si="166"/>
        <v>1</v>
      </c>
      <c r="J1231">
        <f t="shared" si="158"/>
        <v>17.107476234435989</v>
      </c>
      <c r="K1231" t="s">
        <v>1144</v>
      </c>
      <c r="L1231" t="s">
        <v>1145</v>
      </c>
      <c r="M1231" t="s">
        <v>27</v>
      </c>
      <c r="N1231" t="s">
        <v>27</v>
      </c>
      <c r="O1231">
        <v>34.96</v>
      </c>
      <c r="P1231">
        <v>7.1343579292297399</v>
      </c>
      <c r="Q1231">
        <v>10.1386861801147</v>
      </c>
      <c r="R1231">
        <v>26.200000762939499</v>
      </c>
      <c r="S1231">
        <v>23.1875</v>
      </c>
      <c r="T1231">
        <v>12.2667903900146</v>
      </c>
      <c r="U1231" t="s">
        <v>27</v>
      </c>
      <c r="V1231">
        <v>22020000</v>
      </c>
      <c r="W1231">
        <v>1.33119904994965</v>
      </c>
      <c r="X1231">
        <v>0.38999998569488498</v>
      </c>
      <c r="Y1231">
        <v>7.5654950141906703</v>
      </c>
      <c r="Z1231">
        <v>6.96879005432129</v>
      </c>
      <c r="AA1231">
        <v>22790000</v>
      </c>
      <c r="AB1231" t="s">
        <v>34</v>
      </c>
      <c r="AC1231" t="s">
        <v>35</v>
      </c>
      <c r="AD1231">
        <v>0.43000000715255698</v>
      </c>
      <c r="AE1231" t="s">
        <v>27</v>
      </c>
      <c r="AF1231" t="s">
        <v>27</v>
      </c>
      <c r="AG1231">
        <v>23349000</v>
      </c>
      <c r="AH1231">
        <v>3.2165079116821298</v>
      </c>
      <c r="AI1231">
        <v>1.5292110443115201</v>
      </c>
    </row>
    <row r="1232" spans="1:35">
      <c r="A1232">
        <f t="shared" si="159"/>
        <v>1</v>
      </c>
      <c r="B1232">
        <f t="shared" si="160"/>
        <v>1</v>
      </c>
      <c r="C1232">
        <f t="shared" si="161"/>
        <v>0</v>
      </c>
      <c r="D1232">
        <f t="shared" si="162"/>
        <v>0</v>
      </c>
      <c r="E1232">
        <f t="shared" si="163"/>
        <v>0</v>
      </c>
      <c r="F1232">
        <f t="shared" si="164"/>
        <v>1</v>
      </c>
      <c r="G1232">
        <f t="shared" si="165"/>
        <v>0</v>
      </c>
      <c r="H1232">
        <v>0</v>
      </c>
      <c r="I1232">
        <f t="shared" si="166"/>
        <v>0</v>
      </c>
      <c r="J1232">
        <f t="shared" si="158"/>
        <v>17.0746955871582</v>
      </c>
      <c r="K1232" t="s">
        <v>2490</v>
      </c>
      <c r="L1232" t="s">
        <v>2491</v>
      </c>
      <c r="M1232" t="s">
        <v>27</v>
      </c>
      <c r="N1232" t="s">
        <v>27</v>
      </c>
      <c r="O1232">
        <v>21.95</v>
      </c>
      <c r="P1232">
        <v>10.349719047546399</v>
      </c>
      <c r="Q1232">
        <v>9.5938777923584002</v>
      </c>
      <c r="R1232">
        <v>22.069999694824201</v>
      </c>
      <c r="S1232">
        <v>17.0625</v>
      </c>
      <c r="T1232">
        <v>40.321914672851598</v>
      </c>
      <c r="U1232">
        <v>21.9395351409912</v>
      </c>
      <c r="V1232">
        <v>-3587000</v>
      </c>
      <c r="W1232">
        <v>6.8028998374939</v>
      </c>
      <c r="X1232">
        <v>0.270000010728836</v>
      </c>
      <c r="Y1232">
        <v>9.0964460372924805</v>
      </c>
      <c r="Z1232">
        <v>7.4808177947998002</v>
      </c>
      <c r="AA1232">
        <v>15654000</v>
      </c>
      <c r="AB1232" t="s">
        <v>27</v>
      </c>
      <c r="AC1232" t="s">
        <v>27</v>
      </c>
      <c r="AD1232">
        <v>2.9999999329447701E-2</v>
      </c>
      <c r="AE1232">
        <v>20.8846740722656</v>
      </c>
      <c r="AF1232">
        <v>8.5969715200369201</v>
      </c>
      <c r="AG1232">
        <v>18618000</v>
      </c>
      <c r="AH1232">
        <v>30.766361236572301</v>
      </c>
      <c r="AI1232">
        <v>7.0246992111206099</v>
      </c>
    </row>
    <row r="1233" spans="1:35">
      <c r="A1233">
        <f t="shared" si="159"/>
        <v>0</v>
      </c>
      <c r="B1233">
        <f t="shared" si="160"/>
        <v>1</v>
      </c>
      <c r="C1233">
        <f t="shared" si="161"/>
        <v>0</v>
      </c>
      <c r="D1233">
        <f t="shared" si="162"/>
        <v>1</v>
      </c>
      <c r="E1233">
        <f t="shared" si="163"/>
        <v>0</v>
      </c>
      <c r="F1233">
        <f t="shared" si="164"/>
        <v>1</v>
      </c>
      <c r="G1233">
        <f t="shared" si="165"/>
        <v>1</v>
      </c>
      <c r="H1233">
        <v>0</v>
      </c>
      <c r="I1233">
        <f t="shared" si="166"/>
        <v>0</v>
      </c>
      <c r="J1233">
        <f t="shared" si="158"/>
        <v>17.066854953765869</v>
      </c>
      <c r="K1233" t="s">
        <v>401</v>
      </c>
      <c r="L1233" t="s">
        <v>402</v>
      </c>
      <c r="M1233" t="s">
        <v>27</v>
      </c>
      <c r="N1233" t="s">
        <v>27</v>
      </c>
      <c r="O1233">
        <v>27.7</v>
      </c>
      <c r="P1233">
        <v>9.0631284713745099</v>
      </c>
      <c r="Q1233">
        <v>9.5283937454223597</v>
      </c>
      <c r="R1233">
        <v>34.599998474121101</v>
      </c>
      <c r="S1233">
        <v>42.110000610351598</v>
      </c>
      <c r="T1233">
        <v>14.684709548950201</v>
      </c>
      <c r="U1233">
        <v>32.491081237792997</v>
      </c>
      <c r="V1233">
        <v>-33180000</v>
      </c>
      <c r="W1233">
        <v>7.6288399696350098</v>
      </c>
      <c r="X1233">
        <v>0.5</v>
      </c>
      <c r="Y1233">
        <v>3.9580209255218501</v>
      </c>
      <c r="Z1233">
        <v>7.5384612083435103</v>
      </c>
      <c r="AA1233">
        <v>13823000</v>
      </c>
      <c r="AB1233" t="s">
        <v>328</v>
      </c>
      <c r="AC1233" t="s">
        <v>403</v>
      </c>
      <c r="AD1233">
        <v>0.56000000238418601</v>
      </c>
      <c r="AE1233">
        <v>36.118114471435497</v>
      </c>
      <c r="AF1233">
        <v>7.4101068412621904</v>
      </c>
      <c r="AG1233">
        <v>13832000</v>
      </c>
      <c r="AH1233">
        <v>16.9549961090088</v>
      </c>
      <c r="AI1233">
        <v>8.1981153488159197</v>
      </c>
    </row>
    <row r="1234" spans="1:35">
      <c r="A1234">
        <f t="shared" si="159"/>
        <v>0</v>
      </c>
      <c r="B1234">
        <f t="shared" si="160"/>
        <v>1</v>
      </c>
      <c r="C1234">
        <f t="shared" si="161"/>
        <v>1</v>
      </c>
      <c r="D1234">
        <f t="shared" si="162"/>
        <v>0</v>
      </c>
      <c r="E1234">
        <f t="shared" si="163"/>
        <v>0</v>
      </c>
      <c r="F1234">
        <f t="shared" si="164"/>
        <v>1</v>
      </c>
      <c r="G1234">
        <f t="shared" si="165"/>
        <v>0</v>
      </c>
      <c r="H1234">
        <v>0</v>
      </c>
      <c r="I1234">
        <f t="shared" si="166"/>
        <v>0</v>
      </c>
      <c r="J1234">
        <f t="shared" si="158"/>
        <v>17.057698249816887</v>
      </c>
      <c r="K1234" t="s">
        <v>2871</v>
      </c>
      <c r="L1234" t="s">
        <v>2872</v>
      </c>
      <c r="M1234" t="s">
        <v>27</v>
      </c>
      <c r="N1234" t="s">
        <v>27</v>
      </c>
      <c r="O1234">
        <v>3.47</v>
      </c>
      <c r="P1234">
        <v>21.544916152954102</v>
      </c>
      <c r="Q1234">
        <v>8.2341680526733398</v>
      </c>
      <c r="R1234">
        <v>9.5100002288818395</v>
      </c>
      <c r="S1234">
        <v>14.25</v>
      </c>
      <c r="T1234">
        <v>19.409103393554702</v>
      </c>
      <c r="U1234">
        <v>43.631671905517599</v>
      </c>
      <c r="V1234">
        <v>7257999.5</v>
      </c>
      <c r="W1234">
        <v>2.8402121067047101</v>
      </c>
      <c r="X1234">
        <v>0.239999994635582</v>
      </c>
      <c r="Y1234">
        <v>7.7012448310852104</v>
      </c>
      <c r="Z1234">
        <v>8.8235301971435494</v>
      </c>
      <c r="AA1234">
        <v>148935552</v>
      </c>
      <c r="AB1234" t="s">
        <v>38</v>
      </c>
      <c r="AC1234" t="s">
        <v>39</v>
      </c>
      <c r="AD1234">
        <v>-0.10000000149011599</v>
      </c>
      <c r="AE1234">
        <v>33.518932342529297</v>
      </c>
      <c r="AF1234">
        <v>55.958178289368398</v>
      </c>
      <c r="AG1234">
        <v>155448000</v>
      </c>
      <c r="AH1234">
        <v>25.424707412719702</v>
      </c>
      <c r="AI1234">
        <v>8.5421657562255895</v>
      </c>
    </row>
    <row r="1235" spans="1:35">
      <c r="A1235">
        <f t="shared" si="159"/>
        <v>1</v>
      </c>
      <c r="B1235">
        <f t="shared" si="160"/>
        <v>0</v>
      </c>
      <c r="C1235">
        <f t="shared" si="161"/>
        <v>0</v>
      </c>
      <c r="D1235">
        <f t="shared" si="162"/>
        <v>1</v>
      </c>
      <c r="E1235">
        <f t="shared" si="163"/>
        <v>0</v>
      </c>
      <c r="F1235">
        <f t="shared" si="164"/>
        <v>1</v>
      </c>
      <c r="G1235">
        <f t="shared" si="165"/>
        <v>1</v>
      </c>
      <c r="H1235">
        <v>0</v>
      </c>
      <c r="I1235">
        <f t="shared" si="166"/>
        <v>0</v>
      </c>
      <c r="J1235">
        <f t="shared" si="158"/>
        <v>17.000520467758161</v>
      </c>
      <c r="K1235" t="s">
        <v>576</v>
      </c>
      <c r="L1235" t="s">
        <v>577</v>
      </c>
      <c r="M1235" t="s">
        <v>27</v>
      </c>
      <c r="N1235" t="s">
        <v>27</v>
      </c>
      <c r="O1235">
        <v>26.7</v>
      </c>
      <c r="P1235">
        <v>13.3150644302368</v>
      </c>
      <c r="Q1235">
        <v>13.7782983779907</v>
      </c>
      <c r="R1235">
        <v>28</v>
      </c>
      <c r="S1235">
        <v>25.875</v>
      </c>
      <c r="T1235">
        <v>4.9029560089111301</v>
      </c>
      <c r="U1235">
        <v>14.247554779052701</v>
      </c>
      <c r="V1235">
        <v>-2995000</v>
      </c>
      <c r="W1235">
        <v>7.9854540824890101</v>
      </c>
      <c r="X1235">
        <v>0.18999999761581399</v>
      </c>
      <c r="Y1235">
        <v>2.8948659896850599</v>
      </c>
      <c r="Z1235">
        <v>3.2222220897674601</v>
      </c>
      <c r="AA1235">
        <v>11967000</v>
      </c>
      <c r="AB1235" t="s">
        <v>27</v>
      </c>
      <c r="AC1235" t="s">
        <v>27</v>
      </c>
      <c r="AD1235">
        <v>0.230000004172325</v>
      </c>
      <c r="AE1235">
        <v>14.2555551528931</v>
      </c>
      <c r="AF1235">
        <v>9.5299101594321005</v>
      </c>
      <c r="AG1235">
        <v>12248000</v>
      </c>
      <c r="AH1235">
        <v>2.6660599708557098</v>
      </c>
      <c r="AI1235">
        <v>7.5518097877502397</v>
      </c>
    </row>
    <row r="1236" spans="1:35">
      <c r="A1236">
        <f t="shared" si="159"/>
        <v>1</v>
      </c>
      <c r="B1236">
        <f t="shared" si="160"/>
        <v>1</v>
      </c>
      <c r="C1236">
        <f t="shared" si="161"/>
        <v>1</v>
      </c>
      <c r="D1236">
        <f t="shared" si="162"/>
        <v>0</v>
      </c>
      <c r="E1236">
        <f t="shared" si="163"/>
        <v>0</v>
      </c>
      <c r="F1236">
        <f t="shared" si="164"/>
        <v>1</v>
      </c>
      <c r="G1236">
        <f t="shared" si="165"/>
        <v>0</v>
      </c>
      <c r="H1236">
        <v>0</v>
      </c>
      <c r="I1236">
        <f t="shared" si="166"/>
        <v>0</v>
      </c>
      <c r="J1236">
        <f t="shared" si="158"/>
        <v>16.992793083190961</v>
      </c>
      <c r="K1236" t="s">
        <v>606</v>
      </c>
      <c r="L1236" t="s">
        <v>607</v>
      </c>
      <c r="M1236" t="s">
        <v>27</v>
      </c>
      <c r="N1236" t="s">
        <v>27</v>
      </c>
      <c r="O1236">
        <v>4.0199999999999996</v>
      </c>
      <c r="P1236">
        <v>9.6140890121459996</v>
      </c>
      <c r="Q1236">
        <v>6.4605169296264604</v>
      </c>
      <c r="R1236">
        <v>11.079999923706101</v>
      </c>
      <c r="S1236">
        <v>14.300000190734901</v>
      </c>
      <c r="T1236">
        <v>41.554653167724602</v>
      </c>
      <c r="U1236">
        <v>32.862960815429702</v>
      </c>
      <c r="V1236">
        <v>11188000</v>
      </c>
      <c r="W1236">
        <v>1.7494770288467401</v>
      </c>
      <c r="X1236">
        <v>0.46000000834464999</v>
      </c>
      <c r="Y1236">
        <v>11.7621622085571</v>
      </c>
      <c r="Z1236">
        <v>10.532276153564499</v>
      </c>
      <c r="AA1236">
        <v>13614000</v>
      </c>
      <c r="AB1236" t="s">
        <v>27</v>
      </c>
      <c r="AC1236" t="s">
        <v>27</v>
      </c>
      <c r="AD1236">
        <v>5.9999998658895499E-2</v>
      </c>
      <c r="AE1236">
        <v>28.229587554931602</v>
      </c>
      <c r="AF1236">
        <v>7.3761294859624504</v>
      </c>
      <c r="AG1236">
        <v>13790000</v>
      </c>
      <c r="AH1236">
        <v>41.231388092041001</v>
      </c>
      <c r="AI1236">
        <v>6.5438737869262704</v>
      </c>
    </row>
    <row r="1237" spans="1:35">
      <c r="A1237">
        <f t="shared" si="159"/>
        <v>1</v>
      </c>
      <c r="B1237">
        <f t="shared" si="160"/>
        <v>0</v>
      </c>
      <c r="C1237">
        <f t="shared" si="161"/>
        <v>1</v>
      </c>
      <c r="D1237">
        <f t="shared" si="162"/>
        <v>1</v>
      </c>
      <c r="E1237">
        <f t="shared" si="163"/>
        <v>0</v>
      </c>
      <c r="F1237">
        <f t="shared" si="164"/>
        <v>1</v>
      </c>
      <c r="G1237">
        <f t="shared" si="165"/>
        <v>0</v>
      </c>
      <c r="H1237">
        <v>0</v>
      </c>
      <c r="I1237">
        <f t="shared" si="166"/>
        <v>0</v>
      </c>
      <c r="J1237">
        <f t="shared" si="158"/>
        <v>16.986324787139861</v>
      </c>
      <c r="K1237" t="s">
        <v>318</v>
      </c>
      <c r="L1237" t="s">
        <v>319</v>
      </c>
      <c r="M1237" t="s">
        <v>27</v>
      </c>
      <c r="N1237" t="s">
        <v>27</v>
      </c>
      <c r="O1237">
        <v>23.05</v>
      </c>
      <c r="P1237" t="s">
        <v>27</v>
      </c>
      <c r="Q1237">
        <v>12.1986799240112</v>
      </c>
      <c r="R1237">
        <v>24.5</v>
      </c>
      <c r="S1237">
        <v>26.950000762939499</v>
      </c>
      <c r="T1237">
        <v>60.280696868896499</v>
      </c>
      <c r="U1237">
        <v>73.312271118164105</v>
      </c>
      <c r="V1237">
        <v>32378996</v>
      </c>
      <c r="W1237">
        <v>36.269741058349602</v>
      </c>
      <c r="X1237">
        <v>0.28000000119209301</v>
      </c>
      <c r="Y1237">
        <v>8.3228702545165998</v>
      </c>
      <c r="Z1237">
        <v>4.7876448631286603</v>
      </c>
      <c r="AA1237">
        <v>52349000</v>
      </c>
      <c r="AB1237" t="s">
        <v>27</v>
      </c>
      <c r="AC1237" t="s">
        <v>27</v>
      </c>
      <c r="AD1237">
        <v>0.31999999284744302</v>
      </c>
      <c r="AE1237">
        <v>73.0738525390625</v>
      </c>
      <c r="AF1237">
        <v>5.3544977594869296</v>
      </c>
      <c r="AG1237">
        <v>54394000</v>
      </c>
      <c r="AH1237">
        <v>46.510959625244098</v>
      </c>
      <c r="AI1237">
        <v>9.1527824401855504</v>
      </c>
    </row>
    <row r="1238" spans="1:35">
      <c r="A1238">
        <f t="shared" si="159"/>
        <v>1</v>
      </c>
      <c r="B1238">
        <f t="shared" si="160"/>
        <v>0</v>
      </c>
      <c r="C1238">
        <f t="shared" si="161"/>
        <v>1</v>
      </c>
      <c r="D1238">
        <f t="shared" si="162"/>
        <v>0</v>
      </c>
      <c r="E1238">
        <f t="shared" si="163"/>
        <v>0</v>
      </c>
      <c r="F1238">
        <f t="shared" si="164"/>
        <v>1</v>
      </c>
      <c r="G1238">
        <f t="shared" si="165"/>
        <v>1</v>
      </c>
      <c r="H1238">
        <v>0</v>
      </c>
      <c r="I1238">
        <f t="shared" si="166"/>
        <v>0</v>
      </c>
      <c r="J1238">
        <f t="shared" si="158"/>
        <v>16.984361171722412</v>
      </c>
      <c r="K1238" t="s">
        <v>3442</v>
      </c>
      <c r="L1238" t="s">
        <v>3443</v>
      </c>
      <c r="M1238" t="s">
        <v>27</v>
      </c>
      <c r="N1238" t="s">
        <v>27</v>
      </c>
      <c r="O1238">
        <v>9.14</v>
      </c>
      <c r="P1238">
        <v>12.371018409729</v>
      </c>
      <c r="Q1238">
        <v>10.9488582611084</v>
      </c>
      <c r="R1238">
        <v>17.2700004577637</v>
      </c>
      <c r="S1238">
        <v>14.800000190734901</v>
      </c>
      <c r="T1238">
        <v>20.708250045776399</v>
      </c>
      <c r="U1238">
        <v>34.3787651062012</v>
      </c>
      <c r="V1238">
        <v>1773999.875</v>
      </c>
      <c r="W1238" t="s">
        <v>27</v>
      </c>
      <c r="X1238">
        <v>0.18000000715255701</v>
      </c>
      <c r="Y1238">
        <v>9.1818180084228498</v>
      </c>
      <c r="Z1238">
        <v>6.0355029106140101</v>
      </c>
      <c r="AA1238">
        <v>7846000</v>
      </c>
      <c r="AB1238" t="s">
        <v>27</v>
      </c>
      <c r="AC1238" t="s">
        <v>27</v>
      </c>
      <c r="AD1238">
        <v>0.129999995231628</v>
      </c>
      <c r="AE1238">
        <v>35.544178009033203</v>
      </c>
      <c r="AF1238">
        <v>6.5672171089349503</v>
      </c>
      <c r="AG1238">
        <v>8053000.5</v>
      </c>
      <c r="AH1238">
        <v>16.545835494995099</v>
      </c>
      <c r="AI1238">
        <v>7.2732138633728001</v>
      </c>
    </row>
    <row r="1239" spans="1:35">
      <c r="A1239">
        <f t="shared" si="159"/>
        <v>0</v>
      </c>
      <c r="B1239">
        <f t="shared" si="160"/>
        <v>0</v>
      </c>
      <c r="C1239">
        <f t="shared" si="161"/>
        <v>1</v>
      </c>
      <c r="D1239">
        <f t="shared" si="162"/>
        <v>0</v>
      </c>
      <c r="E1239">
        <f t="shared" si="163"/>
        <v>0</v>
      </c>
      <c r="F1239">
        <f t="shared" si="164"/>
        <v>1</v>
      </c>
      <c r="G1239">
        <f t="shared" si="165"/>
        <v>1</v>
      </c>
      <c r="H1239">
        <v>0</v>
      </c>
      <c r="I1239">
        <f t="shared" si="166"/>
        <v>0</v>
      </c>
      <c r="J1239">
        <f t="shared" si="158"/>
        <v>16.947596073150621</v>
      </c>
      <c r="K1239" t="s">
        <v>3484</v>
      </c>
      <c r="L1239" t="s">
        <v>3485</v>
      </c>
      <c r="M1239" t="s">
        <v>27</v>
      </c>
      <c r="N1239" t="s">
        <v>27</v>
      </c>
      <c r="O1239">
        <v>4.0199999999999996</v>
      </c>
      <c r="P1239">
        <v>13.5199222564697</v>
      </c>
      <c r="Q1239">
        <v>11.2116651535034</v>
      </c>
      <c r="R1239">
        <v>8.8400001525878906</v>
      </c>
      <c r="S1239">
        <v>7.0599999427795401</v>
      </c>
      <c r="T1239">
        <v>0</v>
      </c>
      <c r="U1239">
        <v>66.030754089355497</v>
      </c>
      <c r="V1239">
        <v>5025000</v>
      </c>
      <c r="W1239" t="s">
        <v>27</v>
      </c>
      <c r="X1239">
        <v>0.230000004172325</v>
      </c>
      <c r="Y1239">
        <v>8.2827644348144496</v>
      </c>
      <c r="Z1239">
        <v>5.7359309196472203</v>
      </c>
      <c r="AA1239">
        <v>29514000</v>
      </c>
      <c r="AB1239" t="s">
        <v>27</v>
      </c>
      <c r="AC1239" t="s">
        <v>27</v>
      </c>
      <c r="AD1239">
        <v>0.119999997317791</v>
      </c>
      <c r="AE1239">
        <v>69.752777099609403</v>
      </c>
      <c r="AF1239">
        <v>2.9499317051849401</v>
      </c>
      <c r="AG1239">
        <v>29657000</v>
      </c>
      <c r="AH1239">
        <v>0</v>
      </c>
      <c r="AI1239">
        <v>15.6486263275146</v>
      </c>
    </row>
    <row r="1240" spans="1:35">
      <c r="A1240">
        <f t="shared" si="159"/>
        <v>1</v>
      </c>
      <c r="B1240">
        <f t="shared" si="160"/>
        <v>0</v>
      </c>
      <c r="C1240">
        <f t="shared" si="161"/>
        <v>1</v>
      </c>
      <c r="D1240">
        <f t="shared" si="162"/>
        <v>0</v>
      </c>
      <c r="E1240">
        <f t="shared" si="163"/>
        <v>0</v>
      </c>
      <c r="F1240">
        <f t="shared" si="164"/>
        <v>1</v>
      </c>
      <c r="G1240">
        <f t="shared" si="165"/>
        <v>0</v>
      </c>
      <c r="H1240">
        <v>0</v>
      </c>
      <c r="I1240">
        <f t="shared" si="166"/>
        <v>0</v>
      </c>
      <c r="J1240">
        <f t="shared" si="158"/>
        <v>16.943687915802052</v>
      </c>
      <c r="K1240" t="s">
        <v>2887</v>
      </c>
      <c r="L1240" t="s">
        <v>2888</v>
      </c>
      <c r="M1240" t="s">
        <v>27</v>
      </c>
      <c r="N1240" t="s">
        <v>27</v>
      </c>
      <c r="O1240">
        <v>2.27</v>
      </c>
      <c r="P1240">
        <v>11.4537496566772</v>
      </c>
      <c r="Q1240">
        <v>4.9778761863708496</v>
      </c>
      <c r="R1240">
        <v>11.039999961853001</v>
      </c>
      <c r="S1240">
        <v>5.25</v>
      </c>
      <c r="T1240">
        <v>72.706291198730497</v>
      </c>
      <c r="U1240" t="s">
        <v>27</v>
      </c>
      <c r="V1240">
        <v>7092000</v>
      </c>
      <c r="W1240">
        <v>7.99892377853394</v>
      </c>
      <c r="X1240">
        <v>0.21999999880790699</v>
      </c>
      <c r="Y1240">
        <v>13.195876121521</v>
      </c>
      <c r="Z1240">
        <v>11.9658117294312</v>
      </c>
      <c r="AA1240">
        <v>19507000</v>
      </c>
      <c r="AB1240" t="s">
        <v>27</v>
      </c>
      <c r="AC1240" t="s">
        <v>27</v>
      </c>
      <c r="AD1240">
        <v>0.18999999761581399</v>
      </c>
      <c r="AE1240" t="s">
        <v>27</v>
      </c>
      <c r="AF1240">
        <v>3.1097651666811701</v>
      </c>
      <c r="AG1240">
        <v>19627000</v>
      </c>
      <c r="AH1240">
        <v>67.103378295898395</v>
      </c>
      <c r="AI1240">
        <v>1.6877130270004299</v>
      </c>
    </row>
    <row r="1241" spans="1:35">
      <c r="A1241">
        <f t="shared" si="159"/>
        <v>1</v>
      </c>
      <c r="B1241">
        <f t="shared" si="160"/>
        <v>0</v>
      </c>
      <c r="C1241">
        <f t="shared" si="161"/>
        <v>1</v>
      </c>
      <c r="D1241">
        <f t="shared" si="162"/>
        <v>1</v>
      </c>
      <c r="E1241">
        <f t="shared" si="163"/>
        <v>0</v>
      </c>
      <c r="F1241">
        <f t="shared" si="164"/>
        <v>1</v>
      </c>
      <c r="G1241">
        <f t="shared" si="165"/>
        <v>1</v>
      </c>
      <c r="H1241">
        <v>0</v>
      </c>
      <c r="I1241">
        <f t="shared" si="166"/>
        <v>0</v>
      </c>
      <c r="J1241">
        <f t="shared" si="158"/>
        <v>16.938324928283699</v>
      </c>
      <c r="K1241" t="s">
        <v>1918</v>
      </c>
      <c r="L1241" t="s">
        <v>1919</v>
      </c>
      <c r="M1241" t="s">
        <v>27</v>
      </c>
      <c r="N1241" t="s">
        <v>27</v>
      </c>
      <c r="O1241">
        <v>22.05</v>
      </c>
      <c r="P1241">
        <v>14.050082206726101</v>
      </c>
      <c r="Q1241">
        <v>10.134672164916999</v>
      </c>
      <c r="R1241">
        <v>24.450000762939499</v>
      </c>
      <c r="S1241">
        <v>15.5</v>
      </c>
      <c r="T1241">
        <v>38.197032928466797</v>
      </c>
      <c r="U1241">
        <v>41.664440155029297</v>
      </c>
      <c r="V1241">
        <v>24426000</v>
      </c>
      <c r="W1241">
        <v>10.900244712829601</v>
      </c>
      <c r="X1241">
        <v>0.15999999642372101</v>
      </c>
      <c r="Y1241">
        <v>10.514286041259799</v>
      </c>
      <c r="Z1241">
        <v>6.8036527633667001</v>
      </c>
      <c r="AA1241">
        <v>28489000</v>
      </c>
      <c r="AB1241" t="s">
        <v>27</v>
      </c>
      <c r="AC1241" t="s">
        <v>27</v>
      </c>
      <c r="AD1241">
        <v>0.17000000178813901</v>
      </c>
      <c r="AE1241">
        <v>45.489330291747997</v>
      </c>
      <c r="AF1241">
        <v>5.1134404431373799</v>
      </c>
      <c r="AG1241">
        <v>29040000</v>
      </c>
      <c r="AH1241">
        <v>27.021434783935501</v>
      </c>
      <c r="AI1241">
        <v>6.2771577835082999</v>
      </c>
    </row>
    <row r="1242" spans="1:35">
      <c r="A1242">
        <f t="shared" si="159"/>
        <v>0</v>
      </c>
      <c r="B1242">
        <f t="shared" si="160"/>
        <v>1</v>
      </c>
      <c r="C1242">
        <f t="shared" si="161"/>
        <v>1</v>
      </c>
      <c r="D1242">
        <f t="shared" si="162"/>
        <v>0</v>
      </c>
      <c r="E1242">
        <f t="shared" si="163"/>
        <v>0</v>
      </c>
      <c r="F1242">
        <f t="shared" si="164"/>
        <v>1</v>
      </c>
      <c r="G1242">
        <f t="shared" si="165"/>
        <v>0</v>
      </c>
      <c r="H1242">
        <v>0</v>
      </c>
      <c r="I1242">
        <f t="shared" si="166"/>
        <v>0</v>
      </c>
      <c r="J1242">
        <f t="shared" si="158"/>
        <v>16.928318023681598</v>
      </c>
      <c r="K1242" t="s">
        <v>3464</v>
      </c>
      <c r="L1242" t="s">
        <v>3465</v>
      </c>
      <c r="M1242" t="s">
        <v>27</v>
      </c>
      <c r="N1242" t="s">
        <v>27</v>
      </c>
      <c r="O1242">
        <v>30.3</v>
      </c>
      <c r="P1242">
        <v>17.092679977416999</v>
      </c>
      <c r="Q1242">
        <v>10.9283180236816</v>
      </c>
      <c r="R1242">
        <v>35.340000152587898</v>
      </c>
      <c r="S1242">
        <v>43.380001068115199</v>
      </c>
      <c r="T1242">
        <v>8.6298246383666992</v>
      </c>
      <c r="U1242">
        <v>39.530841827392599</v>
      </c>
      <c r="V1242">
        <v>905999.6875</v>
      </c>
      <c r="W1242">
        <v>7.9306368827819798</v>
      </c>
      <c r="X1242">
        <v>0.79000002145767201</v>
      </c>
      <c r="Y1242">
        <v>6.9830508232116699</v>
      </c>
      <c r="Z1242">
        <v>6</v>
      </c>
      <c r="AA1242">
        <v>9036000</v>
      </c>
      <c r="AB1242" t="s">
        <v>61</v>
      </c>
      <c r="AC1242" t="s">
        <v>101</v>
      </c>
      <c r="AD1242">
        <v>0.31999999284744302</v>
      </c>
      <c r="AE1242">
        <v>36.068508148193402</v>
      </c>
      <c r="AF1242">
        <v>8.9095373113202196</v>
      </c>
      <c r="AG1242">
        <v>9027000</v>
      </c>
      <c r="AH1242">
        <v>9.24468898773193</v>
      </c>
      <c r="AI1242">
        <v>10.848320007324199</v>
      </c>
    </row>
    <row r="1243" spans="1:35">
      <c r="A1243">
        <f t="shared" si="159"/>
        <v>0</v>
      </c>
      <c r="B1243">
        <f t="shared" si="160"/>
        <v>0</v>
      </c>
      <c r="C1243">
        <f t="shared" si="161"/>
        <v>0</v>
      </c>
      <c r="D1243">
        <f t="shared" si="162"/>
        <v>0</v>
      </c>
      <c r="E1243">
        <f t="shared" si="163"/>
        <v>0</v>
      </c>
      <c r="F1243">
        <f t="shared" si="164"/>
        <v>1</v>
      </c>
      <c r="G1243">
        <f t="shared" si="165"/>
        <v>0</v>
      </c>
      <c r="H1243">
        <v>0</v>
      </c>
      <c r="I1243">
        <f t="shared" si="166"/>
        <v>0</v>
      </c>
      <c r="J1243">
        <f t="shared" si="158"/>
        <v>16.9281101226807</v>
      </c>
      <c r="K1243" t="s">
        <v>1650</v>
      </c>
      <c r="L1243" t="s">
        <v>1651</v>
      </c>
      <c r="M1243" t="s">
        <v>27</v>
      </c>
      <c r="N1243" t="s">
        <v>27</v>
      </c>
      <c r="O1243">
        <v>21.31</v>
      </c>
      <c r="P1243">
        <v>8.4724397659301793</v>
      </c>
      <c r="Q1243">
        <v>10.9857330322266</v>
      </c>
      <c r="R1243">
        <v>23.149999618530298</v>
      </c>
      <c r="S1243">
        <v>24.1875</v>
      </c>
      <c r="T1243">
        <v>12.384514808654799</v>
      </c>
      <c r="U1243">
        <v>34.574607849121101</v>
      </c>
      <c r="V1243">
        <v>-36716000</v>
      </c>
      <c r="W1243">
        <v>8.2846965789794904</v>
      </c>
      <c r="X1243">
        <v>0.239999994635582</v>
      </c>
      <c r="Y1243">
        <v>1.9234969615936299</v>
      </c>
      <c r="Z1243">
        <v>5.9423770904540998</v>
      </c>
      <c r="AA1243">
        <v>32146000</v>
      </c>
      <c r="AB1243" t="s">
        <v>328</v>
      </c>
      <c r="AC1243" t="s">
        <v>403</v>
      </c>
      <c r="AD1243">
        <v>0.15999999642372101</v>
      </c>
      <c r="AE1243">
        <v>25.6098518371582</v>
      </c>
      <c r="AF1243">
        <v>15.768626426205399</v>
      </c>
      <c r="AG1243">
        <v>32564000</v>
      </c>
      <c r="AH1243">
        <v>18.307601928710898</v>
      </c>
      <c r="AI1243">
        <v>7.8909358978271502</v>
      </c>
    </row>
    <row r="1244" spans="1:35">
      <c r="A1244">
        <f t="shared" si="159"/>
        <v>1</v>
      </c>
      <c r="B1244">
        <f t="shared" si="160"/>
        <v>0</v>
      </c>
      <c r="C1244">
        <f t="shared" si="161"/>
        <v>1</v>
      </c>
      <c r="D1244">
        <f t="shared" si="162"/>
        <v>0</v>
      </c>
      <c r="E1244">
        <f t="shared" si="163"/>
        <v>0</v>
      </c>
      <c r="F1244">
        <f t="shared" si="164"/>
        <v>1</v>
      </c>
      <c r="G1244">
        <f t="shared" si="165"/>
        <v>0</v>
      </c>
      <c r="H1244">
        <v>0</v>
      </c>
      <c r="I1244">
        <f t="shared" si="166"/>
        <v>0</v>
      </c>
      <c r="J1244">
        <f t="shared" si="158"/>
        <v>16.882246971130371</v>
      </c>
      <c r="K1244" t="s">
        <v>2793</v>
      </c>
      <c r="L1244" t="s">
        <v>2794</v>
      </c>
      <c r="M1244" t="s">
        <v>27</v>
      </c>
      <c r="N1244" t="s">
        <v>27</v>
      </c>
      <c r="O1244">
        <v>26.63</v>
      </c>
      <c r="P1244">
        <v>8.4728240966796893</v>
      </c>
      <c r="Q1244">
        <v>8.8822469711303693</v>
      </c>
      <c r="R1244">
        <v>28.0200004577637</v>
      </c>
      <c r="S1244">
        <v>24.819999694824201</v>
      </c>
      <c r="T1244">
        <v>47.231525421142599</v>
      </c>
      <c r="U1244" t="s">
        <v>27</v>
      </c>
      <c r="V1244">
        <v>25451000</v>
      </c>
      <c r="W1244">
        <v>4.1637868881225604</v>
      </c>
      <c r="X1244">
        <v>0.44999998807907099</v>
      </c>
      <c r="Y1244">
        <v>7.7703351974487296</v>
      </c>
      <c r="Z1244">
        <v>8</v>
      </c>
      <c r="AA1244">
        <v>36584000</v>
      </c>
      <c r="AB1244" t="s">
        <v>27</v>
      </c>
      <c r="AC1244" t="s">
        <v>27</v>
      </c>
      <c r="AD1244">
        <v>0.43000000715255698</v>
      </c>
      <c r="AE1244" t="s">
        <v>27</v>
      </c>
      <c r="AF1244">
        <v>10.5545632391072</v>
      </c>
      <c r="AG1244">
        <v>35787000</v>
      </c>
      <c r="AH1244">
        <v>44.076496124267599</v>
      </c>
      <c r="AI1244">
        <v>3.3840420246124299</v>
      </c>
    </row>
    <row r="1245" spans="1:35">
      <c r="A1245">
        <f t="shared" si="159"/>
        <v>1</v>
      </c>
      <c r="B1245">
        <f t="shared" si="160"/>
        <v>1</v>
      </c>
      <c r="C1245">
        <f t="shared" si="161"/>
        <v>1</v>
      </c>
      <c r="D1245">
        <f t="shared" si="162"/>
        <v>0</v>
      </c>
      <c r="E1245">
        <f t="shared" si="163"/>
        <v>0</v>
      </c>
      <c r="F1245">
        <f t="shared" si="164"/>
        <v>1</v>
      </c>
      <c r="G1245">
        <f t="shared" si="165"/>
        <v>0</v>
      </c>
      <c r="H1245">
        <v>0</v>
      </c>
      <c r="I1245">
        <f t="shared" si="166"/>
        <v>1</v>
      </c>
      <c r="J1245">
        <f t="shared" si="158"/>
        <v>16.846552848815929</v>
      </c>
      <c r="K1245" t="s">
        <v>1920</v>
      </c>
      <c r="L1245" t="s">
        <v>1921</v>
      </c>
      <c r="M1245" t="s">
        <v>27</v>
      </c>
      <c r="N1245" t="s">
        <v>27</v>
      </c>
      <c r="O1245">
        <v>12</v>
      </c>
      <c r="P1245">
        <v>7.0435619354248002</v>
      </c>
      <c r="Q1245">
        <v>4.9460468292236301</v>
      </c>
      <c r="R1245">
        <v>8.3800001144409197</v>
      </c>
      <c r="S1245">
        <v>6.0625</v>
      </c>
      <c r="T1245">
        <v>40.825904846191399</v>
      </c>
      <c r="U1245">
        <v>41.4789428710938</v>
      </c>
      <c r="V1245">
        <v>35572000</v>
      </c>
      <c r="W1245">
        <v>-6.0980691909790004</v>
      </c>
      <c r="X1245">
        <v>-5.0000000745058101E-2</v>
      </c>
      <c r="Y1245">
        <v>19.762161254882798</v>
      </c>
      <c r="Z1245">
        <v>11.900506019592299</v>
      </c>
      <c r="AA1245">
        <v>8147000.5</v>
      </c>
      <c r="AB1245" t="s">
        <v>30</v>
      </c>
      <c r="AC1245" t="s">
        <v>332</v>
      </c>
      <c r="AD1245">
        <v>-0.20000000298023199</v>
      </c>
      <c r="AE1245">
        <v>37.825965881347699</v>
      </c>
      <c r="AF1245">
        <v>3.1269160191255301</v>
      </c>
      <c r="AG1245">
        <v>8168999.5</v>
      </c>
      <c r="AH1245">
        <v>39.824348449707003</v>
      </c>
      <c r="AI1245">
        <v>2.1336929798126198</v>
      </c>
    </row>
    <row r="1246" spans="1:35">
      <c r="A1246">
        <f t="shared" si="159"/>
        <v>0</v>
      </c>
      <c r="B1246">
        <f t="shared" si="160"/>
        <v>1</v>
      </c>
      <c r="C1246">
        <f t="shared" si="161"/>
        <v>1</v>
      </c>
      <c r="D1246">
        <f t="shared" si="162"/>
        <v>1</v>
      </c>
      <c r="E1246">
        <f t="shared" si="163"/>
        <v>0</v>
      </c>
      <c r="F1246">
        <f t="shared" si="164"/>
        <v>1</v>
      </c>
      <c r="G1246">
        <f t="shared" si="165"/>
        <v>0</v>
      </c>
      <c r="H1246">
        <v>0</v>
      </c>
      <c r="I1246">
        <f t="shared" si="166"/>
        <v>0</v>
      </c>
      <c r="J1246">
        <f t="shared" si="158"/>
        <v>16.845114231109601</v>
      </c>
      <c r="K1246" t="s">
        <v>3585</v>
      </c>
      <c r="L1246" t="s">
        <v>3586</v>
      </c>
      <c r="M1246" t="s">
        <v>27</v>
      </c>
      <c r="N1246" t="s">
        <v>27</v>
      </c>
      <c r="O1246">
        <v>10.32</v>
      </c>
      <c r="P1246">
        <v>11.330528259277299</v>
      </c>
      <c r="Q1246">
        <v>11.7723340988159</v>
      </c>
      <c r="R1246">
        <v>12.9099998474121</v>
      </c>
      <c r="S1246">
        <v>11.086956521739101</v>
      </c>
      <c r="T1246">
        <v>6.9481511116027797</v>
      </c>
      <c r="U1246" t="s">
        <v>27</v>
      </c>
      <c r="V1246">
        <v>21879000</v>
      </c>
      <c r="W1246">
        <v>1.5749310255050699</v>
      </c>
      <c r="X1246">
        <v>0.15122873571284101</v>
      </c>
      <c r="Y1246">
        <v>6.0101518630981401</v>
      </c>
      <c r="Z1246">
        <v>5.0727801322937003</v>
      </c>
      <c r="AA1246">
        <v>70593727.5</v>
      </c>
      <c r="AB1246" t="s">
        <v>34</v>
      </c>
      <c r="AC1246" t="s">
        <v>458</v>
      </c>
      <c r="AD1246">
        <v>0.16260870124982801</v>
      </c>
      <c r="AE1246" t="s">
        <v>27</v>
      </c>
      <c r="AF1246" t="s">
        <v>27</v>
      </c>
      <c r="AG1246">
        <v>71195350</v>
      </c>
      <c r="AH1246">
        <v>6.9953579902648899</v>
      </c>
      <c r="AI1246">
        <v>1.7302939891815201</v>
      </c>
    </row>
    <row r="1247" spans="1:35">
      <c r="A1247">
        <f t="shared" si="159"/>
        <v>0</v>
      </c>
      <c r="B1247">
        <f t="shared" si="160"/>
        <v>1</v>
      </c>
      <c r="C1247">
        <f t="shared" si="161"/>
        <v>1</v>
      </c>
      <c r="D1247">
        <f t="shared" si="162"/>
        <v>0</v>
      </c>
      <c r="E1247">
        <f t="shared" si="163"/>
        <v>0</v>
      </c>
      <c r="F1247">
        <f t="shared" si="164"/>
        <v>1</v>
      </c>
      <c r="G1247">
        <f t="shared" si="165"/>
        <v>0</v>
      </c>
      <c r="H1247">
        <v>0</v>
      </c>
      <c r="I1247">
        <f t="shared" si="166"/>
        <v>0</v>
      </c>
      <c r="J1247">
        <f t="shared" si="158"/>
        <v>16.77827978134156</v>
      </c>
      <c r="K1247" t="s">
        <v>1874</v>
      </c>
      <c r="L1247" t="s">
        <v>1875</v>
      </c>
      <c r="M1247" t="s">
        <v>27</v>
      </c>
      <c r="N1247" t="s">
        <v>27</v>
      </c>
      <c r="O1247">
        <v>11.9</v>
      </c>
      <c r="P1247">
        <v>9.4021854400634801</v>
      </c>
      <c r="Q1247">
        <v>9.0424308776855504</v>
      </c>
      <c r="R1247">
        <v>11.1599998474121</v>
      </c>
      <c r="S1247">
        <v>8.6999998092651403</v>
      </c>
      <c r="T1247">
        <v>52.883567810058601</v>
      </c>
      <c r="U1247" t="s">
        <v>27</v>
      </c>
      <c r="V1247">
        <v>3725000.5</v>
      </c>
      <c r="W1247">
        <v>5.0225372314453098</v>
      </c>
      <c r="X1247">
        <v>0.21999999880790699</v>
      </c>
      <c r="Y1247">
        <v>11.199999809265099</v>
      </c>
      <c r="Z1247">
        <v>7.7358489036560103</v>
      </c>
      <c r="AA1247">
        <v>31218000</v>
      </c>
      <c r="AB1247" t="s">
        <v>27</v>
      </c>
      <c r="AC1247" t="s">
        <v>27</v>
      </c>
      <c r="AD1247">
        <v>0.18000000715255701</v>
      </c>
      <c r="AE1247" t="s">
        <v>27</v>
      </c>
      <c r="AF1247">
        <v>11.2558269121275</v>
      </c>
      <c r="AG1247">
        <v>30487000</v>
      </c>
      <c r="AH1247">
        <v>55.4016723632813</v>
      </c>
      <c r="AI1247">
        <v>5.0925240516662598</v>
      </c>
    </row>
    <row r="1248" spans="1:35">
      <c r="A1248">
        <f t="shared" si="159"/>
        <v>1</v>
      </c>
      <c r="B1248">
        <f t="shared" si="160"/>
        <v>1</v>
      </c>
      <c r="C1248">
        <f t="shared" si="161"/>
        <v>0</v>
      </c>
      <c r="D1248">
        <f t="shared" si="162"/>
        <v>1</v>
      </c>
      <c r="E1248">
        <f t="shared" si="163"/>
        <v>0</v>
      </c>
      <c r="F1248">
        <f t="shared" si="164"/>
        <v>1</v>
      </c>
      <c r="G1248">
        <f t="shared" si="165"/>
        <v>0</v>
      </c>
      <c r="H1248">
        <v>0</v>
      </c>
      <c r="I1248">
        <f t="shared" si="166"/>
        <v>1</v>
      </c>
      <c r="J1248">
        <f t="shared" ref="J1248:J1311" si="167">Z1248+Q1248</f>
        <v>16.767743110656738</v>
      </c>
      <c r="K1248" t="s">
        <v>2915</v>
      </c>
      <c r="L1248" t="s">
        <v>2916</v>
      </c>
      <c r="M1248" t="s">
        <v>27</v>
      </c>
      <c r="N1248" t="s">
        <v>27</v>
      </c>
      <c r="O1248">
        <v>33.880000000000003</v>
      </c>
      <c r="P1248">
        <v>8.9198532104492205</v>
      </c>
      <c r="Q1248">
        <v>9.9401569366455096</v>
      </c>
      <c r="R1248">
        <v>30.950000762939499</v>
      </c>
      <c r="S1248">
        <v>26.0100002288818</v>
      </c>
      <c r="T1248">
        <v>43.681774139404297</v>
      </c>
      <c r="U1248" t="s">
        <v>27</v>
      </c>
      <c r="V1248">
        <v>-14321000</v>
      </c>
      <c r="W1248">
        <v>5.5556831359863299</v>
      </c>
      <c r="X1248">
        <v>0.37000000476837203</v>
      </c>
      <c r="Y1248">
        <v>6.6058979034423801</v>
      </c>
      <c r="Z1248">
        <v>6.8275861740112296</v>
      </c>
      <c r="AA1248">
        <v>26601000</v>
      </c>
      <c r="AB1248" t="s">
        <v>83</v>
      </c>
      <c r="AC1248" t="s">
        <v>84</v>
      </c>
      <c r="AD1248">
        <v>0.5</v>
      </c>
      <c r="AE1248" t="s">
        <v>27</v>
      </c>
      <c r="AF1248">
        <v>13.315417266903401</v>
      </c>
      <c r="AG1248">
        <v>29876000</v>
      </c>
      <c r="AH1248">
        <v>34.785102844238303</v>
      </c>
      <c r="AI1248">
        <v>5.9546670913696298</v>
      </c>
    </row>
    <row r="1249" spans="1:35">
      <c r="A1249">
        <f t="shared" ref="A1249:A1312" si="168">IF(AH1249&lt;T1249,1,0)</f>
        <v>0</v>
      </c>
      <c r="B1249">
        <f t="shared" ref="B1249:B1312" si="169">IF(AI1249&gt;W1249,1,0)</f>
        <v>1</v>
      </c>
      <c r="C1249">
        <f t="shared" ref="C1249:C1312" si="170">IF(V1249&gt;0,1,0)</f>
        <v>1</v>
      </c>
      <c r="D1249">
        <f t="shared" ref="D1249:D1312" si="171">IF(AD1249&gt;X1249,1,0)</f>
        <v>0</v>
      </c>
      <c r="E1249">
        <f t="shared" ref="E1249:E1312" si="172">IF(AA1249=AG1249,1,0)</f>
        <v>0</v>
      </c>
      <c r="F1249">
        <f t="shared" ref="F1249:F1312" si="173">IF(AI1249&gt;0,1,0)</f>
        <v>1</v>
      </c>
      <c r="G1249">
        <f t="shared" ref="G1249:G1312" si="174">IF(AE1249&gt;U1249,1,0)</f>
        <v>0</v>
      </c>
      <c r="H1249">
        <v>0</v>
      </c>
      <c r="I1249">
        <f t="shared" ref="I1249:I1312" si="175">IF(((O1249-R1249)/R1249)&gt;0.075,1,0)</f>
        <v>0</v>
      </c>
      <c r="J1249">
        <f t="shared" si="167"/>
        <v>16.748769760131839</v>
      </c>
      <c r="K1249" t="s">
        <v>1032</v>
      </c>
      <c r="L1249" t="s">
        <v>1033</v>
      </c>
      <c r="M1249" t="s">
        <v>27</v>
      </c>
      <c r="N1249" t="s">
        <v>27</v>
      </c>
      <c r="O1249">
        <v>7</v>
      </c>
      <c r="P1249">
        <v>3.6030619144439702</v>
      </c>
      <c r="Q1249">
        <v>8.0186109542846697</v>
      </c>
      <c r="R1249">
        <v>14.300000190734901</v>
      </c>
      <c r="S1249">
        <v>8</v>
      </c>
      <c r="T1249">
        <v>15.4170837402344</v>
      </c>
      <c r="U1249">
        <v>11.6576194763184</v>
      </c>
      <c r="V1249">
        <v>17990000</v>
      </c>
      <c r="W1249">
        <v>1.3182790279388401</v>
      </c>
      <c r="X1249">
        <v>0.18999999761581399</v>
      </c>
      <c r="Y1249">
        <v>16.415584564208999</v>
      </c>
      <c r="Z1249">
        <v>8.7301588058471697</v>
      </c>
      <c r="AA1249">
        <v>15709000</v>
      </c>
      <c r="AB1249" t="s">
        <v>27</v>
      </c>
      <c r="AC1249" t="s">
        <v>27</v>
      </c>
      <c r="AD1249">
        <v>0.129999995231628</v>
      </c>
      <c r="AE1249">
        <v>10.625649452209499</v>
      </c>
      <c r="AF1249" t="s">
        <v>27</v>
      </c>
      <c r="AG1249">
        <v>15569000</v>
      </c>
      <c r="AH1249">
        <v>29.0038967132568</v>
      </c>
      <c r="AI1249">
        <v>3.0323209762573202</v>
      </c>
    </row>
    <row r="1250" spans="1:35">
      <c r="A1250">
        <f t="shared" si="168"/>
        <v>1</v>
      </c>
      <c r="B1250">
        <f t="shared" si="169"/>
        <v>0</v>
      </c>
      <c r="C1250">
        <f t="shared" si="170"/>
        <v>1</v>
      </c>
      <c r="D1250">
        <f t="shared" si="171"/>
        <v>0</v>
      </c>
      <c r="E1250">
        <f t="shared" si="172"/>
        <v>0</v>
      </c>
      <c r="F1250">
        <f t="shared" si="173"/>
        <v>1</v>
      </c>
      <c r="G1250">
        <f t="shared" si="174"/>
        <v>0</v>
      </c>
      <c r="H1250">
        <v>0</v>
      </c>
      <c r="I1250">
        <f t="shared" si="175"/>
        <v>1</v>
      </c>
      <c r="J1250">
        <f t="shared" si="167"/>
        <v>16.708047866821289</v>
      </c>
      <c r="K1250" t="s">
        <v>2901</v>
      </c>
      <c r="L1250" t="s">
        <v>2902</v>
      </c>
      <c r="M1250" t="s">
        <v>27</v>
      </c>
      <c r="N1250" t="s">
        <v>27</v>
      </c>
      <c r="O1250">
        <v>19.98</v>
      </c>
      <c r="P1250">
        <v>8.7684822082519496</v>
      </c>
      <c r="Q1250">
        <v>8.7299718856811506</v>
      </c>
      <c r="R1250">
        <v>17.100000381469702</v>
      </c>
      <c r="S1250">
        <v>14.6499996185303</v>
      </c>
      <c r="T1250">
        <v>63.079681396484403</v>
      </c>
      <c r="U1250" t="s">
        <v>27</v>
      </c>
      <c r="V1250">
        <v>284000</v>
      </c>
      <c r="W1250">
        <v>2.1625521183013898</v>
      </c>
      <c r="X1250">
        <v>0.259999990463257</v>
      </c>
      <c r="Y1250">
        <v>10.396623611450201</v>
      </c>
      <c r="Z1250">
        <v>7.9780759811401403</v>
      </c>
      <c r="AA1250">
        <v>7171000</v>
      </c>
      <c r="AB1250" t="s">
        <v>83</v>
      </c>
      <c r="AC1250" t="s">
        <v>84</v>
      </c>
      <c r="AD1250">
        <v>0.259999990463257</v>
      </c>
      <c r="AE1250" t="s">
        <v>27</v>
      </c>
      <c r="AF1250">
        <v>12.464012234420199</v>
      </c>
      <c r="AG1250">
        <v>7093000</v>
      </c>
      <c r="AH1250">
        <v>62.371822357177699</v>
      </c>
      <c r="AI1250">
        <v>2.1166920661926301</v>
      </c>
    </row>
    <row r="1251" spans="1:35">
      <c r="A1251">
        <f t="shared" si="168"/>
        <v>0</v>
      </c>
      <c r="B1251">
        <f t="shared" si="169"/>
        <v>0</v>
      </c>
      <c r="C1251">
        <f t="shared" si="170"/>
        <v>0</v>
      </c>
      <c r="D1251">
        <f t="shared" si="171"/>
        <v>1</v>
      </c>
      <c r="E1251">
        <f t="shared" si="172"/>
        <v>0</v>
      </c>
      <c r="F1251">
        <f t="shared" si="173"/>
        <v>1</v>
      </c>
      <c r="G1251">
        <f t="shared" si="174"/>
        <v>1</v>
      </c>
      <c r="H1251">
        <v>0</v>
      </c>
      <c r="I1251">
        <f t="shared" si="175"/>
        <v>1</v>
      </c>
      <c r="J1251">
        <f t="shared" si="167"/>
        <v>16.698294162750251</v>
      </c>
      <c r="K1251" t="s">
        <v>3446</v>
      </c>
      <c r="L1251" t="s">
        <v>3447</v>
      </c>
      <c r="M1251" t="s">
        <v>27</v>
      </c>
      <c r="N1251" t="s">
        <v>27</v>
      </c>
      <c r="O1251">
        <v>13.6</v>
      </c>
      <c r="P1251">
        <v>7.2096571922302202</v>
      </c>
      <c r="Q1251">
        <v>7.0829100608825701</v>
      </c>
      <c r="R1251">
        <v>11.810000419616699</v>
      </c>
      <c r="S1251">
        <v>5.875</v>
      </c>
      <c r="T1251">
        <v>34.700862884521499</v>
      </c>
      <c r="U1251">
        <v>23.247087478637699</v>
      </c>
      <c r="V1251">
        <v>-4558000</v>
      </c>
      <c r="W1251">
        <v>5.2594470977783203</v>
      </c>
      <c r="X1251">
        <v>0.25</v>
      </c>
      <c r="Y1251">
        <v>18.4615383148193</v>
      </c>
      <c r="Z1251">
        <v>9.6153841018676793</v>
      </c>
      <c r="AA1251">
        <v>21229000</v>
      </c>
      <c r="AB1251" t="s">
        <v>27</v>
      </c>
      <c r="AC1251" t="s">
        <v>27</v>
      </c>
      <c r="AD1251">
        <v>0.28999999165535001</v>
      </c>
      <c r="AE1251">
        <v>25.159299850463899</v>
      </c>
      <c r="AF1251">
        <v>7.7606201486938096</v>
      </c>
      <c r="AG1251">
        <v>20977000</v>
      </c>
      <c r="AH1251">
        <v>35.669101715087898</v>
      </c>
      <c r="AI1251">
        <v>4.6813511848449698</v>
      </c>
    </row>
    <row r="1252" spans="1:35">
      <c r="A1252">
        <f t="shared" si="168"/>
        <v>0</v>
      </c>
      <c r="B1252">
        <f t="shared" si="169"/>
        <v>1</v>
      </c>
      <c r="C1252">
        <f t="shared" si="170"/>
        <v>1</v>
      </c>
      <c r="D1252">
        <f t="shared" si="171"/>
        <v>0</v>
      </c>
      <c r="E1252">
        <f t="shared" si="172"/>
        <v>0</v>
      </c>
      <c r="F1252">
        <f t="shared" si="173"/>
        <v>1</v>
      </c>
      <c r="G1252">
        <f t="shared" si="174"/>
        <v>0</v>
      </c>
      <c r="H1252">
        <v>0</v>
      </c>
      <c r="I1252">
        <f t="shared" si="175"/>
        <v>0</v>
      </c>
      <c r="J1252">
        <f t="shared" si="167"/>
        <v>16.695710182189909</v>
      </c>
      <c r="K1252" t="s">
        <v>3462</v>
      </c>
      <c r="L1252" t="s">
        <v>3463</v>
      </c>
      <c r="M1252" t="s">
        <v>27</v>
      </c>
      <c r="N1252" t="s">
        <v>27</v>
      </c>
      <c r="O1252">
        <v>5.84</v>
      </c>
      <c r="P1252">
        <v>16.212440490722699</v>
      </c>
      <c r="Q1252">
        <v>10.4217023849487</v>
      </c>
      <c r="R1252">
        <v>15.5100002288818</v>
      </c>
      <c r="S1252">
        <v>17</v>
      </c>
      <c r="T1252">
        <v>14.994769096374499</v>
      </c>
      <c r="U1252">
        <v>37.664253234863303</v>
      </c>
      <c r="V1252">
        <v>32391000</v>
      </c>
      <c r="W1252">
        <v>12.394499778747599</v>
      </c>
      <c r="X1252">
        <v>0.43999999761581399</v>
      </c>
      <c r="Y1252">
        <v>2.3838379383087198</v>
      </c>
      <c r="Z1252">
        <v>6.27400779724121</v>
      </c>
      <c r="AA1252">
        <v>66180000</v>
      </c>
      <c r="AB1252" t="s">
        <v>38</v>
      </c>
      <c r="AC1252" t="s">
        <v>628</v>
      </c>
      <c r="AD1252">
        <v>2.9999999329447701E-2</v>
      </c>
      <c r="AE1252">
        <v>35.758777618408203</v>
      </c>
      <c r="AF1252">
        <v>3.6938156826536099</v>
      </c>
      <c r="AG1252">
        <v>76368000</v>
      </c>
      <c r="AH1252">
        <v>15.171694755554199</v>
      </c>
      <c r="AI1252" t="s">
        <v>27</v>
      </c>
    </row>
    <row r="1253" spans="1:35">
      <c r="A1253">
        <f t="shared" si="168"/>
        <v>1</v>
      </c>
      <c r="B1253">
        <f t="shared" si="169"/>
        <v>0</v>
      </c>
      <c r="C1253">
        <f t="shared" si="170"/>
        <v>1</v>
      </c>
      <c r="D1253">
        <f t="shared" si="171"/>
        <v>0</v>
      </c>
      <c r="E1253">
        <f t="shared" si="172"/>
        <v>0</v>
      </c>
      <c r="F1253">
        <f t="shared" si="173"/>
        <v>1</v>
      </c>
      <c r="G1253">
        <f t="shared" si="174"/>
        <v>1</v>
      </c>
      <c r="H1253">
        <v>0</v>
      </c>
      <c r="I1253">
        <f t="shared" si="175"/>
        <v>1</v>
      </c>
      <c r="J1253">
        <f t="shared" si="167"/>
        <v>16.669399261474609</v>
      </c>
      <c r="K1253" t="s">
        <v>907</v>
      </c>
      <c r="L1253" t="s">
        <v>908</v>
      </c>
      <c r="M1253" t="s">
        <v>27</v>
      </c>
      <c r="N1253" t="s">
        <v>27</v>
      </c>
      <c r="O1253">
        <v>4.67</v>
      </c>
      <c r="P1253">
        <v>4.9404578208923304</v>
      </c>
      <c r="Q1253">
        <v>7.05401515960693</v>
      </c>
      <c r="R1253">
        <v>2.9300000667571999</v>
      </c>
      <c r="S1253">
        <v>1.875</v>
      </c>
      <c r="T1253">
        <v>7.4391798973083496</v>
      </c>
      <c r="U1253">
        <v>10.935111045837401</v>
      </c>
      <c r="V1253">
        <v>13467999</v>
      </c>
      <c r="W1253">
        <v>2.2182168960571298</v>
      </c>
      <c r="X1253">
        <v>0.10000000149011599</v>
      </c>
      <c r="Y1253">
        <v>3.53488397598267</v>
      </c>
      <c r="Z1253">
        <v>9.6153841018676793</v>
      </c>
      <c r="AA1253">
        <v>48960000</v>
      </c>
      <c r="AB1253" t="s">
        <v>27</v>
      </c>
      <c r="AC1253" t="s">
        <v>27</v>
      </c>
      <c r="AD1253">
        <v>1.9999999552965199E-2</v>
      </c>
      <c r="AE1253">
        <v>14.658073425293001</v>
      </c>
      <c r="AF1253">
        <v>2.6577729035709501</v>
      </c>
      <c r="AG1253">
        <v>48169000</v>
      </c>
      <c r="AH1253">
        <v>0</v>
      </c>
      <c r="AI1253">
        <v>1.09544801712036</v>
      </c>
    </row>
    <row r="1254" spans="1:35">
      <c r="A1254">
        <f t="shared" si="168"/>
        <v>0</v>
      </c>
      <c r="B1254">
        <f t="shared" si="169"/>
        <v>0</v>
      </c>
      <c r="C1254">
        <f t="shared" si="170"/>
        <v>1</v>
      </c>
      <c r="D1254">
        <f t="shared" si="171"/>
        <v>0</v>
      </c>
      <c r="E1254">
        <f t="shared" si="172"/>
        <v>0</v>
      </c>
      <c r="F1254">
        <f t="shared" si="173"/>
        <v>1</v>
      </c>
      <c r="G1254">
        <f t="shared" si="174"/>
        <v>0</v>
      </c>
      <c r="H1254">
        <v>0</v>
      </c>
      <c r="I1254">
        <f t="shared" si="175"/>
        <v>1</v>
      </c>
      <c r="J1254">
        <f t="shared" si="167"/>
        <v>16.669058799743649</v>
      </c>
      <c r="K1254" t="s">
        <v>3494</v>
      </c>
      <c r="L1254" t="s">
        <v>3495</v>
      </c>
      <c r="M1254" t="s">
        <v>27</v>
      </c>
      <c r="N1254" t="s">
        <v>27</v>
      </c>
      <c r="O1254">
        <v>27.5</v>
      </c>
      <c r="P1254">
        <v>17.602760314941399</v>
      </c>
      <c r="Q1254">
        <v>10.611915588378899</v>
      </c>
      <c r="R1254">
        <v>24.25</v>
      </c>
      <c r="S1254">
        <v>12.5</v>
      </c>
      <c r="T1254">
        <v>0</v>
      </c>
      <c r="U1254">
        <v>12.683610916137701</v>
      </c>
      <c r="V1254">
        <v>9472000</v>
      </c>
      <c r="W1254">
        <v>13.6803245544434</v>
      </c>
      <c r="X1254">
        <v>0.34000000357627902</v>
      </c>
      <c r="Y1254">
        <v>14.300000190734901</v>
      </c>
      <c r="Z1254">
        <v>6.0571432113647496</v>
      </c>
      <c r="AA1254">
        <v>23972000</v>
      </c>
      <c r="AB1254" t="s">
        <v>30</v>
      </c>
      <c r="AC1254" t="s">
        <v>3496</v>
      </c>
      <c r="AD1254">
        <v>0.28999999165535001</v>
      </c>
      <c r="AE1254">
        <v>10.607310295105</v>
      </c>
      <c r="AF1254">
        <v>6.1505041716982003</v>
      </c>
      <c r="AG1254">
        <v>23832000</v>
      </c>
      <c r="AH1254">
        <v>0</v>
      </c>
      <c r="AI1254">
        <v>9.0399494171142596</v>
      </c>
    </row>
    <row r="1255" spans="1:35">
      <c r="A1255">
        <f t="shared" si="168"/>
        <v>0</v>
      </c>
      <c r="B1255">
        <f t="shared" si="169"/>
        <v>0</v>
      </c>
      <c r="C1255">
        <f t="shared" si="170"/>
        <v>1</v>
      </c>
      <c r="D1255">
        <f t="shared" si="171"/>
        <v>1</v>
      </c>
      <c r="E1255">
        <f t="shared" si="172"/>
        <v>0</v>
      </c>
      <c r="F1255">
        <f t="shared" si="173"/>
        <v>1</v>
      </c>
      <c r="G1255">
        <f t="shared" si="174"/>
        <v>1</v>
      </c>
      <c r="H1255">
        <v>0</v>
      </c>
      <c r="I1255">
        <f t="shared" si="175"/>
        <v>0</v>
      </c>
      <c r="J1255">
        <f t="shared" si="167"/>
        <v>16.658822536468509</v>
      </c>
      <c r="K1255" t="s">
        <v>3759</v>
      </c>
      <c r="L1255" t="s">
        <v>3760</v>
      </c>
      <c r="M1255" t="s">
        <v>27</v>
      </c>
      <c r="N1255" t="s">
        <v>27</v>
      </c>
      <c r="O1255">
        <v>9.27</v>
      </c>
      <c r="P1255">
        <v>12.240502357482899</v>
      </c>
      <c r="Q1255">
        <v>12.2814645767212</v>
      </c>
      <c r="R1255">
        <v>14.539999961853001</v>
      </c>
      <c r="S1255">
        <v>13.569999694824199</v>
      </c>
      <c r="T1255">
        <v>0</v>
      </c>
      <c r="U1255">
        <v>65.012229919433594</v>
      </c>
      <c r="V1255">
        <v>4324000</v>
      </c>
      <c r="W1255">
        <v>34.029739379882798</v>
      </c>
      <c r="X1255">
        <v>-9.9999997764825804E-3</v>
      </c>
      <c r="Y1255">
        <v>8.0479040145874006</v>
      </c>
      <c r="Z1255">
        <v>4.37735795974731</v>
      </c>
      <c r="AA1255">
        <v>60756000</v>
      </c>
      <c r="AB1255" t="s">
        <v>27</v>
      </c>
      <c r="AC1255" t="s">
        <v>27</v>
      </c>
      <c r="AD1255">
        <v>7.9999998211860698E-2</v>
      </c>
      <c r="AE1255">
        <v>65.611282348632798</v>
      </c>
      <c r="AF1255">
        <v>11.031226343585001</v>
      </c>
      <c r="AG1255">
        <v>54554000</v>
      </c>
      <c r="AH1255">
        <v>0</v>
      </c>
      <c r="AI1255">
        <v>10.295106887817401</v>
      </c>
    </row>
    <row r="1256" spans="1:35">
      <c r="A1256">
        <f t="shared" si="168"/>
        <v>1</v>
      </c>
      <c r="B1256">
        <f t="shared" si="169"/>
        <v>1</v>
      </c>
      <c r="C1256">
        <f t="shared" si="170"/>
        <v>0</v>
      </c>
      <c r="D1256">
        <f t="shared" si="171"/>
        <v>0</v>
      </c>
      <c r="E1256">
        <f t="shared" si="172"/>
        <v>0</v>
      </c>
      <c r="F1256">
        <f t="shared" si="173"/>
        <v>1</v>
      </c>
      <c r="G1256">
        <f t="shared" si="174"/>
        <v>0</v>
      </c>
      <c r="H1256">
        <v>0</v>
      </c>
      <c r="I1256">
        <f t="shared" si="175"/>
        <v>0</v>
      </c>
      <c r="J1256">
        <f t="shared" si="167"/>
        <v>16.644835472106941</v>
      </c>
      <c r="K1256" t="s">
        <v>1706</v>
      </c>
      <c r="L1256" t="s">
        <v>1707</v>
      </c>
      <c r="M1256" t="s">
        <v>27</v>
      </c>
      <c r="N1256" t="s">
        <v>27</v>
      </c>
      <c r="O1256">
        <v>11.92</v>
      </c>
      <c r="P1256">
        <v>-33.045543670654297</v>
      </c>
      <c r="Q1256">
        <v>10.4491834640503</v>
      </c>
      <c r="R1256">
        <v>16.879999160766602</v>
      </c>
      <c r="S1256">
        <v>8.875</v>
      </c>
      <c r="T1256">
        <v>21.834129333496101</v>
      </c>
      <c r="U1256">
        <v>42.546409606933601</v>
      </c>
      <c r="V1256">
        <v>-645000</v>
      </c>
      <c r="W1256">
        <v>6.1643791198730504</v>
      </c>
      <c r="X1256">
        <v>0.129999995231628</v>
      </c>
      <c r="Y1256">
        <v>4.4912281036376998</v>
      </c>
      <c r="Z1256">
        <v>6.1956520080566397</v>
      </c>
      <c r="AA1256">
        <v>12021000</v>
      </c>
      <c r="AB1256" t="s">
        <v>27</v>
      </c>
      <c r="AC1256" t="s">
        <v>27</v>
      </c>
      <c r="AD1256">
        <v>5.0000000745058101E-2</v>
      </c>
      <c r="AE1256">
        <v>42.428699493408203</v>
      </c>
      <c r="AF1256">
        <v>4.5587452670119699</v>
      </c>
      <c r="AG1256">
        <v>12193000</v>
      </c>
      <c r="AH1256">
        <v>17.488090515136701</v>
      </c>
      <c r="AI1256">
        <v>7.8330721855163601</v>
      </c>
    </row>
    <row r="1257" spans="1:35">
      <c r="A1257">
        <f t="shared" si="168"/>
        <v>0</v>
      </c>
      <c r="B1257">
        <f t="shared" si="169"/>
        <v>0</v>
      </c>
      <c r="C1257">
        <f t="shared" si="170"/>
        <v>1</v>
      </c>
      <c r="D1257">
        <f t="shared" si="171"/>
        <v>1</v>
      </c>
      <c r="E1257">
        <f t="shared" si="172"/>
        <v>0</v>
      </c>
      <c r="F1257">
        <f t="shared" si="173"/>
        <v>1</v>
      </c>
      <c r="G1257">
        <f t="shared" si="174"/>
        <v>1</v>
      </c>
      <c r="H1257">
        <v>0</v>
      </c>
      <c r="I1257">
        <f t="shared" si="175"/>
        <v>0</v>
      </c>
      <c r="J1257">
        <f t="shared" si="167"/>
        <v>16.63285493850713</v>
      </c>
      <c r="K1257" t="s">
        <v>3258</v>
      </c>
      <c r="L1257" t="s">
        <v>3259</v>
      </c>
      <c r="M1257" t="s">
        <v>27</v>
      </c>
      <c r="N1257" t="s">
        <v>27</v>
      </c>
      <c r="O1257">
        <v>8.6199999999999992</v>
      </c>
      <c r="P1257" t="s">
        <v>27</v>
      </c>
      <c r="Q1257">
        <v>13.885251045227101</v>
      </c>
      <c r="R1257">
        <v>9.9499998092651403</v>
      </c>
      <c r="S1257">
        <v>13.0625</v>
      </c>
      <c r="T1257">
        <v>0</v>
      </c>
      <c r="U1257">
        <v>65.866096496582003</v>
      </c>
      <c r="V1257">
        <v>5237000</v>
      </c>
      <c r="W1257">
        <v>16.458702087402301</v>
      </c>
      <c r="X1257">
        <v>0.10000000149011599</v>
      </c>
      <c r="Y1257">
        <v>3.3907279968261701</v>
      </c>
      <c r="Z1257">
        <v>2.7476038932800302</v>
      </c>
      <c r="AA1257">
        <v>19132000</v>
      </c>
      <c r="AB1257" t="s">
        <v>27</v>
      </c>
      <c r="AC1257" t="s">
        <v>27</v>
      </c>
      <c r="AD1257">
        <v>0.109999999403954</v>
      </c>
      <c r="AE1257">
        <v>68.577812194824205</v>
      </c>
      <c r="AF1257">
        <v>14.7069890424448</v>
      </c>
      <c r="AG1257">
        <v>18995000</v>
      </c>
      <c r="AH1257">
        <v>0</v>
      </c>
      <c r="AI1257">
        <v>11.588702201843301</v>
      </c>
    </row>
    <row r="1258" spans="1:35">
      <c r="A1258">
        <f t="shared" si="168"/>
        <v>1</v>
      </c>
      <c r="B1258">
        <f t="shared" si="169"/>
        <v>0</v>
      </c>
      <c r="C1258">
        <f t="shared" si="170"/>
        <v>1</v>
      </c>
      <c r="D1258">
        <f t="shared" si="171"/>
        <v>1</v>
      </c>
      <c r="E1258">
        <f t="shared" si="172"/>
        <v>0</v>
      </c>
      <c r="F1258">
        <f t="shared" si="173"/>
        <v>1</v>
      </c>
      <c r="G1258">
        <f t="shared" si="174"/>
        <v>0</v>
      </c>
      <c r="H1258">
        <v>0</v>
      </c>
      <c r="I1258">
        <f t="shared" si="175"/>
        <v>0</v>
      </c>
      <c r="J1258">
        <f t="shared" si="167"/>
        <v>16.620253562927239</v>
      </c>
      <c r="K1258" t="s">
        <v>903</v>
      </c>
      <c r="L1258" t="s">
        <v>904</v>
      </c>
      <c r="M1258" t="s">
        <v>27</v>
      </c>
      <c r="N1258" t="s">
        <v>27</v>
      </c>
      <c r="O1258">
        <v>25.11</v>
      </c>
      <c r="P1258">
        <v>8.7543649673461896</v>
      </c>
      <c r="Q1258">
        <v>9.6260814666747994</v>
      </c>
      <c r="R1258">
        <v>24.840000152587901</v>
      </c>
      <c r="S1258">
        <v>19.4375</v>
      </c>
      <c r="T1258">
        <v>8.8464422225952095</v>
      </c>
      <c r="U1258" t="s">
        <v>27</v>
      </c>
      <c r="V1258">
        <v>44045000</v>
      </c>
      <c r="W1258">
        <v>1.1945940256118801</v>
      </c>
      <c r="X1258">
        <v>0.40000000596046398</v>
      </c>
      <c r="Y1258">
        <v>8.82562255859375</v>
      </c>
      <c r="Z1258">
        <v>6.9941720962524396</v>
      </c>
      <c r="AA1258">
        <v>43086000</v>
      </c>
      <c r="AB1258" t="s">
        <v>27</v>
      </c>
      <c r="AC1258" t="s">
        <v>27</v>
      </c>
      <c r="AD1258">
        <v>0.44999998807907099</v>
      </c>
      <c r="AE1258" t="s">
        <v>27</v>
      </c>
      <c r="AF1258" t="s">
        <v>27</v>
      </c>
      <c r="AG1258">
        <v>40281000</v>
      </c>
      <c r="AH1258">
        <v>7.4779791831970197</v>
      </c>
      <c r="AI1258">
        <v>1.1561360359191899</v>
      </c>
    </row>
    <row r="1259" spans="1:35">
      <c r="A1259">
        <f t="shared" si="168"/>
        <v>1</v>
      </c>
      <c r="B1259">
        <f t="shared" si="169"/>
        <v>0</v>
      </c>
      <c r="C1259">
        <f t="shared" si="170"/>
        <v>1</v>
      </c>
      <c r="D1259">
        <f t="shared" si="171"/>
        <v>1</v>
      </c>
      <c r="E1259">
        <f t="shared" si="172"/>
        <v>0</v>
      </c>
      <c r="F1259">
        <f t="shared" si="173"/>
        <v>0</v>
      </c>
      <c r="G1259">
        <f t="shared" si="174"/>
        <v>1</v>
      </c>
      <c r="H1259">
        <v>0</v>
      </c>
      <c r="I1259">
        <f t="shared" si="175"/>
        <v>0</v>
      </c>
      <c r="J1259">
        <f t="shared" si="167"/>
        <v>16.593294143676761</v>
      </c>
      <c r="K1259" t="s">
        <v>2104</v>
      </c>
      <c r="L1259" t="s">
        <v>2105</v>
      </c>
      <c r="M1259" t="s">
        <v>27</v>
      </c>
      <c r="N1259" t="s">
        <v>27</v>
      </c>
      <c r="O1259">
        <v>10.119999999999999</v>
      </c>
      <c r="P1259" t="s">
        <v>27</v>
      </c>
      <c r="Q1259">
        <v>7.35087013244629</v>
      </c>
      <c r="R1259">
        <v>11.300000190734901</v>
      </c>
      <c r="S1259">
        <v>10.829999923706101</v>
      </c>
      <c r="T1259">
        <v>15.3256998062134</v>
      </c>
      <c r="U1259">
        <v>26.243827819824201</v>
      </c>
      <c r="V1259">
        <v>299999.9375</v>
      </c>
      <c r="W1259">
        <v>4.8201231956481898</v>
      </c>
      <c r="X1259">
        <v>-0.99000000953674305</v>
      </c>
      <c r="Y1259">
        <v>5.8579239845275897</v>
      </c>
      <c r="Z1259">
        <v>9.2424240112304705</v>
      </c>
      <c r="AA1259">
        <v>15836000</v>
      </c>
      <c r="AB1259" t="s">
        <v>61</v>
      </c>
      <c r="AC1259" t="s">
        <v>101</v>
      </c>
      <c r="AD1259">
        <v>0.140000000596046</v>
      </c>
      <c r="AE1259">
        <v>26.910129547119102</v>
      </c>
      <c r="AF1259">
        <v>6.2512461320225601</v>
      </c>
      <c r="AG1259">
        <v>15918240</v>
      </c>
      <c r="AH1259">
        <v>9.1267547607421893</v>
      </c>
      <c r="AI1259">
        <v>-1.1661850214004501</v>
      </c>
    </row>
    <row r="1260" spans="1:35">
      <c r="A1260">
        <f t="shared" si="168"/>
        <v>1</v>
      </c>
      <c r="B1260">
        <f t="shared" si="169"/>
        <v>1</v>
      </c>
      <c r="C1260">
        <f t="shared" si="170"/>
        <v>1</v>
      </c>
      <c r="D1260">
        <f t="shared" si="171"/>
        <v>0</v>
      </c>
      <c r="E1260">
        <f t="shared" si="172"/>
        <v>0</v>
      </c>
      <c r="F1260">
        <f t="shared" si="173"/>
        <v>1</v>
      </c>
      <c r="G1260">
        <f t="shared" si="174"/>
        <v>1</v>
      </c>
      <c r="H1260">
        <v>0</v>
      </c>
      <c r="I1260">
        <f t="shared" si="175"/>
        <v>0</v>
      </c>
      <c r="J1260">
        <f t="shared" si="167"/>
        <v>16.59161376953125</v>
      </c>
      <c r="K1260" t="s">
        <v>3137</v>
      </c>
      <c r="L1260" t="s">
        <v>3138</v>
      </c>
      <c r="M1260" t="s">
        <v>27</v>
      </c>
      <c r="N1260" t="s">
        <v>27</v>
      </c>
      <c r="O1260">
        <v>10.93</v>
      </c>
      <c r="P1260" t="s">
        <v>27</v>
      </c>
      <c r="Q1260">
        <v>12.781563758850099</v>
      </c>
      <c r="R1260">
        <v>20.468999862670898</v>
      </c>
      <c r="S1260">
        <v>18.25</v>
      </c>
      <c r="T1260">
        <v>1.7768999561667401E-2</v>
      </c>
      <c r="U1260">
        <v>31.037511825561499</v>
      </c>
      <c r="V1260">
        <v>8484000</v>
      </c>
      <c r="W1260">
        <v>-10.164711952209499</v>
      </c>
      <c r="X1260">
        <v>0.17000000178813901</v>
      </c>
      <c r="Y1260">
        <v>6.9152541160583496</v>
      </c>
      <c r="Z1260">
        <v>3.8100500106811501</v>
      </c>
      <c r="AA1260">
        <v>22674000</v>
      </c>
      <c r="AB1260" t="s">
        <v>27</v>
      </c>
      <c r="AC1260" t="s">
        <v>27</v>
      </c>
      <c r="AD1260">
        <v>0.129999995231628</v>
      </c>
      <c r="AE1260">
        <v>44.6050415039063</v>
      </c>
      <c r="AF1260">
        <v>9.0063325090086899</v>
      </c>
      <c r="AG1260">
        <v>24102000</v>
      </c>
      <c r="AH1260">
        <v>0</v>
      </c>
      <c r="AI1260">
        <v>8.9579153060913104</v>
      </c>
    </row>
    <row r="1261" spans="1:35">
      <c r="A1261">
        <f t="shared" si="168"/>
        <v>0</v>
      </c>
      <c r="B1261">
        <f t="shared" si="169"/>
        <v>1</v>
      </c>
      <c r="C1261">
        <f t="shared" si="170"/>
        <v>1</v>
      </c>
      <c r="D1261">
        <f t="shared" si="171"/>
        <v>1</v>
      </c>
      <c r="E1261">
        <f t="shared" si="172"/>
        <v>0</v>
      </c>
      <c r="F1261">
        <f t="shared" si="173"/>
        <v>1</v>
      </c>
      <c r="G1261">
        <f t="shared" si="174"/>
        <v>0</v>
      </c>
      <c r="H1261">
        <v>0</v>
      </c>
      <c r="I1261">
        <f t="shared" si="175"/>
        <v>0</v>
      </c>
      <c r="J1261">
        <f t="shared" si="167"/>
        <v>16.590613842010502</v>
      </c>
      <c r="K1261" t="s">
        <v>162</v>
      </c>
      <c r="L1261" t="s">
        <v>163</v>
      </c>
      <c r="M1261" t="s">
        <v>27</v>
      </c>
      <c r="N1261" t="s">
        <v>27</v>
      </c>
      <c r="O1261">
        <v>11.95</v>
      </c>
      <c r="P1261">
        <v>9.3796939849853498</v>
      </c>
      <c r="Q1261">
        <v>7.8949618339538601</v>
      </c>
      <c r="R1261">
        <v>14.050000190734901</v>
      </c>
      <c r="S1261">
        <v>14.75</v>
      </c>
      <c r="T1261">
        <v>11.6748914718628</v>
      </c>
      <c r="U1261">
        <v>26.4064826965332</v>
      </c>
      <c r="V1261">
        <v>15248000</v>
      </c>
      <c r="W1261">
        <v>4.1449160575866699</v>
      </c>
      <c r="X1261">
        <v>0.37999999523162797</v>
      </c>
      <c r="Y1261">
        <v>9.2216749191284197</v>
      </c>
      <c r="Z1261">
        <v>8.6956520080566406</v>
      </c>
      <c r="AA1261">
        <v>9704000</v>
      </c>
      <c r="AB1261" t="s">
        <v>61</v>
      </c>
      <c r="AC1261" t="s">
        <v>101</v>
      </c>
      <c r="AD1261">
        <v>0.38999998569488498</v>
      </c>
      <c r="AE1261">
        <v>26.258373260498001</v>
      </c>
      <c r="AF1261">
        <v>6.9182543458371502</v>
      </c>
      <c r="AG1261">
        <v>9702000</v>
      </c>
      <c r="AH1261">
        <v>23.993120193481399</v>
      </c>
      <c r="AI1261">
        <v>7.0345492362976101</v>
      </c>
    </row>
    <row r="1262" spans="1:35">
      <c r="A1262">
        <f t="shared" si="168"/>
        <v>0</v>
      </c>
      <c r="B1262">
        <f t="shared" si="169"/>
        <v>0</v>
      </c>
      <c r="C1262">
        <f t="shared" si="170"/>
        <v>1</v>
      </c>
      <c r="D1262">
        <f t="shared" si="171"/>
        <v>1</v>
      </c>
      <c r="E1262">
        <f t="shared" si="172"/>
        <v>0</v>
      </c>
      <c r="F1262">
        <f t="shared" si="173"/>
        <v>1</v>
      </c>
      <c r="G1262">
        <f t="shared" si="174"/>
        <v>0</v>
      </c>
      <c r="H1262">
        <v>0</v>
      </c>
      <c r="I1262">
        <f t="shared" si="175"/>
        <v>0</v>
      </c>
      <c r="J1262">
        <f t="shared" si="167"/>
        <v>16.571792125701911</v>
      </c>
      <c r="K1262" t="s">
        <v>1330</v>
      </c>
      <c r="L1262" t="s">
        <v>1331</v>
      </c>
      <c r="M1262" t="s">
        <v>27</v>
      </c>
      <c r="N1262" t="s">
        <v>27</v>
      </c>
      <c r="O1262">
        <v>24.94</v>
      </c>
      <c r="P1262">
        <v>12.1510210037231</v>
      </c>
      <c r="Q1262">
        <v>9.4472188949584996</v>
      </c>
      <c r="R1262">
        <v>25.600000381469702</v>
      </c>
      <c r="S1262">
        <v>14.125</v>
      </c>
      <c r="T1262">
        <v>5.4897198677062997</v>
      </c>
      <c r="U1262" t="s">
        <v>27</v>
      </c>
      <c r="V1262">
        <v>7102999.5</v>
      </c>
      <c r="W1262">
        <v>1.5106179714202901</v>
      </c>
      <c r="X1262">
        <v>0.38999998569488498</v>
      </c>
      <c r="Y1262">
        <v>9.8151264190673793</v>
      </c>
      <c r="Z1262">
        <v>7.12457323074341</v>
      </c>
      <c r="AA1262">
        <v>10987000</v>
      </c>
      <c r="AB1262" t="s">
        <v>34</v>
      </c>
      <c r="AC1262" t="s">
        <v>35</v>
      </c>
      <c r="AD1262">
        <v>0.44999998807907099</v>
      </c>
      <c r="AE1262" t="s">
        <v>27</v>
      </c>
      <c r="AF1262" t="s">
        <v>27</v>
      </c>
      <c r="AG1262">
        <v>10988000</v>
      </c>
      <c r="AH1262">
        <v>8.2490777969360405</v>
      </c>
      <c r="AI1262">
        <v>1.49229896068573</v>
      </c>
    </row>
    <row r="1263" spans="1:35">
      <c r="A1263">
        <f t="shared" si="168"/>
        <v>1</v>
      </c>
      <c r="B1263">
        <f t="shared" si="169"/>
        <v>0</v>
      </c>
      <c r="C1263">
        <f t="shared" si="170"/>
        <v>1</v>
      </c>
      <c r="D1263">
        <f t="shared" si="171"/>
        <v>1</v>
      </c>
      <c r="E1263">
        <f t="shared" si="172"/>
        <v>0</v>
      </c>
      <c r="F1263">
        <f t="shared" si="173"/>
        <v>1</v>
      </c>
      <c r="G1263">
        <f t="shared" si="174"/>
        <v>1</v>
      </c>
      <c r="H1263">
        <v>0</v>
      </c>
      <c r="I1263">
        <f t="shared" si="175"/>
        <v>1</v>
      </c>
      <c r="J1263">
        <f t="shared" si="167"/>
        <v>16.567218303680381</v>
      </c>
      <c r="K1263" t="s">
        <v>602</v>
      </c>
      <c r="L1263" t="s">
        <v>603</v>
      </c>
      <c r="M1263" t="s">
        <v>27</v>
      </c>
      <c r="N1263" t="s">
        <v>27</v>
      </c>
      <c r="O1263">
        <v>15.74</v>
      </c>
      <c r="P1263">
        <v>6.6359810829162598</v>
      </c>
      <c r="Q1263">
        <v>5.6056799888610804</v>
      </c>
      <c r="R1263">
        <v>14.0900001525879</v>
      </c>
      <c r="S1263">
        <v>8.5</v>
      </c>
      <c r="T1263">
        <v>37.4939155578613</v>
      </c>
      <c r="U1263">
        <v>27.1239318847656</v>
      </c>
      <c r="V1263">
        <v>21440000</v>
      </c>
      <c r="W1263">
        <v>4.7768478393554696</v>
      </c>
      <c r="X1263">
        <v>0.52999997138977095</v>
      </c>
      <c r="Y1263">
        <v>20.056337356567401</v>
      </c>
      <c r="Z1263">
        <v>10.9615383148193</v>
      </c>
      <c r="AA1263">
        <v>12796000</v>
      </c>
      <c r="AB1263" t="s">
        <v>27</v>
      </c>
      <c r="AC1263" t="s">
        <v>27</v>
      </c>
      <c r="AD1263">
        <v>0.56000000238418601</v>
      </c>
      <c r="AE1263">
        <v>27.636695861816399</v>
      </c>
      <c r="AF1263">
        <v>5.5235395099056799</v>
      </c>
      <c r="AG1263">
        <v>12972000</v>
      </c>
      <c r="AH1263">
        <v>35.363231658935497</v>
      </c>
      <c r="AI1263">
        <v>4.3334841728210396</v>
      </c>
    </row>
    <row r="1264" spans="1:35">
      <c r="A1264">
        <f t="shared" si="168"/>
        <v>1</v>
      </c>
      <c r="B1264">
        <f t="shared" si="169"/>
        <v>1</v>
      </c>
      <c r="C1264">
        <f t="shared" si="170"/>
        <v>1</v>
      </c>
      <c r="D1264">
        <f t="shared" si="171"/>
        <v>1</v>
      </c>
      <c r="E1264">
        <f t="shared" si="172"/>
        <v>0</v>
      </c>
      <c r="F1264">
        <f t="shared" si="173"/>
        <v>1</v>
      </c>
      <c r="G1264">
        <f t="shared" si="174"/>
        <v>1</v>
      </c>
      <c r="H1264">
        <v>0</v>
      </c>
      <c r="I1264">
        <f t="shared" si="175"/>
        <v>0</v>
      </c>
      <c r="J1264">
        <f t="shared" si="167"/>
        <v>16.565883636474602</v>
      </c>
      <c r="K1264" t="s">
        <v>307</v>
      </c>
      <c r="L1264" t="s">
        <v>308</v>
      </c>
      <c r="M1264" t="s">
        <v>27</v>
      </c>
      <c r="N1264" t="s">
        <v>27</v>
      </c>
      <c r="O1264">
        <v>9.2799999999999994</v>
      </c>
      <c r="P1264">
        <v>4.8553800582885698</v>
      </c>
      <c r="Q1264">
        <v>10.675915718078601</v>
      </c>
      <c r="R1264">
        <v>14.699999809265099</v>
      </c>
      <c r="S1264">
        <v>6.875</v>
      </c>
      <c r="T1264">
        <v>29.284172058105501</v>
      </c>
      <c r="U1264">
        <v>20.944698333740199</v>
      </c>
      <c r="V1264">
        <v>4904000</v>
      </c>
      <c r="W1264">
        <v>2.5698039531707799</v>
      </c>
      <c r="X1264">
        <v>0.109999999403954</v>
      </c>
      <c r="Y1264">
        <v>5.2658228874206499</v>
      </c>
      <c r="Z1264">
        <v>5.8899679183959996</v>
      </c>
      <c r="AA1264">
        <v>27821000</v>
      </c>
      <c r="AB1264" t="s">
        <v>61</v>
      </c>
      <c r="AC1264" t="s">
        <v>62</v>
      </c>
      <c r="AD1264">
        <v>0.20999999344348899</v>
      </c>
      <c r="AE1264">
        <v>22.871995925903299</v>
      </c>
      <c r="AF1264">
        <v>4.0892759419867399</v>
      </c>
      <c r="AG1264">
        <v>28276000</v>
      </c>
      <c r="AH1264">
        <v>19.486068725585898</v>
      </c>
      <c r="AI1264">
        <v>3.2833130359649698</v>
      </c>
    </row>
    <row r="1265" spans="1:35">
      <c r="A1265">
        <f t="shared" si="168"/>
        <v>0</v>
      </c>
      <c r="B1265">
        <f t="shared" si="169"/>
        <v>0</v>
      </c>
      <c r="C1265">
        <f t="shared" si="170"/>
        <v>1</v>
      </c>
      <c r="D1265">
        <f t="shared" si="171"/>
        <v>1</v>
      </c>
      <c r="E1265">
        <f t="shared" si="172"/>
        <v>1</v>
      </c>
      <c r="F1265">
        <f t="shared" si="173"/>
        <v>1</v>
      </c>
      <c r="G1265">
        <f t="shared" si="174"/>
        <v>1</v>
      </c>
      <c r="H1265">
        <v>0</v>
      </c>
      <c r="I1265">
        <f t="shared" si="175"/>
        <v>1</v>
      </c>
      <c r="J1265">
        <f t="shared" si="167"/>
        <v>16.5631422996521</v>
      </c>
      <c r="K1265" t="s">
        <v>1300</v>
      </c>
      <c r="L1265" t="s">
        <v>1301</v>
      </c>
      <c r="M1265" t="s">
        <v>27</v>
      </c>
      <c r="N1265" t="s">
        <v>27</v>
      </c>
      <c r="O1265">
        <v>310</v>
      </c>
      <c r="P1265">
        <v>9.5154380798339808</v>
      </c>
      <c r="Q1265">
        <v>7.6040511131286603</v>
      </c>
      <c r="R1265">
        <v>283.5</v>
      </c>
      <c r="S1265">
        <v>222</v>
      </c>
      <c r="T1265">
        <v>0</v>
      </c>
      <c r="U1265">
        <v>62.103237152099602</v>
      </c>
      <c r="V1265">
        <v>43247000</v>
      </c>
      <c r="W1265">
        <v>11.079414367675801</v>
      </c>
      <c r="X1265">
        <v>4.1300001144409197</v>
      </c>
      <c r="Y1265">
        <v>11.222222328186</v>
      </c>
      <c r="Z1265">
        <v>8.9590911865234393</v>
      </c>
      <c r="AA1265">
        <v>1926000</v>
      </c>
      <c r="AB1265" t="s">
        <v>194</v>
      </c>
      <c r="AC1265" t="s">
        <v>195</v>
      </c>
      <c r="AD1265">
        <v>4.21000003814697</v>
      </c>
      <c r="AE1265">
        <v>65.929153442382798</v>
      </c>
      <c r="AF1265">
        <v>7.2155354159186098</v>
      </c>
      <c r="AG1265">
        <v>1926000</v>
      </c>
      <c r="AH1265">
        <v>0</v>
      </c>
      <c r="AI1265">
        <v>9.7270736694335902</v>
      </c>
    </row>
    <row r="1266" spans="1:35">
      <c r="A1266">
        <f t="shared" si="168"/>
        <v>1</v>
      </c>
      <c r="B1266">
        <f t="shared" si="169"/>
        <v>1</v>
      </c>
      <c r="C1266">
        <f t="shared" si="170"/>
        <v>1</v>
      </c>
      <c r="D1266">
        <f t="shared" si="171"/>
        <v>0</v>
      </c>
      <c r="E1266">
        <f t="shared" si="172"/>
        <v>0</v>
      </c>
      <c r="F1266">
        <f t="shared" si="173"/>
        <v>1</v>
      </c>
      <c r="G1266">
        <f t="shared" si="174"/>
        <v>1</v>
      </c>
      <c r="H1266">
        <v>0</v>
      </c>
      <c r="I1266">
        <f t="shared" si="175"/>
        <v>0</v>
      </c>
      <c r="J1266">
        <f t="shared" si="167"/>
        <v>16.55331993103027</v>
      </c>
      <c r="K1266" t="s">
        <v>3039</v>
      </c>
      <c r="L1266" t="s">
        <v>3040</v>
      </c>
      <c r="M1266" t="s">
        <v>27</v>
      </c>
      <c r="N1266" t="s">
        <v>27</v>
      </c>
      <c r="O1266">
        <v>10.6</v>
      </c>
      <c r="P1266">
        <v>9.8562431335449201</v>
      </c>
      <c r="Q1266">
        <v>9.6783199310302699</v>
      </c>
      <c r="R1266">
        <v>14.4199994405111</v>
      </c>
      <c r="S1266">
        <v>6.1666666666666696</v>
      </c>
      <c r="T1266">
        <v>34.528587341308601</v>
      </c>
      <c r="U1266">
        <v>62.741630554199197</v>
      </c>
      <c r="V1266">
        <v>10379000</v>
      </c>
      <c r="W1266">
        <v>7.7610621452331499</v>
      </c>
      <c r="X1266">
        <v>0.21333332856496201</v>
      </c>
      <c r="Y1266">
        <v>13.3856210708618</v>
      </c>
      <c r="Z1266">
        <v>6.875</v>
      </c>
      <c r="AA1266">
        <v>46788000</v>
      </c>
      <c r="AB1266" t="s">
        <v>27</v>
      </c>
      <c r="AC1266" t="s">
        <v>27</v>
      </c>
      <c r="AD1266">
        <v>0.20666666825612401</v>
      </c>
      <c r="AE1266">
        <v>64.622795104980497</v>
      </c>
      <c r="AF1266">
        <v>5.6800895969579397</v>
      </c>
      <c r="AG1266">
        <v>45816000</v>
      </c>
      <c r="AH1266">
        <v>30.524976730346701</v>
      </c>
      <c r="AI1266">
        <v>7.90842580795288</v>
      </c>
    </row>
    <row r="1267" spans="1:35">
      <c r="A1267">
        <f t="shared" si="168"/>
        <v>1</v>
      </c>
      <c r="B1267">
        <f t="shared" si="169"/>
        <v>1</v>
      </c>
      <c r="C1267">
        <f t="shared" si="170"/>
        <v>1</v>
      </c>
      <c r="D1267">
        <f t="shared" si="171"/>
        <v>1</v>
      </c>
      <c r="E1267">
        <f t="shared" si="172"/>
        <v>0</v>
      </c>
      <c r="F1267">
        <f t="shared" si="173"/>
        <v>1</v>
      </c>
      <c r="G1267">
        <f t="shared" si="174"/>
        <v>0</v>
      </c>
      <c r="H1267">
        <v>0</v>
      </c>
      <c r="I1267">
        <f t="shared" si="175"/>
        <v>1</v>
      </c>
      <c r="J1267">
        <f t="shared" si="167"/>
        <v>16.547004699707031</v>
      </c>
      <c r="K1267" t="s">
        <v>742</v>
      </c>
      <c r="L1267" t="s">
        <v>743</v>
      </c>
      <c r="M1267" t="s">
        <v>27</v>
      </c>
      <c r="N1267" t="s">
        <v>27</v>
      </c>
      <c r="O1267">
        <v>28.15</v>
      </c>
      <c r="P1267">
        <v>6.22304487228394</v>
      </c>
      <c r="Q1267">
        <v>7.2461509704589799</v>
      </c>
      <c r="R1267">
        <v>16.174999237060501</v>
      </c>
      <c r="S1267">
        <v>14.1549997329712</v>
      </c>
      <c r="T1267">
        <v>13.333010673522899</v>
      </c>
      <c r="U1267" t="s">
        <v>27</v>
      </c>
      <c r="V1267">
        <v>9677000</v>
      </c>
      <c r="W1267">
        <v>1.0180289745330799</v>
      </c>
      <c r="X1267">
        <v>0.28000000119209301</v>
      </c>
      <c r="Y1267">
        <v>7.4814820289611799</v>
      </c>
      <c r="Z1267">
        <v>9.3008537292480504</v>
      </c>
      <c r="AA1267">
        <v>17526000</v>
      </c>
      <c r="AB1267" t="s">
        <v>34</v>
      </c>
      <c r="AC1267" t="s">
        <v>35</v>
      </c>
      <c r="AD1267">
        <v>0.52999997138977095</v>
      </c>
      <c r="AE1267" t="s">
        <v>27</v>
      </c>
      <c r="AF1267" t="s">
        <v>27</v>
      </c>
      <c r="AG1267">
        <v>16056000</v>
      </c>
      <c r="AH1267">
        <v>11.766686439514199</v>
      </c>
      <c r="AI1267">
        <v>1.12224698066711</v>
      </c>
    </row>
    <row r="1268" spans="1:35">
      <c r="A1268">
        <f t="shared" si="168"/>
        <v>0</v>
      </c>
      <c r="B1268">
        <f t="shared" si="169"/>
        <v>0</v>
      </c>
      <c r="C1268">
        <f t="shared" si="170"/>
        <v>1</v>
      </c>
      <c r="D1268">
        <f t="shared" si="171"/>
        <v>1</v>
      </c>
      <c r="E1268">
        <f t="shared" si="172"/>
        <v>0</v>
      </c>
      <c r="F1268">
        <f t="shared" si="173"/>
        <v>1</v>
      </c>
      <c r="G1268">
        <f t="shared" si="174"/>
        <v>0</v>
      </c>
      <c r="H1268">
        <v>0</v>
      </c>
      <c r="I1268">
        <f t="shared" si="175"/>
        <v>0</v>
      </c>
      <c r="J1268">
        <f t="shared" si="167"/>
        <v>16.513092041015632</v>
      </c>
      <c r="K1268" t="s">
        <v>2722</v>
      </c>
      <c r="L1268" t="s">
        <v>2723</v>
      </c>
      <c r="M1268" t="s">
        <v>27</v>
      </c>
      <c r="N1268" t="s">
        <v>27</v>
      </c>
      <c r="O1268">
        <v>7.52</v>
      </c>
      <c r="P1268">
        <v>11.7726278305054</v>
      </c>
      <c r="Q1268">
        <v>8.9768600463867205</v>
      </c>
      <c r="R1268">
        <v>13.050000190734901</v>
      </c>
      <c r="S1268">
        <v>10.7399997711182</v>
      </c>
      <c r="T1268">
        <v>23.908502578735401</v>
      </c>
      <c r="U1268">
        <v>12.2181615829468</v>
      </c>
      <c r="V1268">
        <v>64440000</v>
      </c>
      <c r="W1268">
        <v>7.6909627914428702</v>
      </c>
      <c r="X1268">
        <v>0.31000000238418601</v>
      </c>
      <c r="Y1268">
        <v>16.639999389648398</v>
      </c>
      <c r="Z1268">
        <v>7.5362319946289098</v>
      </c>
      <c r="AA1268">
        <v>41112000</v>
      </c>
      <c r="AB1268" t="s">
        <v>194</v>
      </c>
      <c r="AC1268" t="s">
        <v>195</v>
      </c>
      <c r="AD1268">
        <v>0.31999999284744302</v>
      </c>
      <c r="AE1268">
        <v>8.8204813003540004</v>
      </c>
      <c r="AF1268">
        <v>9.3959576156061502</v>
      </c>
      <c r="AG1268">
        <v>41113000</v>
      </c>
      <c r="AH1268">
        <v>34.862907409667997</v>
      </c>
      <c r="AI1268">
        <v>4.2826170921325701</v>
      </c>
    </row>
    <row r="1269" spans="1:35">
      <c r="A1269">
        <f t="shared" si="168"/>
        <v>0</v>
      </c>
      <c r="B1269">
        <f t="shared" si="169"/>
        <v>1</v>
      </c>
      <c r="C1269">
        <f t="shared" si="170"/>
        <v>1</v>
      </c>
      <c r="D1269">
        <f t="shared" si="171"/>
        <v>1</v>
      </c>
      <c r="E1269">
        <f t="shared" si="172"/>
        <v>0</v>
      </c>
      <c r="F1269">
        <f t="shared" si="173"/>
        <v>1</v>
      </c>
      <c r="G1269">
        <f t="shared" si="174"/>
        <v>0</v>
      </c>
      <c r="H1269">
        <v>0</v>
      </c>
      <c r="I1269">
        <f t="shared" si="175"/>
        <v>1</v>
      </c>
      <c r="J1269">
        <f t="shared" si="167"/>
        <v>16.51150560379028</v>
      </c>
      <c r="K1269" t="s">
        <v>1386</v>
      </c>
      <c r="L1269" t="s">
        <v>1387</v>
      </c>
      <c r="M1269" t="s">
        <v>27</v>
      </c>
      <c r="N1269" t="s">
        <v>27</v>
      </c>
      <c r="O1269">
        <v>24</v>
      </c>
      <c r="P1269">
        <v>7.7715749740600604</v>
      </c>
      <c r="Q1269">
        <v>7.8655028343200701</v>
      </c>
      <c r="R1269">
        <v>21.100000381469702</v>
      </c>
      <c r="S1269">
        <v>15.5</v>
      </c>
      <c r="T1269">
        <v>10.26833152771</v>
      </c>
      <c r="U1269" t="s">
        <v>27</v>
      </c>
      <c r="V1269">
        <v>2512000</v>
      </c>
      <c r="W1269">
        <v>0.98195397853851296</v>
      </c>
      <c r="X1269">
        <v>0.37000000476837203</v>
      </c>
      <c r="Y1269">
        <v>9.9591836929321307</v>
      </c>
      <c r="Z1269">
        <v>8.6460027694702095</v>
      </c>
      <c r="AA1269">
        <v>4873000</v>
      </c>
      <c r="AB1269" t="s">
        <v>27</v>
      </c>
      <c r="AC1269" t="s">
        <v>27</v>
      </c>
      <c r="AD1269">
        <v>0.43000000715255698</v>
      </c>
      <c r="AE1269" t="s">
        <v>27</v>
      </c>
      <c r="AF1269" t="s">
        <v>27</v>
      </c>
      <c r="AG1269">
        <v>4893000</v>
      </c>
      <c r="AH1269">
        <v>10.8446702957153</v>
      </c>
      <c r="AI1269">
        <v>1.18578600883484</v>
      </c>
    </row>
    <row r="1270" spans="1:35">
      <c r="A1270">
        <f t="shared" si="168"/>
        <v>1</v>
      </c>
      <c r="B1270">
        <f t="shared" si="169"/>
        <v>1</v>
      </c>
      <c r="C1270">
        <f t="shared" si="170"/>
        <v>1</v>
      </c>
      <c r="D1270">
        <f t="shared" si="171"/>
        <v>1</v>
      </c>
      <c r="E1270">
        <f t="shared" si="172"/>
        <v>0</v>
      </c>
      <c r="F1270">
        <f t="shared" si="173"/>
        <v>1</v>
      </c>
      <c r="G1270">
        <f t="shared" si="174"/>
        <v>1</v>
      </c>
      <c r="H1270">
        <v>0</v>
      </c>
      <c r="I1270">
        <f t="shared" si="175"/>
        <v>1</v>
      </c>
      <c r="J1270">
        <f t="shared" si="167"/>
        <v>16.489877700805661</v>
      </c>
      <c r="K1270" t="s">
        <v>578</v>
      </c>
      <c r="L1270" t="s">
        <v>579</v>
      </c>
      <c r="M1270" t="s">
        <v>27</v>
      </c>
      <c r="N1270" t="s">
        <v>27</v>
      </c>
      <c r="O1270">
        <v>20.23</v>
      </c>
      <c r="P1270">
        <v>4.3351531028747603</v>
      </c>
      <c r="Q1270">
        <v>7.4226551055908203</v>
      </c>
      <c r="R1270">
        <v>16.620000839233398</v>
      </c>
      <c r="S1270">
        <v>19.25</v>
      </c>
      <c r="T1270">
        <v>31.505395889282202</v>
      </c>
      <c r="U1270">
        <v>28.4588832855225</v>
      </c>
      <c r="V1270">
        <v>12336998</v>
      </c>
      <c r="W1270">
        <v>1.2052570581436199</v>
      </c>
      <c r="X1270">
        <v>0.43000000715255698</v>
      </c>
      <c r="Y1270">
        <v>5.4265727996826199</v>
      </c>
      <c r="Z1270">
        <v>9.0672225952148402</v>
      </c>
      <c r="AA1270">
        <v>21142000</v>
      </c>
      <c r="AB1270" t="s">
        <v>328</v>
      </c>
      <c r="AC1270" t="s">
        <v>403</v>
      </c>
      <c r="AD1270">
        <v>0.61000001430511497</v>
      </c>
      <c r="AE1270">
        <v>29.319705963134801</v>
      </c>
      <c r="AF1270">
        <v>6.4744411191660696</v>
      </c>
      <c r="AG1270">
        <v>21898000</v>
      </c>
      <c r="AH1270">
        <v>26.3530597686768</v>
      </c>
      <c r="AI1270">
        <v>3.99387407302856</v>
      </c>
    </row>
    <row r="1271" spans="1:35">
      <c r="A1271">
        <f t="shared" si="168"/>
        <v>0</v>
      </c>
      <c r="B1271">
        <f t="shared" si="169"/>
        <v>1</v>
      </c>
      <c r="C1271">
        <f t="shared" si="170"/>
        <v>0</v>
      </c>
      <c r="D1271">
        <f t="shared" si="171"/>
        <v>1</v>
      </c>
      <c r="E1271">
        <f t="shared" si="172"/>
        <v>0</v>
      </c>
      <c r="F1271">
        <f t="shared" si="173"/>
        <v>1</v>
      </c>
      <c r="G1271">
        <f t="shared" si="174"/>
        <v>0</v>
      </c>
      <c r="H1271">
        <v>0</v>
      </c>
      <c r="I1271">
        <f t="shared" si="175"/>
        <v>1</v>
      </c>
      <c r="J1271">
        <f t="shared" si="167"/>
        <v>16.480818271636931</v>
      </c>
      <c r="K1271" t="s">
        <v>788</v>
      </c>
      <c r="L1271" t="s">
        <v>789</v>
      </c>
      <c r="M1271" t="s">
        <v>27</v>
      </c>
      <c r="N1271" t="s">
        <v>27</v>
      </c>
      <c r="O1271">
        <v>34.03</v>
      </c>
      <c r="P1271">
        <v>10.5041389465332</v>
      </c>
      <c r="Q1271">
        <v>10.672237396240201</v>
      </c>
      <c r="R1271">
        <v>25.3649997711182</v>
      </c>
      <c r="S1271">
        <v>19.049999237060501</v>
      </c>
      <c r="T1271">
        <v>48.377120971679702</v>
      </c>
      <c r="U1271" t="s">
        <v>27</v>
      </c>
      <c r="V1271">
        <v>-49342004</v>
      </c>
      <c r="W1271">
        <v>4.8475151062011701</v>
      </c>
      <c r="X1271">
        <v>0.34000000357627902</v>
      </c>
      <c r="Y1271">
        <v>8.0569400787353498</v>
      </c>
      <c r="Z1271">
        <v>5.8085808753967303</v>
      </c>
      <c r="AA1271">
        <v>31884000</v>
      </c>
      <c r="AB1271" t="s">
        <v>27</v>
      </c>
      <c r="AC1271" t="s">
        <v>27</v>
      </c>
      <c r="AD1271">
        <v>0.36000001430511502</v>
      </c>
      <c r="AE1271" t="s">
        <v>27</v>
      </c>
      <c r="AF1271">
        <v>13.9189019140401</v>
      </c>
      <c r="AG1271">
        <v>33472000</v>
      </c>
      <c r="AH1271">
        <v>57.824951171875</v>
      </c>
      <c r="AI1271">
        <v>5.3626370429992702</v>
      </c>
    </row>
    <row r="1272" spans="1:35">
      <c r="A1272">
        <f t="shared" si="168"/>
        <v>0</v>
      </c>
      <c r="B1272">
        <f t="shared" si="169"/>
        <v>1</v>
      </c>
      <c r="C1272">
        <f t="shared" si="170"/>
        <v>1</v>
      </c>
      <c r="D1272">
        <f t="shared" si="171"/>
        <v>0</v>
      </c>
      <c r="E1272">
        <f t="shared" si="172"/>
        <v>0</v>
      </c>
      <c r="F1272">
        <f t="shared" si="173"/>
        <v>1</v>
      </c>
      <c r="G1272">
        <f t="shared" si="174"/>
        <v>0</v>
      </c>
      <c r="H1272">
        <v>0</v>
      </c>
      <c r="I1272">
        <f t="shared" si="175"/>
        <v>0</v>
      </c>
      <c r="J1272">
        <f t="shared" si="167"/>
        <v>16.476443290710449</v>
      </c>
      <c r="K1272" t="s">
        <v>1786</v>
      </c>
      <c r="L1272" t="s">
        <v>1787</v>
      </c>
      <c r="M1272" t="s">
        <v>27</v>
      </c>
      <c r="N1272" t="s">
        <v>27</v>
      </c>
      <c r="O1272">
        <v>7.31</v>
      </c>
      <c r="P1272">
        <v>5.9757962226867702</v>
      </c>
      <c r="Q1272">
        <v>8.8097772598266602</v>
      </c>
      <c r="R1272">
        <v>10.3500003814697</v>
      </c>
      <c r="S1272">
        <v>11.949999809265099</v>
      </c>
      <c r="T1272">
        <v>32.005638122558601</v>
      </c>
      <c r="U1272" t="s">
        <v>27</v>
      </c>
      <c r="V1272">
        <v>15580001</v>
      </c>
      <c r="W1272">
        <v>4.9132127761840803</v>
      </c>
      <c r="X1272">
        <v>0.46000000834464999</v>
      </c>
      <c r="Y1272">
        <v>2.92682909965515</v>
      </c>
      <c r="Z1272">
        <v>7.66666603088379</v>
      </c>
      <c r="AA1272">
        <v>34676000</v>
      </c>
      <c r="AB1272" t="s">
        <v>27</v>
      </c>
      <c r="AC1272" t="s">
        <v>27</v>
      </c>
      <c r="AD1272">
        <v>0.259999990463257</v>
      </c>
      <c r="AE1272" t="s">
        <v>27</v>
      </c>
      <c r="AF1272">
        <v>8.6368572642523294</v>
      </c>
      <c r="AG1272">
        <v>34774000</v>
      </c>
      <c r="AH1272">
        <v>33.339599609375</v>
      </c>
      <c r="AI1272">
        <v>5.8457231521606401</v>
      </c>
    </row>
    <row r="1273" spans="1:35">
      <c r="A1273">
        <f t="shared" si="168"/>
        <v>1</v>
      </c>
      <c r="B1273">
        <f t="shared" si="169"/>
        <v>1</v>
      </c>
      <c r="C1273">
        <f t="shared" si="170"/>
        <v>1</v>
      </c>
      <c r="D1273">
        <f t="shared" si="171"/>
        <v>0</v>
      </c>
      <c r="E1273">
        <f t="shared" si="172"/>
        <v>0</v>
      </c>
      <c r="F1273">
        <f t="shared" si="173"/>
        <v>1</v>
      </c>
      <c r="G1273">
        <f t="shared" si="174"/>
        <v>0</v>
      </c>
      <c r="H1273">
        <v>0</v>
      </c>
      <c r="I1273">
        <f t="shared" si="175"/>
        <v>0</v>
      </c>
      <c r="J1273">
        <f t="shared" si="167"/>
        <v>16.467416763305661</v>
      </c>
      <c r="K1273" t="s">
        <v>1346</v>
      </c>
      <c r="L1273" t="s">
        <v>1347</v>
      </c>
      <c r="M1273" t="s">
        <v>27</v>
      </c>
      <c r="N1273" t="s">
        <v>27</v>
      </c>
      <c r="O1273">
        <v>91</v>
      </c>
      <c r="P1273">
        <v>6.7344422340393102</v>
      </c>
      <c r="Q1273">
        <v>6.2979249954223597</v>
      </c>
      <c r="R1273">
        <v>100.800003051758</v>
      </c>
      <c r="S1273">
        <v>87</v>
      </c>
      <c r="T1273">
        <v>7.59562015533447</v>
      </c>
      <c r="U1273" t="s">
        <v>27</v>
      </c>
      <c r="V1273">
        <v>71656000</v>
      </c>
      <c r="W1273">
        <v>0.84666401147842396</v>
      </c>
      <c r="X1273">
        <v>3.1700000762939502</v>
      </c>
      <c r="Y1273">
        <v>12.380785942077599</v>
      </c>
      <c r="Z1273">
        <v>10.169491767883301</v>
      </c>
      <c r="AA1273">
        <v>10533000</v>
      </c>
      <c r="AB1273" t="s">
        <v>34</v>
      </c>
      <c r="AC1273" t="s">
        <v>35</v>
      </c>
      <c r="AD1273">
        <v>1.9800000190734901</v>
      </c>
      <c r="AE1273" t="s">
        <v>27</v>
      </c>
      <c r="AF1273" t="s">
        <v>27</v>
      </c>
      <c r="AG1273">
        <v>10491000</v>
      </c>
      <c r="AH1273">
        <v>7.4668412208557102</v>
      </c>
      <c r="AI1273">
        <v>0.96342200040817305</v>
      </c>
    </row>
    <row r="1274" spans="1:35">
      <c r="A1274">
        <f t="shared" si="168"/>
        <v>1</v>
      </c>
      <c r="B1274">
        <f t="shared" si="169"/>
        <v>0</v>
      </c>
      <c r="C1274">
        <f t="shared" si="170"/>
        <v>1</v>
      </c>
      <c r="D1274">
        <f t="shared" si="171"/>
        <v>0</v>
      </c>
      <c r="E1274">
        <f t="shared" si="172"/>
        <v>0</v>
      </c>
      <c r="F1274">
        <f t="shared" si="173"/>
        <v>1</v>
      </c>
      <c r="G1274">
        <f t="shared" si="174"/>
        <v>1</v>
      </c>
      <c r="H1274">
        <v>0</v>
      </c>
      <c r="I1274">
        <f t="shared" si="175"/>
        <v>0</v>
      </c>
      <c r="J1274">
        <f t="shared" si="167"/>
        <v>16.46663761138916</v>
      </c>
      <c r="K1274" t="s">
        <v>1624</v>
      </c>
      <c r="L1274" t="s">
        <v>1625</v>
      </c>
      <c r="M1274" t="s">
        <v>27</v>
      </c>
      <c r="N1274" t="s">
        <v>27</v>
      </c>
      <c r="O1274">
        <v>12.4</v>
      </c>
      <c r="P1274">
        <v>9.0579519271850604</v>
      </c>
      <c r="Q1274">
        <v>6.6189222335815403</v>
      </c>
      <c r="R1274">
        <v>17.680000305175799</v>
      </c>
      <c r="S1274">
        <v>13.25</v>
      </c>
      <c r="T1274">
        <v>39.525241851806598</v>
      </c>
      <c r="U1274">
        <v>47.1876831054688</v>
      </c>
      <c r="V1274">
        <v>14668000</v>
      </c>
      <c r="W1274">
        <v>6.8710508346557599</v>
      </c>
      <c r="X1274">
        <v>0.36000001430511502</v>
      </c>
      <c r="Y1274">
        <v>12.1599998474121</v>
      </c>
      <c r="Z1274">
        <v>9.8477153778076207</v>
      </c>
      <c r="AA1274">
        <v>20740000</v>
      </c>
      <c r="AB1274" t="s">
        <v>30</v>
      </c>
      <c r="AC1274" t="s">
        <v>68</v>
      </c>
      <c r="AD1274">
        <v>0.270000010728836</v>
      </c>
      <c r="AE1274">
        <v>47.832046508789098</v>
      </c>
      <c r="AF1274">
        <v>6.2787437043268</v>
      </c>
      <c r="AG1274">
        <v>21183000</v>
      </c>
      <c r="AH1274">
        <v>37.837520599365199</v>
      </c>
      <c r="AI1274">
        <v>5.7445321083068803</v>
      </c>
    </row>
    <row r="1275" spans="1:35">
      <c r="A1275">
        <f t="shared" si="168"/>
        <v>1</v>
      </c>
      <c r="B1275">
        <f t="shared" si="169"/>
        <v>1</v>
      </c>
      <c r="C1275">
        <f t="shared" si="170"/>
        <v>0</v>
      </c>
      <c r="D1275">
        <f t="shared" si="171"/>
        <v>0</v>
      </c>
      <c r="E1275">
        <f t="shared" si="172"/>
        <v>1</v>
      </c>
      <c r="F1275">
        <f t="shared" si="173"/>
        <v>1</v>
      </c>
      <c r="G1275">
        <f t="shared" si="174"/>
        <v>0</v>
      </c>
      <c r="H1275">
        <v>0</v>
      </c>
      <c r="I1275">
        <f t="shared" si="175"/>
        <v>0</v>
      </c>
      <c r="J1275">
        <f t="shared" si="167"/>
        <v>16.44080829620361</v>
      </c>
      <c r="K1275" t="s">
        <v>1852</v>
      </c>
      <c r="L1275" t="s">
        <v>1853</v>
      </c>
      <c r="M1275" t="s">
        <v>27</v>
      </c>
      <c r="N1275" t="s">
        <v>27</v>
      </c>
      <c r="O1275">
        <v>13.2</v>
      </c>
      <c r="P1275">
        <v>3.36451196670532</v>
      </c>
      <c r="Q1275">
        <v>8.0161504745483398</v>
      </c>
      <c r="R1275">
        <v>15.8999996185303</v>
      </c>
      <c r="S1275">
        <v>17.920000076293899</v>
      </c>
      <c r="T1275">
        <v>70.827941894531307</v>
      </c>
      <c r="U1275" t="s">
        <v>27</v>
      </c>
      <c r="V1275">
        <v>-17180000</v>
      </c>
      <c r="W1275">
        <v>1.6119090318679801</v>
      </c>
      <c r="X1275">
        <v>0.40000000596046398</v>
      </c>
      <c r="Y1275">
        <v>11.8032789230347</v>
      </c>
      <c r="Z1275">
        <v>8.4246578216552699</v>
      </c>
      <c r="AA1275">
        <v>27421000</v>
      </c>
      <c r="AB1275" t="s">
        <v>27</v>
      </c>
      <c r="AC1275" t="s">
        <v>27</v>
      </c>
      <c r="AD1275">
        <v>0.109999999403954</v>
      </c>
      <c r="AE1275" t="s">
        <v>27</v>
      </c>
      <c r="AF1275">
        <v>8.2361768430012905</v>
      </c>
      <c r="AG1275">
        <v>27421000</v>
      </c>
      <c r="AH1275">
        <v>69.505920410156307</v>
      </c>
      <c r="AI1275">
        <v>2.44391989707947</v>
      </c>
    </row>
    <row r="1276" spans="1:35">
      <c r="A1276">
        <f t="shared" si="168"/>
        <v>1</v>
      </c>
      <c r="B1276">
        <f t="shared" si="169"/>
        <v>1</v>
      </c>
      <c r="C1276">
        <f t="shared" si="170"/>
        <v>0</v>
      </c>
      <c r="D1276">
        <f t="shared" si="171"/>
        <v>1</v>
      </c>
      <c r="E1276">
        <f t="shared" si="172"/>
        <v>0</v>
      </c>
      <c r="F1276">
        <f t="shared" si="173"/>
        <v>1</v>
      </c>
      <c r="G1276">
        <f t="shared" si="174"/>
        <v>1</v>
      </c>
      <c r="H1276">
        <v>0</v>
      </c>
      <c r="I1276">
        <f t="shared" si="175"/>
        <v>0</v>
      </c>
      <c r="J1276">
        <f t="shared" si="167"/>
        <v>16.392522811889652</v>
      </c>
      <c r="K1276" t="s">
        <v>270</v>
      </c>
      <c r="L1276" t="s">
        <v>271</v>
      </c>
      <c r="M1276" t="s">
        <v>27</v>
      </c>
      <c r="N1276" t="s">
        <v>27</v>
      </c>
      <c r="O1276">
        <v>56.05</v>
      </c>
      <c r="P1276">
        <v>4.2385292053222701</v>
      </c>
      <c r="Q1276">
        <v>7.1564598083496103</v>
      </c>
      <c r="R1276">
        <v>64</v>
      </c>
      <c r="S1276">
        <v>46.549999237060497</v>
      </c>
      <c r="T1276">
        <v>35.188934326171903</v>
      </c>
      <c r="U1276">
        <v>24.6547546386719</v>
      </c>
      <c r="V1276">
        <v>-2250000</v>
      </c>
      <c r="W1276">
        <v>4.6441459655761701</v>
      </c>
      <c r="X1276">
        <v>2.0199999809265101</v>
      </c>
      <c r="Y1276">
        <v>16.088888168335</v>
      </c>
      <c r="Z1276">
        <v>9.2360630035400408</v>
      </c>
      <c r="AA1276">
        <v>3910000</v>
      </c>
      <c r="AB1276" t="s">
        <v>27</v>
      </c>
      <c r="AC1276" t="s">
        <v>27</v>
      </c>
      <c r="AD1276">
        <v>2.1600000858306898</v>
      </c>
      <c r="AE1276">
        <v>25.202949523925799</v>
      </c>
      <c r="AF1276">
        <v>6.3594174352758497</v>
      </c>
      <c r="AG1276">
        <v>3873000</v>
      </c>
      <c r="AH1276">
        <v>32.770259857177699</v>
      </c>
      <c r="AI1276">
        <v>5.4074177742004403</v>
      </c>
    </row>
    <row r="1277" spans="1:35">
      <c r="A1277">
        <f t="shared" si="168"/>
        <v>0</v>
      </c>
      <c r="B1277">
        <f t="shared" si="169"/>
        <v>0</v>
      </c>
      <c r="C1277">
        <f t="shared" si="170"/>
        <v>1</v>
      </c>
      <c r="D1277">
        <f t="shared" si="171"/>
        <v>0</v>
      </c>
      <c r="E1277">
        <f t="shared" si="172"/>
        <v>0</v>
      </c>
      <c r="F1277">
        <f t="shared" si="173"/>
        <v>1</v>
      </c>
      <c r="G1277">
        <f t="shared" si="174"/>
        <v>1</v>
      </c>
      <c r="H1277">
        <v>0</v>
      </c>
      <c r="I1277">
        <f t="shared" si="175"/>
        <v>0</v>
      </c>
      <c r="J1277">
        <f t="shared" si="167"/>
        <v>16.38288831710814</v>
      </c>
      <c r="K1277" t="s">
        <v>3135</v>
      </c>
      <c r="L1277" t="s">
        <v>3136</v>
      </c>
      <c r="M1277" t="s">
        <v>27</v>
      </c>
      <c r="N1277" t="s">
        <v>27</v>
      </c>
      <c r="O1277">
        <v>14.849</v>
      </c>
      <c r="P1277">
        <v>15.331240653991699</v>
      </c>
      <c r="Q1277">
        <v>11.6180372238159</v>
      </c>
      <c r="R1277">
        <v>25.2600002288818</v>
      </c>
      <c r="S1277">
        <v>34</v>
      </c>
      <c r="T1277">
        <v>0</v>
      </c>
      <c r="U1277">
        <v>86.250419616699205</v>
      </c>
      <c r="V1277">
        <v>8310999.5</v>
      </c>
      <c r="W1277">
        <v>14.0310525894165</v>
      </c>
      <c r="X1277">
        <v>0.140000000596046</v>
      </c>
      <c r="Y1277">
        <v>1.3890249729156501</v>
      </c>
      <c r="Z1277">
        <v>4.7648510932922399</v>
      </c>
      <c r="AA1277">
        <v>39552000</v>
      </c>
      <c r="AB1277" t="s">
        <v>27</v>
      </c>
      <c r="AC1277" t="s">
        <v>27</v>
      </c>
      <c r="AD1277">
        <v>7.9999998211860698E-2</v>
      </c>
      <c r="AE1277">
        <v>86.596694946289105</v>
      </c>
      <c r="AF1277">
        <v>12.4916401927913</v>
      </c>
      <c r="AG1277">
        <v>40152000</v>
      </c>
      <c r="AH1277">
        <v>0</v>
      </c>
      <c r="AI1277">
        <v>13.7458658218384</v>
      </c>
    </row>
    <row r="1278" spans="1:35">
      <c r="A1278">
        <f t="shared" si="168"/>
        <v>1</v>
      </c>
      <c r="B1278">
        <f t="shared" si="169"/>
        <v>0</v>
      </c>
      <c r="C1278">
        <f t="shared" si="170"/>
        <v>0</v>
      </c>
      <c r="D1278">
        <f t="shared" si="171"/>
        <v>0</v>
      </c>
      <c r="E1278">
        <f t="shared" si="172"/>
        <v>0</v>
      </c>
      <c r="F1278">
        <f t="shared" si="173"/>
        <v>1</v>
      </c>
      <c r="G1278">
        <f t="shared" si="174"/>
        <v>0</v>
      </c>
      <c r="H1278">
        <v>0</v>
      </c>
      <c r="I1278">
        <f t="shared" si="175"/>
        <v>0</v>
      </c>
      <c r="J1278">
        <f t="shared" si="167"/>
        <v>16.37054586410521</v>
      </c>
      <c r="K1278" t="s">
        <v>1447</v>
      </c>
      <c r="L1278" t="s">
        <v>1448</v>
      </c>
      <c r="M1278" t="s">
        <v>27</v>
      </c>
      <c r="N1278" t="s">
        <v>27</v>
      </c>
      <c r="O1278">
        <v>25.56</v>
      </c>
      <c r="P1278">
        <v>10.4852151870728</v>
      </c>
      <c r="Q1278">
        <v>11.783390045166</v>
      </c>
      <c r="R1278">
        <v>26.760999679565401</v>
      </c>
      <c r="S1278">
        <v>23.0625</v>
      </c>
      <c r="T1278">
        <v>6.5205721855163601</v>
      </c>
      <c r="U1278" t="s">
        <v>27</v>
      </c>
      <c r="V1278">
        <v>-9947000</v>
      </c>
      <c r="W1278">
        <v>2.0612089633941699</v>
      </c>
      <c r="X1278">
        <v>0.40000000596046398</v>
      </c>
      <c r="Y1278">
        <v>6.4638400077819798</v>
      </c>
      <c r="Z1278">
        <v>4.5871558189392099</v>
      </c>
      <c r="AA1278">
        <v>19768000</v>
      </c>
      <c r="AB1278" t="s">
        <v>27</v>
      </c>
      <c r="AC1278" t="s">
        <v>27</v>
      </c>
      <c r="AD1278">
        <v>0</v>
      </c>
      <c r="AE1278" t="s">
        <v>27</v>
      </c>
      <c r="AF1278" t="s">
        <v>27</v>
      </c>
      <c r="AG1278">
        <v>19185000</v>
      </c>
      <c r="AH1278">
        <v>6.24511623382568</v>
      </c>
      <c r="AI1278">
        <v>1.4009200334548999</v>
      </c>
    </row>
    <row r="1279" spans="1:35">
      <c r="A1279">
        <f t="shared" si="168"/>
        <v>0</v>
      </c>
      <c r="B1279">
        <f t="shared" si="169"/>
        <v>1</v>
      </c>
      <c r="C1279">
        <f t="shared" si="170"/>
        <v>1</v>
      </c>
      <c r="D1279">
        <f t="shared" si="171"/>
        <v>1</v>
      </c>
      <c r="E1279">
        <f t="shared" si="172"/>
        <v>0</v>
      </c>
      <c r="F1279">
        <f t="shared" si="173"/>
        <v>1</v>
      </c>
      <c r="G1279">
        <f t="shared" si="174"/>
        <v>0</v>
      </c>
      <c r="H1279">
        <v>0</v>
      </c>
      <c r="I1279">
        <f t="shared" si="175"/>
        <v>0</v>
      </c>
      <c r="J1279">
        <f t="shared" si="167"/>
        <v>16.35956478118894</v>
      </c>
      <c r="K1279" t="s">
        <v>2012</v>
      </c>
      <c r="L1279" t="s">
        <v>2013</v>
      </c>
      <c r="M1279" t="s">
        <v>27</v>
      </c>
      <c r="N1279" t="s">
        <v>27</v>
      </c>
      <c r="O1279">
        <v>16.420000000000002</v>
      </c>
      <c r="P1279">
        <v>12.019009590148899</v>
      </c>
      <c r="Q1279">
        <v>10.624797821044901</v>
      </c>
      <c r="R1279">
        <v>15.6190472557431</v>
      </c>
      <c r="S1279">
        <v>9.2970521541950095</v>
      </c>
      <c r="T1279">
        <v>1.7642849683761599</v>
      </c>
      <c r="U1279" t="s">
        <v>27</v>
      </c>
      <c r="V1279">
        <v>4249000</v>
      </c>
      <c r="W1279">
        <v>0.66128098964691195</v>
      </c>
      <c r="X1279">
        <v>0.172767522280732</v>
      </c>
      <c r="Y1279">
        <v>6.6363639831543004</v>
      </c>
      <c r="Z1279">
        <v>5.7347669601440403</v>
      </c>
      <c r="AA1279">
        <v>14545558.125</v>
      </c>
      <c r="AB1279" t="s">
        <v>34</v>
      </c>
      <c r="AC1279" t="s">
        <v>35</v>
      </c>
      <c r="AD1279">
        <v>0.19954648417950799</v>
      </c>
      <c r="AE1279" t="s">
        <v>27</v>
      </c>
      <c r="AF1279" t="s">
        <v>27</v>
      </c>
      <c r="AG1279">
        <v>14379907.5</v>
      </c>
      <c r="AH1279">
        <v>3.66861891746521</v>
      </c>
      <c r="AI1279">
        <v>1.1521309614181501</v>
      </c>
    </row>
    <row r="1280" spans="1:35">
      <c r="A1280">
        <f t="shared" si="168"/>
        <v>0</v>
      </c>
      <c r="B1280">
        <f t="shared" si="169"/>
        <v>1</v>
      </c>
      <c r="C1280">
        <f t="shared" si="170"/>
        <v>1</v>
      </c>
      <c r="D1280">
        <f t="shared" si="171"/>
        <v>1</v>
      </c>
      <c r="E1280">
        <f t="shared" si="172"/>
        <v>0</v>
      </c>
      <c r="F1280">
        <f t="shared" si="173"/>
        <v>1</v>
      </c>
      <c r="G1280">
        <f t="shared" si="174"/>
        <v>0</v>
      </c>
      <c r="H1280">
        <v>0</v>
      </c>
      <c r="I1280">
        <f t="shared" si="175"/>
        <v>0</v>
      </c>
      <c r="J1280">
        <f t="shared" si="167"/>
        <v>16.352416038513191</v>
      </c>
      <c r="K1280" t="s">
        <v>3533</v>
      </c>
      <c r="L1280" t="s">
        <v>3534</v>
      </c>
      <c r="M1280" t="s">
        <v>27</v>
      </c>
      <c r="N1280" t="s">
        <v>27</v>
      </c>
      <c r="O1280">
        <v>20.61</v>
      </c>
      <c r="P1280">
        <v>13.6571617126465</v>
      </c>
      <c r="Q1280">
        <v>10.746355056762701</v>
      </c>
      <c r="R1280">
        <v>21.329999923706101</v>
      </c>
      <c r="S1280">
        <v>19.399999618530298</v>
      </c>
      <c r="T1280">
        <v>92.162582397460895</v>
      </c>
      <c r="U1280" t="s">
        <v>27</v>
      </c>
      <c r="V1280">
        <v>5247000</v>
      </c>
      <c r="W1280">
        <v>3.4146819114685099</v>
      </c>
      <c r="X1280">
        <v>0.21999999880790699</v>
      </c>
      <c r="Y1280">
        <v>9.5555553436279297</v>
      </c>
      <c r="Z1280">
        <v>5.6060609817504901</v>
      </c>
      <c r="AA1280">
        <v>15993000</v>
      </c>
      <c r="AB1280" t="s">
        <v>27</v>
      </c>
      <c r="AC1280" t="s">
        <v>27</v>
      </c>
      <c r="AD1280">
        <v>0.31000000238418601</v>
      </c>
      <c r="AE1280" t="s">
        <v>27</v>
      </c>
      <c r="AF1280">
        <v>11.193167953562201</v>
      </c>
      <c r="AG1280">
        <v>16087999</v>
      </c>
      <c r="AH1280">
        <v>94.122276306152301</v>
      </c>
      <c r="AI1280">
        <v>4.5513157844543501</v>
      </c>
    </row>
    <row r="1281" spans="1:35">
      <c r="A1281">
        <f t="shared" si="168"/>
        <v>1</v>
      </c>
      <c r="B1281">
        <f t="shared" si="169"/>
        <v>0</v>
      </c>
      <c r="C1281">
        <f t="shared" si="170"/>
        <v>1</v>
      </c>
      <c r="D1281">
        <f t="shared" si="171"/>
        <v>1</v>
      </c>
      <c r="E1281">
        <f t="shared" si="172"/>
        <v>0</v>
      </c>
      <c r="F1281">
        <f t="shared" si="173"/>
        <v>1</v>
      </c>
      <c r="G1281">
        <f t="shared" si="174"/>
        <v>0</v>
      </c>
      <c r="H1281">
        <v>0</v>
      </c>
      <c r="I1281">
        <f t="shared" si="175"/>
        <v>1</v>
      </c>
      <c r="J1281">
        <f t="shared" si="167"/>
        <v>16.346638679504391</v>
      </c>
      <c r="K1281" t="s">
        <v>2268</v>
      </c>
      <c r="L1281" t="s">
        <v>2269</v>
      </c>
      <c r="M1281" t="s">
        <v>27</v>
      </c>
      <c r="N1281" t="s">
        <v>27</v>
      </c>
      <c r="O1281">
        <v>16.97</v>
      </c>
      <c r="P1281">
        <v>9.4349603652954102</v>
      </c>
      <c r="Q1281">
        <v>9.6323528289794904</v>
      </c>
      <c r="R1281">
        <v>14.699999809265099</v>
      </c>
      <c r="S1281">
        <v>13</v>
      </c>
      <c r="T1281">
        <v>61.544223785400398</v>
      </c>
      <c r="U1281" t="s">
        <v>27</v>
      </c>
      <c r="V1281">
        <v>2337000.25</v>
      </c>
      <c r="W1281">
        <v>3.9335999488830602</v>
      </c>
      <c r="X1281">
        <v>0.230000004172325</v>
      </c>
      <c r="Y1281">
        <v>7.5343909263610804</v>
      </c>
      <c r="Z1281">
        <v>6.7142858505248997</v>
      </c>
      <c r="AA1281">
        <v>13745000</v>
      </c>
      <c r="AB1281" t="s">
        <v>27</v>
      </c>
      <c r="AC1281" t="s">
        <v>27</v>
      </c>
      <c r="AD1281">
        <v>0.25</v>
      </c>
      <c r="AE1281" t="s">
        <v>27</v>
      </c>
      <c r="AF1281">
        <v>11.5054429179722</v>
      </c>
      <c r="AG1281">
        <v>14718000</v>
      </c>
      <c r="AH1281">
        <v>61.318244934082003</v>
      </c>
      <c r="AI1281">
        <v>3.66181492805481</v>
      </c>
    </row>
    <row r="1282" spans="1:35">
      <c r="A1282">
        <f t="shared" si="168"/>
        <v>1</v>
      </c>
      <c r="B1282">
        <f t="shared" si="169"/>
        <v>1</v>
      </c>
      <c r="C1282">
        <f t="shared" si="170"/>
        <v>1</v>
      </c>
      <c r="D1282">
        <f t="shared" si="171"/>
        <v>0</v>
      </c>
      <c r="E1282">
        <f t="shared" si="172"/>
        <v>0</v>
      </c>
      <c r="F1282">
        <f t="shared" si="173"/>
        <v>1</v>
      </c>
      <c r="G1282">
        <f t="shared" si="174"/>
        <v>0</v>
      </c>
      <c r="H1282">
        <v>0</v>
      </c>
      <c r="I1282">
        <f t="shared" si="175"/>
        <v>0</v>
      </c>
      <c r="J1282">
        <f t="shared" si="167"/>
        <v>16.331409931182879</v>
      </c>
      <c r="K1282" t="s">
        <v>129</v>
      </c>
      <c r="L1282" t="s">
        <v>130</v>
      </c>
      <c r="M1282" t="s">
        <v>27</v>
      </c>
      <c r="N1282" t="s">
        <v>27</v>
      </c>
      <c r="O1282">
        <v>13.73</v>
      </c>
      <c r="P1282">
        <v>13.325675964355501</v>
      </c>
      <c r="Q1282">
        <v>10.0557498931885</v>
      </c>
      <c r="R1282">
        <v>24.059999465942401</v>
      </c>
      <c r="S1282">
        <v>34.625</v>
      </c>
      <c r="T1282">
        <v>36.56103515625</v>
      </c>
      <c r="U1282">
        <v>34.173553466796903</v>
      </c>
      <c r="V1282">
        <v>4291000</v>
      </c>
      <c r="W1282">
        <v>8.4328489303588903</v>
      </c>
      <c r="X1282">
        <v>0.44999998807907099</v>
      </c>
      <c r="Y1282">
        <v>3.86617088317871</v>
      </c>
      <c r="Z1282">
        <v>6.2756600379943803</v>
      </c>
      <c r="AA1282">
        <v>24842000</v>
      </c>
      <c r="AB1282" t="s">
        <v>61</v>
      </c>
      <c r="AC1282" t="s">
        <v>131</v>
      </c>
      <c r="AD1282">
        <v>0.15000000596046401</v>
      </c>
      <c r="AE1282">
        <v>23.5036926269531</v>
      </c>
      <c r="AF1282">
        <v>5.9070283354853403</v>
      </c>
      <c r="AG1282">
        <v>26519000</v>
      </c>
      <c r="AH1282">
        <v>28.157371520996101</v>
      </c>
      <c r="AI1282">
        <v>10.472862243652299</v>
      </c>
    </row>
    <row r="1283" spans="1:35">
      <c r="A1283">
        <f t="shared" si="168"/>
        <v>1</v>
      </c>
      <c r="B1283">
        <f t="shared" si="169"/>
        <v>0</v>
      </c>
      <c r="C1283">
        <f t="shared" si="170"/>
        <v>1</v>
      </c>
      <c r="D1283">
        <f t="shared" si="171"/>
        <v>0</v>
      </c>
      <c r="E1283">
        <f t="shared" si="172"/>
        <v>0</v>
      </c>
      <c r="F1283">
        <f t="shared" si="173"/>
        <v>1</v>
      </c>
      <c r="G1283">
        <f t="shared" si="174"/>
        <v>0</v>
      </c>
      <c r="H1283">
        <v>0</v>
      </c>
      <c r="I1283">
        <f t="shared" si="175"/>
        <v>0</v>
      </c>
      <c r="J1283">
        <f t="shared" si="167"/>
        <v>16.32479715347295</v>
      </c>
      <c r="K1283" t="s">
        <v>75</v>
      </c>
      <c r="L1283" t="s">
        <v>76</v>
      </c>
      <c r="M1283" t="s">
        <v>27</v>
      </c>
      <c r="N1283" t="s">
        <v>27</v>
      </c>
      <c r="O1283">
        <v>15.21</v>
      </c>
      <c r="P1283">
        <v>14.346234321594199</v>
      </c>
      <c r="Q1283">
        <v>10.6837711334229</v>
      </c>
      <c r="R1283">
        <v>15.25</v>
      </c>
      <c r="S1283">
        <v>15.175000190734901</v>
      </c>
      <c r="T1283">
        <v>8.3534660339355504</v>
      </c>
      <c r="U1283">
        <v>13.384249687194799</v>
      </c>
      <c r="V1283">
        <v>7116999.5</v>
      </c>
      <c r="W1283">
        <v>7.3575811386108398</v>
      </c>
      <c r="X1283">
        <v>0.31499999761581399</v>
      </c>
      <c r="Y1283">
        <v>6.6219239234924299</v>
      </c>
      <c r="Z1283">
        <v>5.6410260200500497</v>
      </c>
      <c r="AA1283">
        <v>45998000</v>
      </c>
      <c r="AB1283" t="s">
        <v>61</v>
      </c>
      <c r="AC1283" t="s">
        <v>77</v>
      </c>
      <c r="AD1283">
        <v>-1.9999999552965199E-2</v>
      </c>
      <c r="AE1283">
        <v>7.99249315261841</v>
      </c>
      <c r="AF1283">
        <v>9.1629582907922096</v>
      </c>
      <c r="AG1283">
        <v>48778000</v>
      </c>
      <c r="AH1283">
        <v>1.7302010059356701</v>
      </c>
      <c r="AI1283">
        <v>4.95454978942871</v>
      </c>
    </row>
    <row r="1284" spans="1:35">
      <c r="A1284">
        <f t="shared" si="168"/>
        <v>0</v>
      </c>
      <c r="B1284">
        <f t="shared" si="169"/>
        <v>1</v>
      </c>
      <c r="C1284">
        <f t="shared" si="170"/>
        <v>0</v>
      </c>
      <c r="D1284">
        <f t="shared" si="171"/>
        <v>0</v>
      </c>
      <c r="E1284">
        <f t="shared" si="172"/>
        <v>0</v>
      </c>
      <c r="F1284">
        <f t="shared" si="173"/>
        <v>1</v>
      </c>
      <c r="G1284">
        <f t="shared" si="174"/>
        <v>0</v>
      </c>
      <c r="H1284">
        <v>0</v>
      </c>
      <c r="I1284">
        <f t="shared" si="175"/>
        <v>0</v>
      </c>
      <c r="J1284">
        <f t="shared" si="167"/>
        <v>16.32188701629639</v>
      </c>
      <c r="K1284" t="s">
        <v>1812</v>
      </c>
      <c r="L1284" t="s">
        <v>1813</v>
      </c>
      <c r="M1284" t="s">
        <v>27</v>
      </c>
      <c r="N1284" t="s">
        <v>27</v>
      </c>
      <c r="O1284">
        <v>4.3499999999999996</v>
      </c>
      <c r="P1284">
        <v>4.6987500190734899</v>
      </c>
      <c r="Q1284">
        <v>5.3843870162963903</v>
      </c>
      <c r="R1284">
        <v>4.5</v>
      </c>
      <c r="S1284">
        <v>6.4200000762939498</v>
      </c>
      <c r="T1284">
        <v>27.2826957702637</v>
      </c>
      <c r="U1284">
        <v>17.4556789398193</v>
      </c>
      <c r="V1284">
        <v>-6469000</v>
      </c>
      <c r="W1284">
        <v>2.2524569034576398</v>
      </c>
      <c r="X1284">
        <v>0.17000000178813901</v>
      </c>
      <c r="Y1284">
        <v>14.821052551269499</v>
      </c>
      <c r="Z1284">
        <v>10.9375</v>
      </c>
      <c r="AA1284">
        <v>40881612</v>
      </c>
      <c r="AB1284" t="s">
        <v>27</v>
      </c>
      <c r="AC1284" t="s">
        <v>27</v>
      </c>
      <c r="AD1284">
        <v>-7.1700000762939498</v>
      </c>
      <c r="AE1284">
        <v>15.2537794113159</v>
      </c>
      <c r="AF1284">
        <v>5.8198051171234404</v>
      </c>
      <c r="AG1284">
        <v>39994000</v>
      </c>
      <c r="AH1284">
        <v>39.908649444580099</v>
      </c>
      <c r="AI1284">
        <v>2.7962110042571999</v>
      </c>
    </row>
    <row r="1285" spans="1:35">
      <c r="A1285">
        <f t="shared" si="168"/>
        <v>0</v>
      </c>
      <c r="B1285">
        <f t="shared" si="169"/>
        <v>0</v>
      </c>
      <c r="C1285">
        <f t="shared" si="170"/>
        <v>1</v>
      </c>
      <c r="D1285">
        <f t="shared" si="171"/>
        <v>0</v>
      </c>
      <c r="E1285">
        <f t="shared" si="172"/>
        <v>0</v>
      </c>
      <c r="F1285">
        <f t="shared" si="173"/>
        <v>1</v>
      </c>
      <c r="G1285">
        <f t="shared" si="174"/>
        <v>0</v>
      </c>
      <c r="H1285">
        <v>0</v>
      </c>
      <c r="I1285">
        <f t="shared" si="175"/>
        <v>0</v>
      </c>
      <c r="J1285">
        <f t="shared" si="167"/>
        <v>16.314567089080811</v>
      </c>
      <c r="K1285" t="s">
        <v>608</v>
      </c>
      <c r="L1285" t="s">
        <v>609</v>
      </c>
      <c r="M1285" t="s">
        <v>27</v>
      </c>
      <c r="N1285" t="s">
        <v>27</v>
      </c>
      <c r="O1285">
        <v>20</v>
      </c>
      <c r="P1285">
        <v>11.0781297683716</v>
      </c>
      <c r="Q1285">
        <v>6.4988989830017099</v>
      </c>
      <c r="R1285">
        <v>26.7299995422363</v>
      </c>
      <c r="S1285">
        <v>26.600000381469702</v>
      </c>
      <c r="T1285">
        <v>18.0994052886963</v>
      </c>
      <c r="U1285">
        <v>18.917295455932599</v>
      </c>
      <c r="V1285">
        <v>37059000</v>
      </c>
      <c r="W1285">
        <v>6.4605188369751003</v>
      </c>
      <c r="X1285">
        <v>1.4700000286102299</v>
      </c>
      <c r="Y1285">
        <v>16.6539516448975</v>
      </c>
      <c r="Z1285">
        <v>9.8156681060790998</v>
      </c>
      <c r="AA1285">
        <v>6394000</v>
      </c>
      <c r="AB1285" t="s">
        <v>27</v>
      </c>
      <c r="AC1285" t="s">
        <v>27</v>
      </c>
      <c r="AD1285">
        <v>0.93999999761581399</v>
      </c>
      <c r="AE1285">
        <v>16.383630752563501</v>
      </c>
      <c r="AF1285">
        <v>7.0693472216593003</v>
      </c>
      <c r="AG1285">
        <v>6289783</v>
      </c>
      <c r="AH1285">
        <v>22.940620422363299</v>
      </c>
      <c r="AI1285">
        <v>5.9061551094055202</v>
      </c>
    </row>
    <row r="1286" spans="1:35">
      <c r="A1286">
        <f t="shared" si="168"/>
        <v>1</v>
      </c>
      <c r="B1286">
        <f t="shared" si="169"/>
        <v>1</v>
      </c>
      <c r="C1286">
        <f t="shared" si="170"/>
        <v>1</v>
      </c>
      <c r="D1286">
        <f t="shared" si="171"/>
        <v>1</v>
      </c>
      <c r="E1286">
        <f t="shared" si="172"/>
        <v>0</v>
      </c>
      <c r="F1286">
        <f t="shared" si="173"/>
        <v>1</v>
      </c>
      <c r="G1286">
        <f t="shared" si="174"/>
        <v>0</v>
      </c>
      <c r="H1286">
        <v>0</v>
      </c>
      <c r="I1286">
        <f t="shared" si="175"/>
        <v>1</v>
      </c>
      <c r="J1286">
        <f t="shared" si="167"/>
        <v>16.2930908203125</v>
      </c>
      <c r="K1286" t="s">
        <v>1050</v>
      </c>
      <c r="L1286" t="s">
        <v>1051</v>
      </c>
      <c r="M1286" t="s">
        <v>27</v>
      </c>
      <c r="N1286" t="s">
        <v>27</v>
      </c>
      <c r="O1286">
        <v>19.149999999999999</v>
      </c>
      <c r="P1286">
        <v>1.7173310518264799</v>
      </c>
      <c r="Q1286">
        <v>9.2097578048706108</v>
      </c>
      <c r="R1286">
        <v>15.476190476190499</v>
      </c>
      <c r="S1286">
        <v>9.0249431376554501</v>
      </c>
      <c r="T1286">
        <v>44.2538032531738</v>
      </c>
      <c r="U1286">
        <v>55.586402893066399</v>
      </c>
      <c r="V1286">
        <v>11183000</v>
      </c>
      <c r="W1286">
        <v>-2.2355489730835001</v>
      </c>
      <c r="X1286">
        <v>0.129575644928595</v>
      </c>
      <c r="Y1286">
        <v>2.7216498851776101</v>
      </c>
      <c r="Z1286">
        <v>7.0833330154418901</v>
      </c>
      <c r="AA1286">
        <v>8792161.875</v>
      </c>
      <c r="AB1286" t="s">
        <v>27</v>
      </c>
      <c r="AC1286" t="s">
        <v>27</v>
      </c>
      <c r="AD1286">
        <v>0.272108854350049</v>
      </c>
      <c r="AE1286">
        <v>51.405044555664098</v>
      </c>
      <c r="AF1286">
        <v>5.9792703910279599</v>
      </c>
      <c r="AG1286">
        <v>8882842.5</v>
      </c>
      <c r="AH1286">
        <v>37.482952117919901</v>
      </c>
      <c r="AI1286">
        <v>2.54053902626038</v>
      </c>
    </row>
    <row r="1287" spans="1:35">
      <c r="A1287">
        <f t="shared" si="168"/>
        <v>1</v>
      </c>
      <c r="B1287">
        <f t="shared" si="169"/>
        <v>1</v>
      </c>
      <c r="C1287">
        <f t="shared" si="170"/>
        <v>1</v>
      </c>
      <c r="D1287">
        <f t="shared" si="171"/>
        <v>1</v>
      </c>
      <c r="E1287">
        <f t="shared" si="172"/>
        <v>0</v>
      </c>
      <c r="F1287">
        <f t="shared" si="173"/>
        <v>1</v>
      </c>
      <c r="G1287">
        <f t="shared" si="174"/>
        <v>1</v>
      </c>
      <c r="H1287">
        <v>0</v>
      </c>
      <c r="I1287">
        <f t="shared" si="175"/>
        <v>0</v>
      </c>
      <c r="J1287">
        <f t="shared" si="167"/>
        <v>16.267233848571781</v>
      </c>
      <c r="K1287" t="s">
        <v>1404</v>
      </c>
      <c r="L1287" t="s">
        <v>1405</v>
      </c>
      <c r="M1287" t="s">
        <v>27</v>
      </c>
      <c r="N1287" t="s">
        <v>27</v>
      </c>
      <c r="O1287">
        <v>33.6</v>
      </c>
      <c r="P1287">
        <v>9.7408666610717791</v>
      </c>
      <c r="Q1287">
        <v>9.9260797500610405</v>
      </c>
      <c r="R1287">
        <v>36.669998168945298</v>
      </c>
      <c r="S1287">
        <v>26.5199991861979</v>
      </c>
      <c r="T1287">
        <v>24.181465148925799</v>
      </c>
      <c r="U1287">
        <v>21.679735183715799</v>
      </c>
      <c r="V1287">
        <v>26370000</v>
      </c>
      <c r="W1287">
        <v>9.2278470993041992</v>
      </c>
      <c r="X1287">
        <v>0.38666665554046598</v>
      </c>
      <c r="Y1287">
        <v>6.4912838935852104</v>
      </c>
      <c r="Z1287">
        <v>6.3411540985107404</v>
      </c>
      <c r="AA1287">
        <v>27867000</v>
      </c>
      <c r="AB1287" t="s">
        <v>27</v>
      </c>
      <c r="AC1287" t="s">
        <v>27</v>
      </c>
      <c r="AD1287">
        <v>0.94999998807907104</v>
      </c>
      <c r="AE1287">
        <v>22.889484405517599</v>
      </c>
      <c r="AF1287">
        <v>5.9363133808831101</v>
      </c>
      <c r="AG1287">
        <v>28238000</v>
      </c>
      <c r="AH1287">
        <v>19.546693801879901</v>
      </c>
      <c r="AI1287">
        <v>9.5883855819702095</v>
      </c>
    </row>
    <row r="1288" spans="1:35">
      <c r="A1288">
        <f t="shared" si="168"/>
        <v>0</v>
      </c>
      <c r="B1288">
        <f t="shared" si="169"/>
        <v>0</v>
      </c>
      <c r="C1288">
        <f t="shared" si="170"/>
        <v>1</v>
      </c>
      <c r="D1288">
        <f t="shared" si="171"/>
        <v>0</v>
      </c>
      <c r="E1288">
        <f t="shared" si="172"/>
        <v>0</v>
      </c>
      <c r="F1288">
        <f t="shared" si="173"/>
        <v>1</v>
      </c>
      <c r="G1288">
        <f t="shared" si="174"/>
        <v>0</v>
      </c>
      <c r="H1288">
        <v>0</v>
      </c>
      <c r="I1288">
        <f t="shared" si="175"/>
        <v>0</v>
      </c>
      <c r="J1288">
        <f t="shared" si="167"/>
        <v>16.240432262420661</v>
      </c>
      <c r="K1288" t="s">
        <v>3899</v>
      </c>
      <c r="L1288" t="s">
        <v>3900</v>
      </c>
      <c r="M1288" t="s">
        <v>27</v>
      </c>
      <c r="N1288" t="s">
        <v>27</v>
      </c>
      <c r="O1288">
        <v>7.96</v>
      </c>
      <c r="P1288">
        <v>22.016420364379901</v>
      </c>
      <c r="Q1288">
        <v>11.177141189575201</v>
      </c>
      <c r="R1288">
        <v>9</v>
      </c>
      <c r="S1288">
        <v>8.25</v>
      </c>
      <c r="T1288">
        <v>0</v>
      </c>
      <c r="U1288">
        <v>63.321346282958999</v>
      </c>
      <c r="V1288">
        <v>3832000.25</v>
      </c>
      <c r="W1288">
        <v>13.4298906326294</v>
      </c>
      <c r="X1288">
        <v>9.00000035762787E-2</v>
      </c>
      <c r="Y1288">
        <v>7.0857138633728001</v>
      </c>
      <c r="Z1288">
        <v>5.0632910728454599</v>
      </c>
      <c r="AA1288">
        <v>21329000</v>
      </c>
      <c r="AB1288" t="s">
        <v>27</v>
      </c>
      <c r="AC1288" t="s">
        <v>27</v>
      </c>
      <c r="AD1288">
        <v>1.9999999552965199E-2</v>
      </c>
      <c r="AE1288">
        <v>62.463775634765597</v>
      </c>
      <c r="AF1288">
        <v>25.392614200891199</v>
      </c>
      <c r="AG1288">
        <v>21300000</v>
      </c>
      <c r="AH1288">
        <v>0</v>
      </c>
      <c r="AI1288">
        <v>10.6277456283569</v>
      </c>
    </row>
    <row r="1289" spans="1:35">
      <c r="A1289">
        <f t="shared" si="168"/>
        <v>0</v>
      </c>
      <c r="B1289">
        <f t="shared" si="169"/>
        <v>1</v>
      </c>
      <c r="C1289">
        <f t="shared" si="170"/>
        <v>0</v>
      </c>
      <c r="D1289">
        <f t="shared" si="171"/>
        <v>0</v>
      </c>
      <c r="E1289">
        <f t="shared" si="172"/>
        <v>0</v>
      </c>
      <c r="F1289">
        <f t="shared" si="173"/>
        <v>1</v>
      </c>
      <c r="G1289">
        <f t="shared" si="174"/>
        <v>0</v>
      </c>
      <c r="H1289">
        <v>0</v>
      </c>
      <c r="I1289">
        <f t="shared" si="175"/>
        <v>0</v>
      </c>
      <c r="J1289">
        <f t="shared" si="167"/>
        <v>16.190672397613511</v>
      </c>
      <c r="K1289" t="s">
        <v>1422</v>
      </c>
      <c r="L1289" t="s">
        <v>1423</v>
      </c>
      <c r="M1289" t="s">
        <v>27</v>
      </c>
      <c r="N1289" t="s">
        <v>27</v>
      </c>
      <c r="O1289">
        <v>15.14</v>
      </c>
      <c r="P1289">
        <v>13.646670341491699</v>
      </c>
      <c r="Q1289">
        <v>10.531431198120099</v>
      </c>
      <c r="R1289">
        <v>17.040000915527301</v>
      </c>
      <c r="S1289">
        <v>58</v>
      </c>
      <c r="T1289">
        <v>0</v>
      </c>
      <c r="U1289">
        <v>71.861373901367202</v>
      </c>
      <c r="V1289">
        <v>-6955000</v>
      </c>
      <c r="W1289">
        <v>8.4498147964477504</v>
      </c>
      <c r="X1289">
        <v>0.28000000119209301</v>
      </c>
      <c r="Y1289">
        <v>1.2392159700393699</v>
      </c>
      <c r="Z1289">
        <v>5.65924119949341</v>
      </c>
      <c r="AA1289">
        <v>21631000</v>
      </c>
      <c r="AB1289" t="s">
        <v>38</v>
      </c>
      <c r="AC1289" t="s">
        <v>628</v>
      </c>
      <c r="AD1289">
        <v>0.119999997317791</v>
      </c>
      <c r="AE1289">
        <v>69.694854736328097</v>
      </c>
      <c r="AF1289">
        <v>6.5434180186399704</v>
      </c>
      <c r="AG1289">
        <v>22834000</v>
      </c>
      <c r="AH1289">
        <v>0</v>
      </c>
      <c r="AI1289">
        <v>9.3325500488281303</v>
      </c>
    </row>
    <row r="1290" spans="1:35">
      <c r="A1290">
        <f t="shared" si="168"/>
        <v>1</v>
      </c>
      <c r="B1290">
        <f t="shared" si="169"/>
        <v>0</v>
      </c>
      <c r="C1290">
        <f t="shared" si="170"/>
        <v>1</v>
      </c>
      <c r="D1290">
        <f t="shared" si="171"/>
        <v>0</v>
      </c>
      <c r="E1290">
        <f t="shared" si="172"/>
        <v>0</v>
      </c>
      <c r="F1290">
        <f t="shared" si="173"/>
        <v>1</v>
      </c>
      <c r="G1290">
        <f t="shared" si="174"/>
        <v>1</v>
      </c>
      <c r="H1290">
        <v>0</v>
      </c>
      <c r="I1290">
        <f t="shared" si="175"/>
        <v>0</v>
      </c>
      <c r="J1290">
        <f t="shared" si="167"/>
        <v>16.163123130798329</v>
      </c>
      <c r="K1290" t="s">
        <v>1986</v>
      </c>
      <c r="L1290" t="s">
        <v>1987</v>
      </c>
      <c r="M1290" t="s">
        <v>27</v>
      </c>
      <c r="N1290" t="s">
        <v>27</v>
      </c>
      <c r="O1290">
        <v>20.369</v>
      </c>
      <c r="P1290">
        <v>11.980964660644499</v>
      </c>
      <c r="Q1290">
        <v>11.585228919982899</v>
      </c>
      <c r="R1290">
        <v>23.5</v>
      </c>
      <c r="S1290">
        <v>10.8333333333333</v>
      </c>
      <c r="T1290">
        <v>29.676792144775401</v>
      </c>
      <c r="U1290">
        <v>23.3583068847656</v>
      </c>
      <c r="V1290">
        <v>5847000</v>
      </c>
      <c r="W1290">
        <v>10.9867391586304</v>
      </c>
      <c r="X1290">
        <v>0.139999998940362</v>
      </c>
      <c r="Y1290">
        <v>7.4859437942504901</v>
      </c>
      <c r="Z1290">
        <v>4.5778942108154297</v>
      </c>
      <c r="AA1290">
        <v>33678000</v>
      </c>
      <c r="AB1290" t="s">
        <v>61</v>
      </c>
      <c r="AC1290" t="s">
        <v>234</v>
      </c>
      <c r="AD1290">
        <v>7.9999998211860698E-2</v>
      </c>
      <c r="AE1290">
        <v>24.363988876342798</v>
      </c>
      <c r="AF1290">
        <v>10.498068385338</v>
      </c>
      <c r="AG1290">
        <v>33732000</v>
      </c>
      <c r="AH1290">
        <v>16.664112091064499</v>
      </c>
      <c r="AI1290">
        <v>9.55187892913818</v>
      </c>
    </row>
    <row r="1291" spans="1:35">
      <c r="A1291">
        <f t="shared" si="168"/>
        <v>0</v>
      </c>
      <c r="B1291">
        <f t="shared" si="169"/>
        <v>1</v>
      </c>
      <c r="C1291">
        <f t="shared" si="170"/>
        <v>0</v>
      </c>
      <c r="D1291">
        <f t="shared" si="171"/>
        <v>0</v>
      </c>
      <c r="E1291">
        <f t="shared" si="172"/>
        <v>0</v>
      </c>
      <c r="F1291">
        <f t="shared" si="173"/>
        <v>1</v>
      </c>
      <c r="G1291">
        <f t="shared" si="174"/>
        <v>0</v>
      </c>
      <c r="H1291">
        <v>0</v>
      </c>
      <c r="I1291">
        <f t="shared" si="175"/>
        <v>0</v>
      </c>
      <c r="J1291">
        <f t="shared" si="167"/>
        <v>16.156269550323479</v>
      </c>
      <c r="K1291" t="s">
        <v>2256</v>
      </c>
      <c r="L1291" t="s">
        <v>2257</v>
      </c>
      <c r="M1291" t="s">
        <v>27</v>
      </c>
      <c r="N1291" t="s">
        <v>27</v>
      </c>
      <c r="O1291">
        <v>5.81</v>
      </c>
      <c r="P1291">
        <v>-135.08909606933599</v>
      </c>
      <c r="Q1291">
        <v>9.2900724411010707</v>
      </c>
      <c r="R1291">
        <v>10.8900003433228</v>
      </c>
      <c r="S1291">
        <v>80.8125</v>
      </c>
      <c r="T1291">
        <v>0</v>
      </c>
      <c r="U1291">
        <v>84.097152709960895</v>
      </c>
      <c r="V1291">
        <v>-7798998</v>
      </c>
      <c r="W1291">
        <v>-1.4561079740524301</v>
      </c>
      <c r="X1291">
        <v>3.5000000149011598E-2</v>
      </c>
      <c r="Y1291">
        <v>0.166719004511833</v>
      </c>
      <c r="Z1291">
        <v>6.8661971092224103</v>
      </c>
      <c r="AA1291">
        <v>70520000</v>
      </c>
      <c r="AB1291" t="s">
        <v>27</v>
      </c>
      <c r="AC1291" t="s">
        <v>27</v>
      </c>
      <c r="AD1291">
        <v>9.9999997764825804E-3</v>
      </c>
      <c r="AE1291">
        <v>83.063125610351605</v>
      </c>
      <c r="AF1291" t="s">
        <v>27</v>
      </c>
      <c r="AG1291">
        <v>73903000</v>
      </c>
      <c r="AH1291">
        <v>0</v>
      </c>
      <c r="AI1291">
        <v>9.2242841720581108</v>
      </c>
    </row>
    <row r="1292" spans="1:35">
      <c r="A1292">
        <f t="shared" si="168"/>
        <v>1</v>
      </c>
      <c r="B1292">
        <f t="shared" si="169"/>
        <v>1</v>
      </c>
      <c r="C1292">
        <f t="shared" si="170"/>
        <v>1</v>
      </c>
      <c r="D1292">
        <f t="shared" si="171"/>
        <v>0</v>
      </c>
      <c r="E1292">
        <f t="shared" si="172"/>
        <v>0</v>
      </c>
      <c r="F1292">
        <f t="shared" si="173"/>
        <v>1</v>
      </c>
      <c r="G1292">
        <f t="shared" si="174"/>
        <v>0</v>
      </c>
      <c r="H1292">
        <v>0</v>
      </c>
      <c r="I1292">
        <f t="shared" si="175"/>
        <v>0</v>
      </c>
      <c r="J1292">
        <f t="shared" si="167"/>
        <v>16.153320789337151</v>
      </c>
      <c r="K1292" t="s">
        <v>2318</v>
      </c>
      <c r="L1292" t="s">
        <v>2319</v>
      </c>
      <c r="M1292" t="s">
        <v>27</v>
      </c>
      <c r="N1292" t="s">
        <v>27</v>
      </c>
      <c r="O1292">
        <v>18.34</v>
      </c>
      <c r="P1292">
        <v>5.4967727661132804</v>
      </c>
      <c r="Q1292">
        <v>7.9324622154235804</v>
      </c>
      <c r="R1292">
        <v>17.700000762939499</v>
      </c>
      <c r="S1292">
        <v>13.875</v>
      </c>
      <c r="T1292">
        <v>29.156377792358398</v>
      </c>
      <c r="U1292">
        <v>62.018417358398402</v>
      </c>
      <c r="V1292">
        <v>3942999.75</v>
      </c>
      <c r="W1292">
        <v>4.8693928718566903</v>
      </c>
      <c r="X1292">
        <v>1.0900000333786</v>
      </c>
      <c r="Y1292">
        <v>8.6260871887206996</v>
      </c>
      <c r="Z1292">
        <v>8.2208585739135707</v>
      </c>
      <c r="AA1292">
        <v>11553000</v>
      </c>
      <c r="AB1292" t="s">
        <v>30</v>
      </c>
      <c r="AC1292" t="s">
        <v>542</v>
      </c>
      <c r="AD1292">
        <v>0.63999998569488503</v>
      </c>
      <c r="AE1292">
        <v>62.016803741455099</v>
      </c>
      <c r="AF1292">
        <v>6.6237785292961098</v>
      </c>
      <c r="AG1292">
        <v>11721860</v>
      </c>
      <c r="AH1292">
        <v>27.537265777587901</v>
      </c>
      <c r="AI1292">
        <v>7.4488291740417498</v>
      </c>
    </row>
    <row r="1293" spans="1:35">
      <c r="A1293">
        <f t="shared" si="168"/>
        <v>1</v>
      </c>
      <c r="B1293">
        <f t="shared" si="169"/>
        <v>0</v>
      </c>
      <c r="C1293">
        <f t="shared" si="170"/>
        <v>1</v>
      </c>
      <c r="D1293">
        <f t="shared" si="171"/>
        <v>1</v>
      </c>
      <c r="E1293">
        <f t="shared" si="172"/>
        <v>0</v>
      </c>
      <c r="F1293">
        <f t="shared" si="173"/>
        <v>1</v>
      </c>
      <c r="G1293">
        <f t="shared" si="174"/>
        <v>1</v>
      </c>
      <c r="H1293">
        <v>0</v>
      </c>
      <c r="I1293">
        <f t="shared" si="175"/>
        <v>0</v>
      </c>
      <c r="J1293">
        <f t="shared" si="167"/>
        <v>16.153274059295651</v>
      </c>
      <c r="K1293" t="s">
        <v>2338</v>
      </c>
      <c r="L1293" t="s">
        <v>2339</v>
      </c>
      <c r="M1293" t="s">
        <v>27</v>
      </c>
      <c r="N1293" t="s">
        <v>27</v>
      </c>
      <c r="O1293">
        <v>25.45</v>
      </c>
      <c r="P1293">
        <v>13.259241104126</v>
      </c>
      <c r="Q1293">
        <v>9.46337890625</v>
      </c>
      <c r="R1293">
        <v>32.990001678466797</v>
      </c>
      <c r="S1293">
        <v>26.799999237060501</v>
      </c>
      <c r="T1293">
        <v>13.9839935302734</v>
      </c>
      <c r="U1293">
        <v>20.365966796875</v>
      </c>
      <c r="V1293">
        <v>37239000</v>
      </c>
      <c r="W1293">
        <v>11.1626319885254</v>
      </c>
      <c r="X1293">
        <v>0.56000000238418601</v>
      </c>
      <c r="Y1293">
        <v>11.6565103530884</v>
      </c>
      <c r="Z1293">
        <v>6.6898951530456499</v>
      </c>
      <c r="AA1293">
        <v>34381000</v>
      </c>
      <c r="AB1293" t="s">
        <v>61</v>
      </c>
      <c r="AC1293" t="s">
        <v>101</v>
      </c>
      <c r="AD1293">
        <v>0.56999999284744296</v>
      </c>
      <c r="AE1293">
        <v>25.749881744384801</v>
      </c>
      <c r="AF1293">
        <v>5.3735252140528296</v>
      </c>
      <c r="AG1293">
        <v>33425998</v>
      </c>
      <c r="AH1293">
        <v>5.5361390113830602</v>
      </c>
      <c r="AI1293">
        <v>10.217399597168001</v>
      </c>
    </row>
    <row r="1294" spans="1:35">
      <c r="A1294">
        <f t="shared" si="168"/>
        <v>1</v>
      </c>
      <c r="B1294">
        <f t="shared" si="169"/>
        <v>0</v>
      </c>
      <c r="C1294">
        <f t="shared" si="170"/>
        <v>1</v>
      </c>
      <c r="D1294">
        <f t="shared" si="171"/>
        <v>1</v>
      </c>
      <c r="E1294">
        <f t="shared" si="172"/>
        <v>0</v>
      </c>
      <c r="F1294">
        <f t="shared" si="173"/>
        <v>1</v>
      </c>
      <c r="G1294">
        <f t="shared" si="174"/>
        <v>1</v>
      </c>
      <c r="H1294">
        <v>0</v>
      </c>
      <c r="I1294">
        <f t="shared" si="175"/>
        <v>1</v>
      </c>
      <c r="J1294">
        <f t="shared" si="167"/>
        <v>16.124845147132859</v>
      </c>
      <c r="K1294" t="s">
        <v>2602</v>
      </c>
      <c r="L1294" t="s">
        <v>2603</v>
      </c>
      <c r="M1294" t="s">
        <v>27</v>
      </c>
      <c r="N1294" t="s">
        <v>27</v>
      </c>
      <c r="O1294">
        <v>28.53</v>
      </c>
      <c r="P1294">
        <v>6.8196048736572301</v>
      </c>
      <c r="Q1294">
        <v>1.3512150049209599</v>
      </c>
      <c r="R1294">
        <v>18.799999237060501</v>
      </c>
      <c r="S1294">
        <v>24.3125</v>
      </c>
      <c r="T1294">
        <v>18.092056274414102</v>
      </c>
      <c r="U1294">
        <v>11.409726142883301</v>
      </c>
      <c r="V1294">
        <v>66105004</v>
      </c>
      <c r="W1294">
        <v>5.8548607826232901</v>
      </c>
      <c r="X1294">
        <v>0.15000000596046401</v>
      </c>
      <c r="Y1294">
        <v>16.0287265777588</v>
      </c>
      <c r="Z1294">
        <v>14.7736301422119</v>
      </c>
      <c r="AA1294">
        <v>34162000</v>
      </c>
      <c r="AB1294" t="s">
        <v>27</v>
      </c>
      <c r="AC1294" t="s">
        <v>27</v>
      </c>
      <c r="AD1294">
        <v>0.5</v>
      </c>
      <c r="AE1294">
        <v>12.1648359298706</v>
      </c>
      <c r="AF1294">
        <v>0.448656349609731</v>
      </c>
      <c r="AG1294">
        <v>34530000</v>
      </c>
      <c r="AH1294">
        <v>15.1926975250244</v>
      </c>
      <c r="AI1294">
        <v>3.1553399562835698</v>
      </c>
    </row>
    <row r="1295" spans="1:35">
      <c r="A1295">
        <f t="shared" si="168"/>
        <v>0</v>
      </c>
      <c r="B1295">
        <f t="shared" si="169"/>
        <v>1</v>
      </c>
      <c r="C1295">
        <f t="shared" si="170"/>
        <v>1</v>
      </c>
      <c r="D1295">
        <f t="shared" si="171"/>
        <v>1</v>
      </c>
      <c r="E1295">
        <f t="shared" si="172"/>
        <v>0</v>
      </c>
      <c r="F1295">
        <f t="shared" si="173"/>
        <v>1</v>
      </c>
      <c r="G1295">
        <f t="shared" si="174"/>
        <v>0</v>
      </c>
      <c r="H1295">
        <v>0</v>
      </c>
      <c r="I1295">
        <f t="shared" si="175"/>
        <v>1</v>
      </c>
      <c r="J1295">
        <f t="shared" si="167"/>
        <v>16.121059179306041</v>
      </c>
      <c r="K1295" t="s">
        <v>1306</v>
      </c>
      <c r="L1295" t="s">
        <v>1307</v>
      </c>
      <c r="M1295" t="s">
        <v>27</v>
      </c>
      <c r="N1295" t="s">
        <v>27</v>
      </c>
      <c r="O1295">
        <v>31.15</v>
      </c>
      <c r="P1295" t="s">
        <v>27</v>
      </c>
      <c r="Q1295">
        <v>3.1693589687347399</v>
      </c>
      <c r="R1295">
        <v>26.959999084472699</v>
      </c>
      <c r="S1295">
        <v>20</v>
      </c>
      <c r="T1295">
        <v>60.408977508544901</v>
      </c>
      <c r="U1295" t="s">
        <v>27</v>
      </c>
      <c r="V1295">
        <v>1380000</v>
      </c>
      <c r="W1295">
        <v>1.64284002780914</v>
      </c>
      <c r="X1295">
        <v>1.0599999427795399</v>
      </c>
      <c r="Y1295">
        <v>9.1999998092651403</v>
      </c>
      <c r="Z1295">
        <v>12.9517002105713</v>
      </c>
      <c r="AA1295">
        <v>4039000</v>
      </c>
      <c r="AB1295" t="s">
        <v>27</v>
      </c>
      <c r="AC1295" t="s">
        <v>27</v>
      </c>
      <c r="AD1295">
        <v>1.6499999761581401</v>
      </c>
      <c r="AE1295" t="s">
        <v>27</v>
      </c>
      <c r="AF1295">
        <v>46.650366840973902</v>
      </c>
      <c r="AG1295">
        <v>7983000</v>
      </c>
      <c r="AH1295">
        <v>84.044334411621094</v>
      </c>
      <c r="AI1295">
        <v>3.0087199211120601</v>
      </c>
    </row>
    <row r="1296" spans="1:35">
      <c r="A1296">
        <f t="shared" si="168"/>
        <v>0</v>
      </c>
      <c r="B1296">
        <f t="shared" si="169"/>
        <v>1</v>
      </c>
      <c r="C1296">
        <f t="shared" si="170"/>
        <v>1</v>
      </c>
      <c r="D1296">
        <f t="shared" si="171"/>
        <v>1</v>
      </c>
      <c r="E1296">
        <f t="shared" si="172"/>
        <v>0</v>
      </c>
      <c r="F1296">
        <f t="shared" si="173"/>
        <v>1</v>
      </c>
      <c r="G1296">
        <f t="shared" si="174"/>
        <v>0</v>
      </c>
      <c r="H1296">
        <v>0</v>
      </c>
      <c r="I1296">
        <f t="shared" si="175"/>
        <v>1</v>
      </c>
      <c r="J1296">
        <f t="shared" si="167"/>
        <v>16.102406978607171</v>
      </c>
      <c r="K1296" t="s">
        <v>1596</v>
      </c>
      <c r="L1296" t="s">
        <v>1597</v>
      </c>
      <c r="M1296" t="s">
        <v>27</v>
      </c>
      <c r="N1296" t="s">
        <v>27</v>
      </c>
      <c r="O1296">
        <v>45.84</v>
      </c>
      <c r="P1296">
        <v>8.4589691162109393</v>
      </c>
      <c r="Q1296">
        <v>7.9456801414489702</v>
      </c>
      <c r="R1296">
        <v>31.040000915527301</v>
      </c>
      <c r="S1296">
        <v>24.7916666666667</v>
      </c>
      <c r="T1296">
        <v>5.2804942131042498</v>
      </c>
      <c r="U1296" t="s">
        <v>27</v>
      </c>
      <c r="V1296">
        <v>11387000</v>
      </c>
      <c r="W1296">
        <v>1.0922110080719001</v>
      </c>
      <c r="X1296">
        <v>0.53333334128061904</v>
      </c>
      <c r="Y1296">
        <v>10.1494951248169</v>
      </c>
      <c r="Z1296">
        <v>8.1567268371581996</v>
      </c>
      <c r="AA1296">
        <v>16290000</v>
      </c>
      <c r="AB1296" t="s">
        <v>34</v>
      </c>
      <c r="AC1296" t="s">
        <v>35</v>
      </c>
      <c r="AD1296">
        <v>0.56666668256123898</v>
      </c>
      <c r="AE1296" t="s">
        <v>27</v>
      </c>
      <c r="AF1296" t="s">
        <v>27</v>
      </c>
      <c r="AG1296">
        <v>15979500</v>
      </c>
      <c r="AH1296">
        <v>5.6869320869445801</v>
      </c>
      <c r="AI1296">
        <v>1.2263829708099401</v>
      </c>
    </row>
    <row r="1297" spans="1:35">
      <c r="A1297">
        <f t="shared" si="168"/>
        <v>0</v>
      </c>
      <c r="B1297">
        <f t="shared" si="169"/>
        <v>0</v>
      </c>
      <c r="C1297">
        <f t="shared" si="170"/>
        <v>1</v>
      </c>
      <c r="D1297">
        <f t="shared" si="171"/>
        <v>1</v>
      </c>
      <c r="E1297">
        <f t="shared" si="172"/>
        <v>0</v>
      </c>
      <c r="F1297">
        <f t="shared" si="173"/>
        <v>1</v>
      </c>
      <c r="G1297">
        <f t="shared" si="174"/>
        <v>1</v>
      </c>
      <c r="H1297">
        <v>0</v>
      </c>
      <c r="I1297">
        <f t="shared" si="175"/>
        <v>0</v>
      </c>
      <c r="J1297">
        <f t="shared" si="167"/>
        <v>16.101349830627491</v>
      </c>
      <c r="K1297" t="s">
        <v>2292</v>
      </c>
      <c r="L1297" t="s">
        <v>2293</v>
      </c>
      <c r="M1297" t="s">
        <v>27</v>
      </c>
      <c r="N1297" t="s">
        <v>27</v>
      </c>
      <c r="O1297">
        <v>17.45</v>
      </c>
      <c r="P1297">
        <v>14.5774269104004</v>
      </c>
      <c r="Q1297">
        <v>11.8071146011353</v>
      </c>
      <c r="R1297">
        <v>28.450000762939499</v>
      </c>
      <c r="S1297">
        <v>21.75</v>
      </c>
      <c r="T1297">
        <v>0.14512099325656899</v>
      </c>
      <c r="U1297">
        <v>24.824602127075199</v>
      </c>
      <c r="V1297">
        <v>12329000</v>
      </c>
      <c r="W1297">
        <v>16.427167892456101</v>
      </c>
      <c r="X1297">
        <v>0.10000000149011599</v>
      </c>
      <c r="Y1297">
        <v>5.69659423828125</v>
      </c>
      <c r="Z1297">
        <v>4.2942352294921902</v>
      </c>
      <c r="AA1297">
        <v>36690000</v>
      </c>
      <c r="AB1297" t="s">
        <v>27</v>
      </c>
      <c r="AC1297" t="s">
        <v>27</v>
      </c>
      <c r="AD1297">
        <v>0.28999999165535001</v>
      </c>
      <c r="AE1297">
        <v>26.544624328613299</v>
      </c>
      <c r="AF1297">
        <v>5.71291832283329</v>
      </c>
      <c r="AG1297">
        <v>36880000</v>
      </c>
      <c r="AH1297">
        <v>0.64932399988174405</v>
      </c>
      <c r="AI1297">
        <v>11.878836631774901</v>
      </c>
    </row>
    <row r="1298" spans="1:35">
      <c r="A1298">
        <f t="shared" si="168"/>
        <v>1</v>
      </c>
      <c r="B1298">
        <f t="shared" si="169"/>
        <v>1</v>
      </c>
      <c r="C1298">
        <f t="shared" si="170"/>
        <v>0</v>
      </c>
      <c r="D1298">
        <f t="shared" si="171"/>
        <v>1</v>
      </c>
      <c r="E1298">
        <f t="shared" si="172"/>
        <v>0</v>
      </c>
      <c r="F1298">
        <f t="shared" si="173"/>
        <v>1</v>
      </c>
      <c r="G1298">
        <f t="shared" si="174"/>
        <v>1</v>
      </c>
      <c r="H1298">
        <v>0</v>
      </c>
      <c r="I1298">
        <f t="shared" si="175"/>
        <v>1</v>
      </c>
      <c r="J1298">
        <f t="shared" si="167"/>
        <v>16.074535608291612</v>
      </c>
      <c r="K1298" t="s">
        <v>1213</v>
      </c>
      <c r="L1298" t="s">
        <v>1214</v>
      </c>
      <c r="M1298" t="s">
        <v>27</v>
      </c>
      <c r="N1298" t="s">
        <v>27</v>
      </c>
      <c r="O1298">
        <v>37</v>
      </c>
      <c r="P1298">
        <v>10.4022026062012</v>
      </c>
      <c r="Q1298">
        <v>12.4593515396118</v>
      </c>
      <c r="R1298">
        <v>23.433334350585898</v>
      </c>
      <c r="S1298">
        <v>14.466666666666701</v>
      </c>
      <c r="T1298">
        <v>40.430118560791001</v>
      </c>
      <c r="U1298">
        <v>20.6855773925781</v>
      </c>
      <c r="V1298">
        <v>-8928000</v>
      </c>
      <c r="W1298">
        <v>5.45894479751587</v>
      </c>
      <c r="X1298">
        <v>0.30933332443237299</v>
      </c>
      <c r="Y1298">
        <v>9.6918916702270508</v>
      </c>
      <c r="Z1298">
        <v>3.61518406867981</v>
      </c>
      <c r="AA1298">
        <v>13605000</v>
      </c>
      <c r="AB1298" t="s">
        <v>27</v>
      </c>
      <c r="AC1298" t="s">
        <v>27</v>
      </c>
      <c r="AD1298">
        <v>0.37333333492279103</v>
      </c>
      <c r="AE1298">
        <v>21.561439514160199</v>
      </c>
      <c r="AF1298">
        <v>11.257311208845101</v>
      </c>
      <c r="AG1298">
        <v>15307500</v>
      </c>
      <c r="AH1298">
        <v>26.509452819824201</v>
      </c>
      <c r="AI1298">
        <v>7.7596092224121103</v>
      </c>
    </row>
    <row r="1299" spans="1:35">
      <c r="A1299">
        <f t="shared" si="168"/>
        <v>1</v>
      </c>
      <c r="B1299">
        <f t="shared" si="169"/>
        <v>0</v>
      </c>
      <c r="C1299">
        <f t="shared" si="170"/>
        <v>1</v>
      </c>
      <c r="D1299">
        <f t="shared" si="171"/>
        <v>1</v>
      </c>
      <c r="E1299">
        <f t="shared" si="172"/>
        <v>0</v>
      </c>
      <c r="F1299">
        <f t="shared" si="173"/>
        <v>1</v>
      </c>
      <c r="G1299">
        <f t="shared" si="174"/>
        <v>0</v>
      </c>
      <c r="H1299">
        <v>0</v>
      </c>
      <c r="I1299">
        <f t="shared" si="175"/>
        <v>1</v>
      </c>
      <c r="J1299">
        <f t="shared" si="167"/>
        <v>16.0666823387146</v>
      </c>
      <c r="K1299" t="s">
        <v>1704</v>
      </c>
      <c r="L1299" t="s">
        <v>1705</v>
      </c>
      <c r="M1299" t="s">
        <v>27</v>
      </c>
      <c r="N1299" t="s">
        <v>27</v>
      </c>
      <c r="O1299">
        <v>39.99</v>
      </c>
      <c r="P1299">
        <v>5.2660140991210902</v>
      </c>
      <c r="Q1299">
        <v>7.9897589683532697</v>
      </c>
      <c r="R1299">
        <v>28.950000762939499</v>
      </c>
      <c r="S1299">
        <v>23</v>
      </c>
      <c r="T1299">
        <v>9.4790859222412092</v>
      </c>
      <c r="U1299" t="s">
        <v>27</v>
      </c>
      <c r="V1299">
        <v>49913000</v>
      </c>
      <c r="W1299" t="s">
        <v>27</v>
      </c>
      <c r="X1299">
        <v>0.56000000238418601</v>
      </c>
      <c r="Y1299">
        <v>8.8464164733886701</v>
      </c>
      <c r="Z1299">
        <v>8.0769233703613299</v>
      </c>
      <c r="AA1299">
        <v>6276000</v>
      </c>
      <c r="AB1299" t="s">
        <v>34</v>
      </c>
      <c r="AC1299" t="s">
        <v>35</v>
      </c>
      <c r="AD1299">
        <v>0.62000000476837203</v>
      </c>
      <c r="AE1299" t="s">
        <v>27</v>
      </c>
      <c r="AF1299" t="s">
        <v>27</v>
      </c>
      <c r="AG1299">
        <v>6121000</v>
      </c>
      <c r="AH1299">
        <v>4.0347428321838397</v>
      </c>
      <c r="AI1299">
        <v>0.94030600786209095</v>
      </c>
    </row>
    <row r="1300" spans="1:35">
      <c r="A1300">
        <f t="shared" si="168"/>
        <v>1</v>
      </c>
      <c r="B1300">
        <f t="shared" si="169"/>
        <v>0</v>
      </c>
      <c r="C1300">
        <f t="shared" si="170"/>
        <v>1</v>
      </c>
      <c r="D1300">
        <f t="shared" si="171"/>
        <v>1</v>
      </c>
      <c r="E1300">
        <f t="shared" si="172"/>
        <v>0</v>
      </c>
      <c r="F1300">
        <f t="shared" si="173"/>
        <v>1</v>
      </c>
      <c r="G1300">
        <f t="shared" si="174"/>
        <v>0</v>
      </c>
      <c r="H1300">
        <v>0</v>
      </c>
      <c r="I1300">
        <f t="shared" si="175"/>
        <v>0</v>
      </c>
      <c r="J1300">
        <f t="shared" si="167"/>
        <v>16.050976753234888</v>
      </c>
      <c r="K1300" t="s">
        <v>626</v>
      </c>
      <c r="L1300" t="s">
        <v>627</v>
      </c>
      <c r="M1300" t="s">
        <v>27</v>
      </c>
      <c r="N1300" t="s">
        <v>27</v>
      </c>
      <c r="O1300">
        <v>37.58</v>
      </c>
      <c r="P1300">
        <v>11.1583814620972</v>
      </c>
      <c r="Q1300">
        <v>12.4651737213135</v>
      </c>
      <c r="R1300">
        <v>36.298999786377003</v>
      </c>
      <c r="S1300">
        <v>12.5</v>
      </c>
      <c r="T1300">
        <v>15.762758255004901</v>
      </c>
      <c r="U1300">
        <v>39.8543090820313</v>
      </c>
      <c r="V1300">
        <v>7769000</v>
      </c>
      <c r="W1300">
        <v>16.7844638824463</v>
      </c>
      <c r="X1300">
        <v>0.18999999761581399</v>
      </c>
      <c r="Y1300">
        <v>7.2303209304809597</v>
      </c>
      <c r="Z1300">
        <v>3.5858030319213898</v>
      </c>
      <c r="AA1300">
        <v>22506000</v>
      </c>
      <c r="AB1300" t="s">
        <v>38</v>
      </c>
      <c r="AC1300" t="s">
        <v>628</v>
      </c>
      <c r="AD1300">
        <v>0.28000000119209301</v>
      </c>
      <c r="AE1300">
        <v>39.313514709472699</v>
      </c>
      <c r="AF1300">
        <v>13.9496948170467</v>
      </c>
      <c r="AG1300">
        <v>23142000</v>
      </c>
      <c r="AH1300">
        <v>13.9695329666138</v>
      </c>
      <c r="AI1300">
        <v>8.5653171539306605</v>
      </c>
    </row>
    <row r="1301" spans="1:35">
      <c r="A1301">
        <f t="shared" si="168"/>
        <v>1</v>
      </c>
      <c r="B1301">
        <f t="shared" si="169"/>
        <v>1</v>
      </c>
      <c r="C1301">
        <f t="shared" si="170"/>
        <v>1</v>
      </c>
      <c r="D1301">
        <f t="shared" si="171"/>
        <v>1</v>
      </c>
      <c r="E1301">
        <f t="shared" si="172"/>
        <v>0</v>
      </c>
      <c r="F1301">
        <f t="shared" si="173"/>
        <v>1</v>
      </c>
      <c r="G1301">
        <f t="shared" si="174"/>
        <v>0</v>
      </c>
      <c r="H1301">
        <v>0</v>
      </c>
      <c r="I1301">
        <f t="shared" si="175"/>
        <v>1</v>
      </c>
      <c r="J1301">
        <f t="shared" si="167"/>
        <v>16.03517580032349</v>
      </c>
      <c r="K1301" t="s">
        <v>3635</v>
      </c>
      <c r="L1301" t="s">
        <v>3636</v>
      </c>
      <c r="M1301" t="s">
        <v>27</v>
      </c>
      <c r="N1301" t="s">
        <v>27</v>
      </c>
      <c r="O1301">
        <v>25.72</v>
      </c>
      <c r="P1301">
        <v>4.8844847679138201</v>
      </c>
      <c r="Q1301">
        <v>6.7851758003234899</v>
      </c>
      <c r="R1301">
        <v>19.799999237060501</v>
      </c>
      <c r="S1301">
        <v>13.25</v>
      </c>
      <c r="T1301">
        <v>11.9803981781006</v>
      </c>
      <c r="U1301" t="s">
        <v>27</v>
      </c>
      <c r="V1301">
        <v>7965000</v>
      </c>
      <c r="W1301">
        <v>0.80654400587081898</v>
      </c>
      <c r="X1301">
        <v>0.25</v>
      </c>
      <c r="Y1301">
        <v>10.2937059402466</v>
      </c>
      <c r="Z1301">
        <v>9.25</v>
      </c>
      <c r="AA1301">
        <v>7515000</v>
      </c>
      <c r="AB1301" t="s">
        <v>34</v>
      </c>
      <c r="AC1301" t="s">
        <v>35</v>
      </c>
      <c r="AD1301">
        <v>0.40000000596046398</v>
      </c>
      <c r="AE1301" t="s">
        <v>27</v>
      </c>
      <c r="AF1301" t="s">
        <v>27</v>
      </c>
      <c r="AG1301">
        <v>7518000</v>
      </c>
      <c r="AH1301">
        <v>10.789231300354</v>
      </c>
      <c r="AI1301">
        <v>0.89213001728057895</v>
      </c>
    </row>
    <row r="1302" spans="1:35">
      <c r="A1302">
        <f t="shared" si="168"/>
        <v>0</v>
      </c>
      <c r="B1302">
        <f t="shared" si="169"/>
        <v>0</v>
      </c>
      <c r="C1302">
        <f t="shared" si="170"/>
        <v>1</v>
      </c>
      <c r="D1302">
        <f t="shared" si="171"/>
        <v>0</v>
      </c>
      <c r="E1302">
        <f t="shared" si="172"/>
        <v>0</v>
      </c>
      <c r="F1302">
        <f t="shared" si="173"/>
        <v>1</v>
      </c>
      <c r="G1302">
        <f t="shared" si="174"/>
        <v>0</v>
      </c>
      <c r="H1302">
        <v>0</v>
      </c>
      <c r="I1302">
        <f t="shared" si="175"/>
        <v>1</v>
      </c>
      <c r="J1302">
        <f t="shared" si="167"/>
        <v>16.015503406524651</v>
      </c>
      <c r="K1302" t="s">
        <v>885</v>
      </c>
      <c r="L1302" t="s">
        <v>886</v>
      </c>
      <c r="M1302" t="s">
        <v>27</v>
      </c>
      <c r="N1302" t="s">
        <v>27</v>
      </c>
      <c r="O1302">
        <v>13.05</v>
      </c>
      <c r="P1302">
        <v>10.7973070144653</v>
      </c>
      <c r="Q1302">
        <v>10.925921440124499</v>
      </c>
      <c r="R1302">
        <v>11.3428569975353</v>
      </c>
      <c r="S1302">
        <v>13.203463203463199</v>
      </c>
      <c r="T1302">
        <v>3.2302930355071999</v>
      </c>
      <c r="U1302" t="s">
        <v>27</v>
      </c>
      <c r="V1302">
        <v>810000</v>
      </c>
      <c r="W1302">
        <v>1.01607394218445</v>
      </c>
      <c r="X1302">
        <v>0.27705627086358697</v>
      </c>
      <c r="Y1302">
        <v>8.4072732925415004</v>
      </c>
      <c r="Z1302">
        <v>5.08958196640015</v>
      </c>
      <c r="AA1302">
        <v>13595505</v>
      </c>
      <c r="AB1302" t="s">
        <v>34</v>
      </c>
      <c r="AC1302" t="s">
        <v>35</v>
      </c>
      <c r="AD1302">
        <v>0.257142867360796</v>
      </c>
      <c r="AE1302" t="s">
        <v>27</v>
      </c>
      <c r="AF1302" t="s">
        <v>27</v>
      </c>
      <c r="AG1302">
        <v>13538700</v>
      </c>
      <c r="AH1302">
        <v>3.2911319732665998</v>
      </c>
      <c r="AI1302">
        <v>0.73674297332763705</v>
      </c>
    </row>
    <row r="1303" spans="1:35">
      <c r="A1303">
        <f t="shared" si="168"/>
        <v>1</v>
      </c>
      <c r="B1303">
        <f t="shared" si="169"/>
        <v>0</v>
      </c>
      <c r="C1303">
        <f t="shared" si="170"/>
        <v>1</v>
      </c>
      <c r="D1303">
        <f t="shared" si="171"/>
        <v>0</v>
      </c>
      <c r="E1303">
        <f t="shared" si="172"/>
        <v>0</v>
      </c>
      <c r="F1303">
        <f t="shared" si="173"/>
        <v>1</v>
      </c>
      <c r="G1303">
        <f t="shared" si="174"/>
        <v>0</v>
      </c>
      <c r="H1303">
        <v>0</v>
      </c>
      <c r="I1303">
        <f t="shared" si="175"/>
        <v>0</v>
      </c>
      <c r="J1303">
        <f t="shared" si="167"/>
        <v>16.011474609375</v>
      </c>
      <c r="K1303" t="s">
        <v>3889</v>
      </c>
      <c r="L1303" t="s">
        <v>3890</v>
      </c>
      <c r="M1303" t="s">
        <v>27</v>
      </c>
      <c r="N1303" t="s">
        <v>27</v>
      </c>
      <c r="O1303">
        <v>8.09</v>
      </c>
      <c r="P1303">
        <v>14.854027748107899</v>
      </c>
      <c r="Q1303">
        <v>9.3811388015747106</v>
      </c>
      <c r="R1303">
        <v>14.2700004577637</v>
      </c>
      <c r="S1303">
        <v>21.590000152587901</v>
      </c>
      <c r="T1303">
        <v>2.5156490802764901</v>
      </c>
      <c r="U1303">
        <v>44.099033355712898</v>
      </c>
      <c r="V1303">
        <v>13284999</v>
      </c>
      <c r="W1303">
        <v>25.216386795043899</v>
      </c>
      <c r="X1303">
        <v>0.129999995231628</v>
      </c>
      <c r="Y1303">
        <v>6.4382472038268999</v>
      </c>
      <c r="Z1303">
        <v>6.6303358078002903</v>
      </c>
      <c r="AA1303">
        <v>72861000</v>
      </c>
      <c r="AB1303" t="s">
        <v>30</v>
      </c>
      <c r="AC1303" t="s">
        <v>92</v>
      </c>
      <c r="AD1303">
        <v>7.0000000298023196E-2</v>
      </c>
      <c r="AE1303">
        <v>36.0184516906738</v>
      </c>
      <c r="AF1303">
        <v>6.3165080827707802</v>
      </c>
      <c r="AG1303">
        <v>72832000</v>
      </c>
      <c r="AH1303">
        <v>2.31601190567017</v>
      </c>
      <c r="AI1303">
        <v>4.0985789299011204</v>
      </c>
    </row>
    <row r="1304" spans="1:35">
      <c r="A1304">
        <f t="shared" si="168"/>
        <v>1</v>
      </c>
      <c r="B1304">
        <f t="shared" si="169"/>
        <v>1</v>
      </c>
      <c r="C1304">
        <f t="shared" si="170"/>
        <v>0</v>
      </c>
      <c r="D1304">
        <f t="shared" si="171"/>
        <v>1</v>
      </c>
      <c r="E1304">
        <f t="shared" si="172"/>
        <v>0</v>
      </c>
      <c r="F1304">
        <f t="shared" si="173"/>
        <v>1</v>
      </c>
      <c r="G1304">
        <f t="shared" si="174"/>
        <v>0</v>
      </c>
      <c r="H1304">
        <v>0</v>
      </c>
      <c r="I1304">
        <f t="shared" si="175"/>
        <v>0</v>
      </c>
      <c r="J1304">
        <f t="shared" si="167"/>
        <v>15.99798154830933</v>
      </c>
      <c r="K1304" t="s">
        <v>3336</v>
      </c>
      <c r="L1304" t="s">
        <v>3337</v>
      </c>
      <c r="M1304" t="s">
        <v>27</v>
      </c>
      <c r="N1304" t="s">
        <v>27</v>
      </c>
      <c r="O1304">
        <v>14.41</v>
      </c>
      <c r="P1304">
        <v>5.7993087768554696</v>
      </c>
      <c r="Q1304">
        <v>7.4808249473571804</v>
      </c>
      <c r="R1304">
        <v>17.5</v>
      </c>
      <c r="S1304">
        <v>25.125</v>
      </c>
      <c r="T1304">
        <v>15.640536308288601</v>
      </c>
      <c r="U1304">
        <v>16.126621246337901</v>
      </c>
      <c r="V1304">
        <v>-21624000</v>
      </c>
      <c r="W1304">
        <v>3.5996739864349401</v>
      </c>
      <c r="X1304">
        <v>0.30000001192092901</v>
      </c>
      <c r="Y1304">
        <v>5.0055871009826696</v>
      </c>
      <c r="Z1304">
        <v>8.5171566009521502</v>
      </c>
      <c r="AA1304">
        <v>28059000</v>
      </c>
      <c r="AB1304" t="s">
        <v>27</v>
      </c>
      <c r="AC1304" t="s">
        <v>27</v>
      </c>
      <c r="AD1304">
        <v>0.40999999642372098</v>
      </c>
      <c r="AE1304">
        <v>12.128790855407701</v>
      </c>
      <c r="AF1304">
        <v>8.30233279620853</v>
      </c>
      <c r="AG1304">
        <v>28444000</v>
      </c>
      <c r="AH1304">
        <v>9.6946859359741193</v>
      </c>
      <c r="AI1304">
        <v>5.5031080245971697</v>
      </c>
    </row>
    <row r="1305" spans="1:35">
      <c r="A1305">
        <f t="shared" si="168"/>
        <v>0</v>
      </c>
      <c r="B1305">
        <f t="shared" si="169"/>
        <v>0</v>
      </c>
      <c r="C1305">
        <f t="shared" si="170"/>
        <v>1</v>
      </c>
      <c r="D1305">
        <f t="shared" si="171"/>
        <v>0</v>
      </c>
      <c r="E1305">
        <f t="shared" si="172"/>
        <v>0</v>
      </c>
      <c r="F1305">
        <f t="shared" si="173"/>
        <v>1</v>
      </c>
      <c r="G1305">
        <f t="shared" si="174"/>
        <v>0</v>
      </c>
      <c r="H1305">
        <v>0</v>
      </c>
      <c r="I1305">
        <f t="shared" si="175"/>
        <v>0</v>
      </c>
      <c r="J1305">
        <f t="shared" si="167"/>
        <v>15.99774694442749</v>
      </c>
      <c r="K1305" t="s">
        <v>363</v>
      </c>
      <c r="L1305" t="s">
        <v>364</v>
      </c>
      <c r="M1305" t="s">
        <v>27</v>
      </c>
      <c r="N1305" t="s">
        <v>27</v>
      </c>
      <c r="O1305">
        <v>13.25</v>
      </c>
      <c r="P1305">
        <v>12.876446723938001</v>
      </c>
      <c r="Q1305">
        <v>8.7192659378051793</v>
      </c>
      <c r="R1305">
        <v>13.3950004577637</v>
      </c>
      <c r="S1305">
        <v>14.8125</v>
      </c>
      <c r="T1305">
        <v>0</v>
      </c>
      <c r="U1305">
        <v>35.740306854247997</v>
      </c>
      <c r="V1305">
        <v>9061000</v>
      </c>
      <c r="W1305">
        <v>9.9596776962280291</v>
      </c>
      <c r="X1305">
        <v>0.354999989271164</v>
      </c>
      <c r="Y1305">
        <v>8.7461137771606392</v>
      </c>
      <c r="Z1305">
        <v>7.27848100662231</v>
      </c>
      <c r="AA1305">
        <v>36342000</v>
      </c>
      <c r="AB1305" t="s">
        <v>30</v>
      </c>
      <c r="AC1305" t="s">
        <v>68</v>
      </c>
      <c r="AD1305">
        <v>0.21999999880790699</v>
      </c>
      <c r="AE1305">
        <v>34.256557464599602</v>
      </c>
      <c r="AF1305">
        <v>1.75160133779264</v>
      </c>
      <c r="AG1305">
        <v>36648000</v>
      </c>
      <c r="AH1305">
        <v>0</v>
      </c>
      <c r="AI1305">
        <v>9.0972776412963903</v>
      </c>
    </row>
    <row r="1306" spans="1:35">
      <c r="A1306">
        <f t="shared" si="168"/>
        <v>0</v>
      </c>
      <c r="B1306">
        <f t="shared" si="169"/>
        <v>1</v>
      </c>
      <c r="C1306">
        <f t="shared" si="170"/>
        <v>1</v>
      </c>
      <c r="D1306">
        <f t="shared" si="171"/>
        <v>1</v>
      </c>
      <c r="E1306">
        <f t="shared" si="172"/>
        <v>0</v>
      </c>
      <c r="F1306">
        <f t="shared" si="173"/>
        <v>1</v>
      </c>
      <c r="G1306">
        <f t="shared" si="174"/>
        <v>0</v>
      </c>
      <c r="H1306">
        <v>0</v>
      </c>
      <c r="I1306">
        <f t="shared" si="175"/>
        <v>1</v>
      </c>
      <c r="J1306">
        <f t="shared" si="167"/>
        <v>15.98640727996831</v>
      </c>
      <c r="K1306" t="s">
        <v>657</v>
      </c>
      <c r="L1306" t="s">
        <v>658</v>
      </c>
      <c r="M1306" t="s">
        <v>27</v>
      </c>
      <c r="N1306" t="s">
        <v>27</v>
      </c>
      <c r="O1306">
        <v>23.08</v>
      </c>
      <c r="P1306">
        <v>5.5846829414367702</v>
      </c>
      <c r="Q1306">
        <v>5.8705768585205096</v>
      </c>
      <c r="R1306">
        <v>14.699999809265099</v>
      </c>
      <c r="S1306">
        <v>12.6875</v>
      </c>
      <c r="T1306">
        <v>6.76794481277466</v>
      </c>
      <c r="U1306" t="s">
        <v>27</v>
      </c>
      <c r="V1306">
        <v>2964000</v>
      </c>
      <c r="W1306">
        <v>0.46420601010322599</v>
      </c>
      <c r="X1306">
        <v>0.28999999165535001</v>
      </c>
      <c r="Y1306">
        <v>8.2424240112304705</v>
      </c>
      <c r="Z1306">
        <v>10.1158304214478</v>
      </c>
      <c r="AA1306">
        <v>7123000</v>
      </c>
      <c r="AB1306" t="s">
        <v>27</v>
      </c>
      <c r="AC1306" t="s">
        <v>27</v>
      </c>
      <c r="AD1306">
        <v>0.34999999403953602</v>
      </c>
      <c r="AE1306" t="s">
        <v>27</v>
      </c>
      <c r="AF1306" t="s">
        <v>27</v>
      </c>
      <c r="AG1306">
        <v>7786000</v>
      </c>
      <c r="AH1306">
        <v>7.8402171134948704</v>
      </c>
      <c r="AI1306">
        <v>0.54733198881149303</v>
      </c>
    </row>
    <row r="1307" spans="1:35">
      <c r="A1307">
        <f t="shared" si="168"/>
        <v>0</v>
      </c>
      <c r="B1307">
        <f t="shared" si="169"/>
        <v>0</v>
      </c>
      <c r="C1307">
        <f t="shared" si="170"/>
        <v>1</v>
      </c>
      <c r="D1307">
        <f t="shared" si="171"/>
        <v>1</v>
      </c>
      <c r="E1307">
        <f t="shared" si="172"/>
        <v>0</v>
      </c>
      <c r="F1307">
        <f t="shared" si="173"/>
        <v>1</v>
      </c>
      <c r="G1307">
        <f t="shared" si="174"/>
        <v>0</v>
      </c>
      <c r="H1307">
        <v>0</v>
      </c>
      <c r="I1307">
        <f t="shared" si="175"/>
        <v>1</v>
      </c>
      <c r="J1307">
        <f t="shared" si="167"/>
        <v>15.98339414596558</v>
      </c>
      <c r="K1307" t="s">
        <v>735</v>
      </c>
      <c r="L1307" t="s">
        <v>736</v>
      </c>
      <c r="M1307" t="s">
        <v>27</v>
      </c>
      <c r="N1307" t="s">
        <v>27</v>
      </c>
      <c r="O1307">
        <v>21.16</v>
      </c>
      <c r="P1307">
        <v>7.4788999557495099</v>
      </c>
      <c r="Q1307">
        <v>7.5735001564025897</v>
      </c>
      <c r="R1307">
        <v>18.5</v>
      </c>
      <c r="S1307">
        <v>12.1300001144409</v>
      </c>
      <c r="T1307">
        <v>39.193443298339801</v>
      </c>
      <c r="U1307" t="s">
        <v>27</v>
      </c>
      <c r="V1307">
        <v>4967000</v>
      </c>
      <c r="W1307">
        <v>5.0405411720275897</v>
      </c>
      <c r="X1307">
        <v>0.28999999165535001</v>
      </c>
      <c r="Y1307">
        <v>12.631579399108899</v>
      </c>
      <c r="Z1307">
        <v>8.4098939895629901</v>
      </c>
      <c r="AA1307">
        <v>7130000</v>
      </c>
      <c r="AB1307" t="s">
        <v>27</v>
      </c>
      <c r="AC1307" t="s">
        <v>27</v>
      </c>
      <c r="AD1307">
        <v>0.31999999284744302</v>
      </c>
      <c r="AE1307" t="s">
        <v>27</v>
      </c>
      <c r="AF1307">
        <v>9.6437363497933397</v>
      </c>
      <c r="AG1307">
        <v>7145000</v>
      </c>
      <c r="AH1307">
        <v>51.091026306152301</v>
      </c>
      <c r="AI1307">
        <v>4.0467457771301296</v>
      </c>
    </row>
    <row r="1308" spans="1:35">
      <c r="A1308">
        <f t="shared" si="168"/>
        <v>0</v>
      </c>
      <c r="B1308">
        <f t="shared" si="169"/>
        <v>0</v>
      </c>
      <c r="C1308">
        <f t="shared" si="170"/>
        <v>1</v>
      </c>
      <c r="D1308">
        <f t="shared" si="171"/>
        <v>0</v>
      </c>
      <c r="E1308">
        <f t="shared" si="172"/>
        <v>0</v>
      </c>
      <c r="F1308">
        <f t="shared" si="173"/>
        <v>1</v>
      </c>
      <c r="G1308">
        <f t="shared" si="174"/>
        <v>0</v>
      </c>
      <c r="H1308">
        <v>0</v>
      </c>
      <c r="I1308">
        <f t="shared" si="175"/>
        <v>1</v>
      </c>
      <c r="J1308">
        <f t="shared" si="167"/>
        <v>15.97947216033932</v>
      </c>
      <c r="K1308" t="s">
        <v>3025</v>
      </c>
      <c r="L1308" t="s">
        <v>3026</v>
      </c>
      <c r="M1308" t="s">
        <v>27</v>
      </c>
      <c r="N1308" t="s">
        <v>27</v>
      </c>
      <c r="O1308">
        <v>27.29</v>
      </c>
      <c r="P1308">
        <v>24.1215629577637</v>
      </c>
      <c r="Q1308">
        <v>13.7303371429443</v>
      </c>
      <c r="R1308">
        <v>5.7199997901916504</v>
      </c>
      <c r="S1308">
        <v>2.75</v>
      </c>
      <c r="T1308">
        <v>0</v>
      </c>
      <c r="U1308">
        <v>71.521453857421903</v>
      </c>
      <c r="V1308">
        <v>1204000</v>
      </c>
      <c r="W1308">
        <v>26.970970153808601</v>
      </c>
      <c r="X1308">
        <v>3.9999999105930301E-2</v>
      </c>
      <c r="Y1308">
        <v>6</v>
      </c>
      <c r="Z1308">
        <v>2.24913501739502</v>
      </c>
      <c r="AA1308">
        <v>17770000</v>
      </c>
      <c r="AB1308" t="s">
        <v>52</v>
      </c>
      <c r="AC1308" t="s">
        <v>56</v>
      </c>
      <c r="AD1308">
        <v>1.9999999552965199E-2</v>
      </c>
      <c r="AE1308">
        <v>71.221748352050795</v>
      </c>
      <c r="AF1308">
        <v>62.485494147324701</v>
      </c>
      <c r="AG1308">
        <v>17897000</v>
      </c>
      <c r="AH1308">
        <v>0</v>
      </c>
      <c r="AI1308">
        <v>6.5477561950683603</v>
      </c>
    </row>
    <row r="1309" spans="1:35">
      <c r="A1309">
        <f t="shared" si="168"/>
        <v>1</v>
      </c>
      <c r="B1309">
        <f t="shared" si="169"/>
        <v>0</v>
      </c>
      <c r="C1309">
        <f t="shared" si="170"/>
        <v>1</v>
      </c>
      <c r="D1309">
        <f t="shared" si="171"/>
        <v>0</v>
      </c>
      <c r="E1309">
        <f t="shared" si="172"/>
        <v>0</v>
      </c>
      <c r="F1309">
        <f t="shared" si="173"/>
        <v>1</v>
      </c>
      <c r="G1309">
        <f t="shared" si="174"/>
        <v>1</v>
      </c>
      <c r="H1309">
        <v>0</v>
      </c>
      <c r="I1309">
        <f t="shared" si="175"/>
        <v>0</v>
      </c>
      <c r="J1309">
        <f t="shared" si="167"/>
        <v>15.975832939147949</v>
      </c>
      <c r="K1309" t="s">
        <v>3713</v>
      </c>
      <c r="L1309" t="s">
        <v>3714</v>
      </c>
      <c r="M1309" t="s">
        <v>27</v>
      </c>
      <c r="N1309" t="s">
        <v>27</v>
      </c>
      <c r="O1309">
        <v>4.9800000000000004</v>
      </c>
      <c r="P1309">
        <v>10.207848548889199</v>
      </c>
      <c r="Q1309">
        <v>9.2996969223022496</v>
      </c>
      <c r="R1309">
        <v>12.9799995422363</v>
      </c>
      <c r="S1309">
        <v>19.5</v>
      </c>
      <c r="T1309">
        <v>20.0559997558594</v>
      </c>
      <c r="U1309">
        <v>43.5493774414063</v>
      </c>
      <c r="V1309">
        <v>5352000</v>
      </c>
      <c r="W1309">
        <v>8.00421237945557</v>
      </c>
      <c r="X1309">
        <v>0.230000004172325</v>
      </c>
      <c r="Y1309">
        <v>6.0799999237060502</v>
      </c>
      <c r="Z1309">
        <v>6.6761360168456996</v>
      </c>
      <c r="AA1309">
        <v>14081000</v>
      </c>
      <c r="AB1309" t="s">
        <v>27</v>
      </c>
      <c r="AC1309" t="s">
        <v>27</v>
      </c>
      <c r="AD1309">
        <v>2.9999999329447701E-2</v>
      </c>
      <c r="AE1309">
        <v>48.810554504394503</v>
      </c>
      <c r="AF1309">
        <v>51.4693369713506</v>
      </c>
      <c r="AG1309">
        <v>17690000</v>
      </c>
      <c r="AH1309">
        <v>1.70697498321533</v>
      </c>
      <c r="AI1309">
        <v>7.3401589393615696</v>
      </c>
    </row>
    <row r="1310" spans="1:35">
      <c r="A1310">
        <f t="shared" si="168"/>
        <v>1</v>
      </c>
      <c r="B1310">
        <f t="shared" si="169"/>
        <v>0</v>
      </c>
      <c r="C1310">
        <f t="shared" si="170"/>
        <v>1</v>
      </c>
      <c r="D1310">
        <f t="shared" si="171"/>
        <v>1</v>
      </c>
      <c r="E1310">
        <f t="shared" si="172"/>
        <v>0</v>
      </c>
      <c r="F1310">
        <f t="shared" si="173"/>
        <v>1</v>
      </c>
      <c r="G1310">
        <f t="shared" si="174"/>
        <v>1</v>
      </c>
      <c r="H1310">
        <v>0</v>
      </c>
      <c r="I1310">
        <f t="shared" si="175"/>
        <v>0</v>
      </c>
      <c r="J1310">
        <f t="shared" si="167"/>
        <v>15.96604299545287</v>
      </c>
      <c r="K1310" t="s">
        <v>1154</v>
      </c>
      <c r="L1310" t="s">
        <v>1155</v>
      </c>
      <c r="M1310" t="s">
        <v>27</v>
      </c>
      <c r="N1310" t="s">
        <v>27</v>
      </c>
      <c r="O1310">
        <v>17.47</v>
      </c>
      <c r="P1310">
        <v>6.9662389755248997</v>
      </c>
      <c r="Q1310">
        <v>12.000825881958001</v>
      </c>
      <c r="R1310">
        <v>26.040000915527301</v>
      </c>
      <c r="S1310">
        <v>8.5100002288818395</v>
      </c>
      <c r="T1310">
        <v>26.0184516906738</v>
      </c>
      <c r="U1310">
        <v>24.618614196777301</v>
      </c>
      <c r="V1310">
        <v>1078000.125</v>
      </c>
      <c r="W1310">
        <v>1.6217019557952901</v>
      </c>
      <c r="X1310">
        <v>-1.9999999552965199E-2</v>
      </c>
      <c r="Y1310">
        <v>10.099290847778301</v>
      </c>
      <c r="Z1310">
        <v>3.9652171134948699</v>
      </c>
      <c r="AA1310">
        <v>13613000</v>
      </c>
      <c r="AB1310" t="s">
        <v>27</v>
      </c>
      <c r="AC1310" t="s">
        <v>27</v>
      </c>
      <c r="AD1310">
        <v>0.31999999284744302</v>
      </c>
      <c r="AE1310">
        <v>27.890907287597699</v>
      </c>
      <c r="AF1310">
        <v>9.1849132354818099</v>
      </c>
      <c r="AG1310">
        <v>14851000</v>
      </c>
      <c r="AH1310">
        <v>21.017990112304702</v>
      </c>
      <c r="AI1310">
        <v>0.77993798255920399</v>
      </c>
    </row>
    <row r="1311" spans="1:35">
      <c r="A1311">
        <f t="shared" si="168"/>
        <v>1</v>
      </c>
      <c r="B1311">
        <f t="shared" si="169"/>
        <v>0</v>
      </c>
      <c r="C1311">
        <f t="shared" si="170"/>
        <v>1</v>
      </c>
      <c r="D1311">
        <f t="shared" si="171"/>
        <v>0</v>
      </c>
      <c r="E1311">
        <f t="shared" si="172"/>
        <v>0</v>
      </c>
      <c r="F1311">
        <f t="shared" si="173"/>
        <v>1</v>
      </c>
      <c r="G1311">
        <f t="shared" si="174"/>
        <v>1</v>
      </c>
      <c r="H1311">
        <v>0</v>
      </c>
      <c r="I1311">
        <f t="shared" si="175"/>
        <v>0</v>
      </c>
      <c r="J1311">
        <f t="shared" si="167"/>
        <v>15.95660495758057</v>
      </c>
      <c r="K1311" t="s">
        <v>288</v>
      </c>
      <c r="L1311" t="s">
        <v>289</v>
      </c>
      <c r="M1311" t="s">
        <v>27</v>
      </c>
      <c r="N1311" t="s">
        <v>27</v>
      </c>
      <c r="O1311">
        <v>22.5</v>
      </c>
      <c r="P1311">
        <v>8.9510660171508807</v>
      </c>
      <c r="Q1311">
        <v>9.2576541900634801</v>
      </c>
      <c r="R1311">
        <v>28.700000762939499</v>
      </c>
      <c r="S1311">
        <v>28.030000686645501</v>
      </c>
      <c r="T1311">
        <v>36.541500091552699</v>
      </c>
      <c r="U1311">
        <v>22.401729583740199</v>
      </c>
      <c r="V1311">
        <v>70400000</v>
      </c>
      <c r="W1311">
        <v>9.0114269256591797</v>
      </c>
      <c r="X1311">
        <v>0.64999997615814198</v>
      </c>
      <c r="Y1311">
        <v>6.6609439849853498</v>
      </c>
      <c r="Z1311">
        <v>6.6989507675170898</v>
      </c>
      <c r="AA1311">
        <v>37551000</v>
      </c>
      <c r="AB1311" t="s">
        <v>38</v>
      </c>
      <c r="AC1311" t="s">
        <v>146</v>
      </c>
      <c r="AD1311">
        <v>-0.33000001311302202</v>
      </c>
      <c r="AE1311">
        <v>22.416284561157202</v>
      </c>
      <c r="AF1311">
        <v>9.3227849192100507</v>
      </c>
      <c r="AG1311">
        <v>36852000</v>
      </c>
      <c r="AH1311">
        <v>22.749382019043001</v>
      </c>
      <c r="AI1311">
        <v>5.04373979568481</v>
      </c>
    </row>
    <row r="1312" spans="1:35">
      <c r="A1312">
        <f t="shared" si="168"/>
        <v>0</v>
      </c>
      <c r="B1312">
        <f t="shared" si="169"/>
        <v>0</v>
      </c>
      <c r="C1312">
        <f t="shared" si="170"/>
        <v>1</v>
      </c>
      <c r="D1312">
        <f t="shared" si="171"/>
        <v>1</v>
      </c>
      <c r="E1312">
        <f t="shared" si="172"/>
        <v>0</v>
      </c>
      <c r="F1312">
        <f t="shared" si="173"/>
        <v>1</v>
      </c>
      <c r="G1312">
        <f t="shared" si="174"/>
        <v>0</v>
      </c>
      <c r="H1312">
        <v>0</v>
      </c>
      <c r="I1312">
        <f t="shared" si="175"/>
        <v>1</v>
      </c>
      <c r="J1312">
        <f t="shared" ref="J1312:J1375" si="176">Z1312+Q1312</f>
        <v>15.93281698226925</v>
      </c>
      <c r="K1312" t="s">
        <v>2570</v>
      </c>
      <c r="L1312" t="s">
        <v>2571</v>
      </c>
      <c r="M1312" t="s">
        <v>27</v>
      </c>
      <c r="N1312" t="s">
        <v>27</v>
      </c>
      <c r="O1312">
        <v>62.77</v>
      </c>
      <c r="P1312">
        <v>11.2556447982788</v>
      </c>
      <c r="Q1312">
        <v>10.0046119689941</v>
      </c>
      <c r="R1312">
        <v>54.5</v>
      </c>
      <c r="S1312">
        <v>45.9375</v>
      </c>
      <c r="T1312">
        <v>24.723072052001999</v>
      </c>
      <c r="U1312">
        <v>15.314237594604499</v>
      </c>
      <c r="V1312">
        <v>41397000</v>
      </c>
      <c r="W1312">
        <v>6.4146561622619602</v>
      </c>
      <c r="X1312">
        <v>0.490000009536743</v>
      </c>
      <c r="Y1312">
        <v>6.6818180084228498</v>
      </c>
      <c r="Z1312">
        <v>5.92820501327515</v>
      </c>
      <c r="AA1312">
        <v>16672157</v>
      </c>
      <c r="AB1312" t="s">
        <v>61</v>
      </c>
      <c r="AC1312" t="s">
        <v>101</v>
      </c>
      <c r="AD1312">
        <v>0.50999999046325695</v>
      </c>
      <c r="AE1312">
        <v>13.8381700515747</v>
      </c>
      <c r="AF1312" t="s">
        <v>27</v>
      </c>
      <c r="AG1312">
        <v>16725433</v>
      </c>
      <c r="AH1312">
        <v>32.849338531494098</v>
      </c>
      <c r="AI1312">
        <v>5.3948559761047399</v>
      </c>
    </row>
    <row r="1313" spans="1:35">
      <c r="A1313">
        <f t="shared" ref="A1313:A1376" si="177">IF(AH1313&lt;T1313,1,0)</f>
        <v>0</v>
      </c>
      <c r="B1313">
        <f t="shared" ref="B1313:B1376" si="178">IF(AI1313&gt;W1313,1,0)</f>
        <v>0</v>
      </c>
      <c r="C1313">
        <f t="shared" ref="C1313:C1376" si="179">IF(V1313&gt;0,1,0)</f>
        <v>1</v>
      </c>
      <c r="D1313">
        <f t="shared" ref="D1313:D1376" si="180">IF(AD1313&gt;X1313,1,0)</f>
        <v>0</v>
      </c>
      <c r="E1313">
        <f t="shared" ref="E1313:E1376" si="181">IF(AA1313=AG1313,1,0)</f>
        <v>0</v>
      </c>
      <c r="F1313">
        <f t="shared" ref="F1313:F1376" si="182">IF(AI1313&gt;0,1,0)</f>
        <v>1</v>
      </c>
      <c r="G1313">
        <f t="shared" ref="G1313:G1376" si="183">IF(AE1313&gt;U1313,1,0)</f>
        <v>0</v>
      </c>
      <c r="H1313">
        <v>0</v>
      </c>
      <c r="I1313">
        <f t="shared" ref="I1313:I1376" si="184">IF(((O1313-R1313)/R1313)&gt;0.075,1,0)</f>
        <v>0</v>
      </c>
      <c r="J1313">
        <f t="shared" si="176"/>
        <v>15.88905191421509</v>
      </c>
      <c r="K1313" t="s">
        <v>3023</v>
      </c>
      <c r="L1313" t="s">
        <v>3024</v>
      </c>
      <c r="M1313" t="s">
        <v>27</v>
      </c>
      <c r="N1313" t="s">
        <v>27</v>
      </c>
      <c r="O1313">
        <v>20.51</v>
      </c>
      <c r="P1313">
        <v>9.9047670364379901</v>
      </c>
      <c r="Q1313">
        <v>8.2056179046630895</v>
      </c>
      <c r="R1313">
        <v>20.873786407767</v>
      </c>
      <c r="S1313">
        <v>14.654698662758699</v>
      </c>
      <c r="T1313">
        <v>5.00421190261841</v>
      </c>
      <c r="U1313" t="s">
        <v>27</v>
      </c>
      <c r="V1313">
        <v>9741000</v>
      </c>
      <c r="W1313">
        <v>2.5477840900421098</v>
      </c>
      <c r="X1313">
        <v>0.31402926953751698</v>
      </c>
      <c r="Y1313">
        <v>7.4444451332092303</v>
      </c>
      <c r="Z1313">
        <v>7.6834340095520002</v>
      </c>
      <c r="AA1313">
        <v>11635858.5</v>
      </c>
      <c r="AB1313" t="s">
        <v>34</v>
      </c>
      <c r="AC1313" t="s">
        <v>35</v>
      </c>
      <c r="AD1313">
        <v>0.31141234985920402</v>
      </c>
      <c r="AE1313" t="s">
        <v>27</v>
      </c>
      <c r="AF1313" t="s">
        <v>27</v>
      </c>
      <c r="AG1313">
        <v>11686627.199999999</v>
      </c>
      <c r="AH1313">
        <v>10.581403732299799</v>
      </c>
      <c r="AI1313">
        <v>2.4743690490722701</v>
      </c>
    </row>
    <row r="1314" spans="1:35">
      <c r="A1314">
        <f t="shared" si="177"/>
        <v>1</v>
      </c>
      <c r="B1314">
        <f t="shared" si="178"/>
        <v>0</v>
      </c>
      <c r="C1314">
        <f t="shared" si="179"/>
        <v>1</v>
      </c>
      <c r="D1314">
        <f t="shared" si="180"/>
        <v>1</v>
      </c>
      <c r="E1314">
        <f t="shared" si="181"/>
        <v>0</v>
      </c>
      <c r="F1314">
        <f t="shared" si="182"/>
        <v>1</v>
      </c>
      <c r="G1314">
        <f t="shared" si="183"/>
        <v>0</v>
      </c>
      <c r="H1314">
        <v>0</v>
      </c>
      <c r="I1314">
        <f t="shared" si="184"/>
        <v>0</v>
      </c>
      <c r="J1314">
        <f t="shared" si="176"/>
        <v>15.87159776687621</v>
      </c>
      <c r="K1314" t="s">
        <v>1490</v>
      </c>
      <c r="L1314" t="s">
        <v>1491</v>
      </c>
      <c r="M1314" t="s">
        <v>27</v>
      </c>
      <c r="N1314" t="s">
        <v>27</v>
      </c>
      <c r="O1314">
        <v>18.43</v>
      </c>
      <c r="P1314">
        <v>8.82891845703125</v>
      </c>
      <c r="Q1314">
        <v>5.72345018386841</v>
      </c>
      <c r="R1314">
        <v>21.159999847412099</v>
      </c>
      <c r="S1314">
        <v>12</v>
      </c>
      <c r="T1314">
        <v>34.893283843994098</v>
      </c>
      <c r="U1314" t="s">
        <v>27</v>
      </c>
      <c r="V1314">
        <v>2508000</v>
      </c>
      <c r="W1314">
        <v>4.81390380859375</v>
      </c>
      <c r="X1314">
        <v>0.32888889312744102</v>
      </c>
      <c r="Y1314">
        <v>12.659793853759799</v>
      </c>
      <c r="Z1314">
        <v>10.1481475830078</v>
      </c>
      <c r="AA1314">
        <v>9753750</v>
      </c>
      <c r="AB1314" t="s">
        <v>61</v>
      </c>
      <c r="AC1314" t="s">
        <v>234</v>
      </c>
      <c r="AD1314">
        <v>0.40666667620341002</v>
      </c>
      <c r="AE1314" t="s">
        <v>27</v>
      </c>
      <c r="AF1314" t="s">
        <v>27</v>
      </c>
      <c r="AG1314">
        <v>10510500</v>
      </c>
      <c r="AH1314">
        <v>26.3006591796875</v>
      </c>
      <c r="AI1314">
        <v>4.3380041122436497</v>
      </c>
    </row>
    <row r="1315" spans="1:35">
      <c r="A1315">
        <f t="shared" si="177"/>
        <v>0</v>
      </c>
      <c r="B1315">
        <f t="shared" si="178"/>
        <v>1</v>
      </c>
      <c r="C1315">
        <f t="shared" si="179"/>
        <v>1</v>
      </c>
      <c r="D1315">
        <f t="shared" si="180"/>
        <v>1</v>
      </c>
      <c r="E1315">
        <f t="shared" si="181"/>
        <v>0</v>
      </c>
      <c r="F1315">
        <f t="shared" si="182"/>
        <v>1</v>
      </c>
      <c r="G1315">
        <f t="shared" si="183"/>
        <v>0</v>
      </c>
      <c r="H1315">
        <v>0</v>
      </c>
      <c r="I1315">
        <f t="shared" si="184"/>
        <v>0</v>
      </c>
      <c r="J1315">
        <f t="shared" si="176"/>
        <v>15.860827445983908</v>
      </c>
      <c r="K1315" t="s">
        <v>1243</v>
      </c>
      <c r="L1315" t="s">
        <v>1244</v>
      </c>
      <c r="M1315" t="s">
        <v>27</v>
      </c>
      <c r="N1315" t="s">
        <v>27</v>
      </c>
      <c r="O1315">
        <v>28.42</v>
      </c>
      <c r="P1315">
        <v>9.6280946731567401</v>
      </c>
      <c r="Q1315">
        <v>11.061353683471699</v>
      </c>
      <c r="R1315">
        <v>32.299999237060497</v>
      </c>
      <c r="S1315">
        <v>27.559999465942401</v>
      </c>
      <c r="T1315">
        <v>63.630447387695298</v>
      </c>
      <c r="U1315" t="s">
        <v>27</v>
      </c>
      <c r="V1315">
        <v>14130999</v>
      </c>
      <c r="W1315">
        <v>2.3765399456024201</v>
      </c>
      <c r="X1315">
        <v>0.259999990463257</v>
      </c>
      <c r="Y1315">
        <v>5.7600002288818404</v>
      </c>
      <c r="Z1315">
        <v>4.7994737625122097</v>
      </c>
      <c r="AA1315">
        <v>20876000</v>
      </c>
      <c r="AB1315" t="s">
        <v>83</v>
      </c>
      <c r="AC1315" t="s">
        <v>84</v>
      </c>
      <c r="AD1315">
        <v>0.28999999165535001</v>
      </c>
      <c r="AE1315" t="s">
        <v>27</v>
      </c>
      <c r="AF1315">
        <v>11.7280043152274</v>
      </c>
      <c r="AG1315">
        <v>21414000</v>
      </c>
      <c r="AH1315">
        <v>64.280967712402301</v>
      </c>
      <c r="AI1315">
        <v>2.8211960792541499</v>
      </c>
    </row>
    <row r="1316" spans="1:35">
      <c r="A1316">
        <f t="shared" si="177"/>
        <v>0</v>
      </c>
      <c r="B1316">
        <f t="shared" si="178"/>
        <v>1</v>
      </c>
      <c r="C1316">
        <f t="shared" si="179"/>
        <v>1</v>
      </c>
      <c r="D1316">
        <f t="shared" si="180"/>
        <v>1</v>
      </c>
      <c r="E1316">
        <f t="shared" si="181"/>
        <v>0</v>
      </c>
      <c r="F1316">
        <f t="shared" si="182"/>
        <v>1</v>
      </c>
      <c r="G1316">
        <f t="shared" si="183"/>
        <v>0</v>
      </c>
      <c r="H1316">
        <v>0</v>
      </c>
      <c r="I1316">
        <f t="shared" si="184"/>
        <v>0</v>
      </c>
      <c r="J1316">
        <f t="shared" si="176"/>
        <v>15.850943446159361</v>
      </c>
      <c r="K1316" t="s">
        <v>830</v>
      </c>
      <c r="L1316" t="s">
        <v>831</v>
      </c>
      <c r="M1316" t="s">
        <v>27</v>
      </c>
      <c r="N1316" t="s">
        <v>27</v>
      </c>
      <c r="O1316">
        <v>6.9</v>
      </c>
      <c r="P1316" t="s">
        <v>27</v>
      </c>
      <c r="Q1316">
        <v>14.288754463195801</v>
      </c>
      <c r="R1316">
        <v>10.365217457646899</v>
      </c>
      <c r="S1316">
        <v>6.0000000829282003</v>
      </c>
      <c r="T1316">
        <v>0</v>
      </c>
      <c r="U1316" t="s">
        <v>27</v>
      </c>
      <c r="V1316" t="s">
        <v>27</v>
      </c>
      <c r="W1316">
        <v>0.499538004398346</v>
      </c>
      <c r="X1316">
        <v>-8.1267775509813803E-3</v>
      </c>
      <c r="Y1316">
        <v>0.314018994569778</v>
      </c>
      <c r="Z1316">
        <v>1.56218898296356</v>
      </c>
      <c r="AA1316">
        <v>28873682.5</v>
      </c>
      <c r="AB1316" t="s">
        <v>34</v>
      </c>
      <c r="AC1316" t="s">
        <v>447</v>
      </c>
      <c r="AD1316">
        <v>4.3478261517441802E-2</v>
      </c>
      <c r="AE1316" t="s">
        <v>27</v>
      </c>
      <c r="AF1316" t="s">
        <v>27</v>
      </c>
      <c r="AG1316">
        <v>28897200</v>
      </c>
      <c r="AH1316">
        <v>0</v>
      </c>
      <c r="AI1316">
        <v>0.78497797250747703</v>
      </c>
    </row>
    <row r="1317" spans="1:35">
      <c r="A1317">
        <f t="shared" si="177"/>
        <v>1</v>
      </c>
      <c r="B1317">
        <f t="shared" si="178"/>
        <v>0</v>
      </c>
      <c r="C1317">
        <f t="shared" si="179"/>
        <v>1</v>
      </c>
      <c r="D1317">
        <f t="shared" si="180"/>
        <v>1</v>
      </c>
      <c r="E1317">
        <f t="shared" si="181"/>
        <v>0</v>
      </c>
      <c r="F1317">
        <f t="shared" si="182"/>
        <v>1</v>
      </c>
      <c r="G1317">
        <f t="shared" si="183"/>
        <v>0</v>
      </c>
      <c r="H1317">
        <v>0</v>
      </c>
      <c r="I1317">
        <f t="shared" si="184"/>
        <v>0</v>
      </c>
      <c r="J1317">
        <f t="shared" si="176"/>
        <v>15.845695018768311</v>
      </c>
      <c r="K1317" t="s">
        <v>2428</v>
      </c>
      <c r="L1317" t="s">
        <v>2429</v>
      </c>
      <c r="M1317" t="s">
        <v>27</v>
      </c>
      <c r="N1317" t="s">
        <v>27</v>
      </c>
      <c r="O1317">
        <v>15</v>
      </c>
      <c r="P1317">
        <v>8.2229270935058594</v>
      </c>
      <c r="Q1317">
        <v>7.9995408058166504</v>
      </c>
      <c r="R1317">
        <v>14.5</v>
      </c>
      <c r="S1317">
        <v>14.5</v>
      </c>
      <c r="T1317">
        <v>7.8803482055664098</v>
      </c>
      <c r="U1317" t="s">
        <v>27</v>
      </c>
      <c r="V1317">
        <v>16513999</v>
      </c>
      <c r="W1317" t="s">
        <v>27</v>
      </c>
      <c r="X1317">
        <v>0.239999994635582</v>
      </c>
      <c r="Y1317">
        <v>8.9263162612915004</v>
      </c>
      <c r="Z1317">
        <v>7.8461542129516602</v>
      </c>
      <c r="AA1317">
        <v>8428000</v>
      </c>
      <c r="AB1317" t="s">
        <v>34</v>
      </c>
      <c r="AC1317" t="s">
        <v>35</v>
      </c>
      <c r="AD1317">
        <v>0.259999990463257</v>
      </c>
      <c r="AE1317" t="s">
        <v>27</v>
      </c>
      <c r="AF1317" t="s">
        <v>27</v>
      </c>
      <c r="AG1317">
        <v>8442000</v>
      </c>
      <c r="AH1317">
        <v>6.1771988868713397</v>
      </c>
      <c r="AI1317">
        <v>1.1554139852523799</v>
      </c>
    </row>
    <row r="1318" spans="1:35">
      <c r="A1318">
        <f t="shared" si="177"/>
        <v>0</v>
      </c>
      <c r="B1318">
        <f t="shared" si="178"/>
        <v>1</v>
      </c>
      <c r="C1318">
        <f t="shared" si="179"/>
        <v>0</v>
      </c>
      <c r="D1318">
        <f t="shared" si="180"/>
        <v>0</v>
      </c>
      <c r="E1318">
        <f t="shared" si="181"/>
        <v>0</v>
      </c>
      <c r="F1318">
        <f t="shared" si="182"/>
        <v>1</v>
      </c>
      <c r="G1318">
        <f t="shared" si="183"/>
        <v>0</v>
      </c>
      <c r="H1318">
        <v>0</v>
      </c>
      <c r="I1318">
        <f t="shared" si="184"/>
        <v>0</v>
      </c>
      <c r="J1318">
        <f t="shared" si="176"/>
        <v>15.842381477355961</v>
      </c>
      <c r="K1318" t="s">
        <v>3621</v>
      </c>
      <c r="L1318" t="s">
        <v>3622</v>
      </c>
      <c r="M1318" t="s">
        <v>27</v>
      </c>
      <c r="N1318" t="s">
        <v>27</v>
      </c>
      <c r="O1318">
        <v>9.06</v>
      </c>
      <c r="P1318">
        <v>12.0384302139282</v>
      </c>
      <c r="Q1318">
        <v>9.7233076095581108</v>
      </c>
      <c r="R1318">
        <v>28.909999847412099</v>
      </c>
      <c r="S1318">
        <v>31.25</v>
      </c>
      <c r="T1318">
        <v>8.5713958740234393</v>
      </c>
      <c r="U1318">
        <v>32.194324493408203</v>
      </c>
      <c r="V1318">
        <v>-23990000</v>
      </c>
      <c r="W1318">
        <v>5.9695458412170401</v>
      </c>
      <c r="X1318">
        <v>0.31000000238418601</v>
      </c>
      <c r="Y1318">
        <v>3.1003460884094198</v>
      </c>
      <c r="Z1318">
        <v>6.1190738677978498</v>
      </c>
      <c r="AA1318">
        <v>10817000</v>
      </c>
      <c r="AB1318" t="s">
        <v>27</v>
      </c>
      <c r="AC1318" t="s">
        <v>27</v>
      </c>
      <c r="AD1318">
        <v>0.15000000596046401</v>
      </c>
      <c r="AE1318">
        <v>31.804998397827099</v>
      </c>
      <c r="AF1318" t="s">
        <v>27</v>
      </c>
      <c r="AG1318">
        <v>11066000</v>
      </c>
      <c r="AH1318">
        <v>16.363054275512699</v>
      </c>
      <c r="AI1318">
        <v>8.74542331695557</v>
      </c>
    </row>
    <row r="1319" spans="1:35">
      <c r="A1319">
        <f t="shared" si="177"/>
        <v>1</v>
      </c>
      <c r="B1319">
        <f t="shared" si="178"/>
        <v>0</v>
      </c>
      <c r="C1319">
        <f t="shared" si="179"/>
        <v>1</v>
      </c>
      <c r="D1319">
        <f t="shared" si="180"/>
        <v>1</v>
      </c>
      <c r="E1319">
        <f t="shared" si="181"/>
        <v>0</v>
      </c>
      <c r="F1319">
        <f t="shared" si="182"/>
        <v>1</v>
      </c>
      <c r="G1319">
        <f t="shared" si="183"/>
        <v>0</v>
      </c>
      <c r="H1319">
        <v>0</v>
      </c>
      <c r="I1319">
        <f t="shared" si="184"/>
        <v>1</v>
      </c>
      <c r="J1319">
        <f t="shared" si="176"/>
        <v>15.828292369842529</v>
      </c>
      <c r="K1319" t="s">
        <v>461</v>
      </c>
      <c r="L1319" t="s">
        <v>462</v>
      </c>
      <c r="M1319" t="s">
        <v>27</v>
      </c>
      <c r="N1319" t="s">
        <v>27</v>
      </c>
      <c r="O1319">
        <v>28.6</v>
      </c>
      <c r="P1319">
        <v>6.23240089416504</v>
      </c>
      <c r="Q1319">
        <v>6.4489817619323704</v>
      </c>
      <c r="R1319">
        <v>13.2849998474121</v>
      </c>
      <c r="S1319">
        <v>7.15625</v>
      </c>
      <c r="T1319">
        <v>14.0350294113159</v>
      </c>
      <c r="U1319" t="s">
        <v>27</v>
      </c>
      <c r="V1319">
        <v>6211000</v>
      </c>
      <c r="W1319">
        <v>0.94215500354766801</v>
      </c>
      <c r="X1319">
        <v>0.119999997317791</v>
      </c>
      <c r="Y1319">
        <v>13.894737243652299</v>
      </c>
      <c r="Z1319">
        <v>9.3793106079101598</v>
      </c>
      <c r="AA1319">
        <v>7559110</v>
      </c>
      <c r="AB1319" t="s">
        <v>34</v>
      </c>
      <c r="AC1319" t="s">
        <v>35</v>
      </c>
      <c r="AD1319">
        <v>0.30000001192092901</v>
      </c>
      <c r="AE1319" t="s">
        <v>27</v>
      </c>
      <c r="AF1319" t="s">
        <v>27</v>
      </c>
      <c r="AG1319">
        <v>7564000</v>
      </c>
      <c r="AH1319">
        <v>14.025117874145501</v>
      </c>
      <c r="AI1319">
        <v>0.74430298805236805</v>
      </c>
    </row>
    <row r="1320" spans="1:35">
      <c r="A1320">
        <f t="shared" si="177"/>
        <v>1</v>
      </c>
      <c r="B1320">
        <f t="shared" si="178"/>
        <v>0</v>
      </c>
      <c r="C1320">
        <f t="shared" si="179"/>
        <v>1</v>
      </c>
      <c r="D1320">
        <f t="shared" si="180"/>
        <v>1</v>
      </c>
      <c r="E1320">
        <f t="shared" si="181"/>
        <v>0</v>
      </c>
      <c r="F1320">
        <f t="shared" si="182"/>
        <v>1</v>
      </c>
      <c r="G1320">
        <f t="shared" si="183"/>
        <v>0</v>
      </c>
      <c r="H1320">
        <v>0</v>
      </c>
      <c r="I1320">
        <f t="shared" si="184"/>
        <v>1</v>
      </c>
      <c r="J1320">
        <f t="shared" si="176"/>
        <v>15.812728881835939</v>
      </c>
      <c r="K1320" t="s">
        <v>1340</v>
      </c>
      <c r="L1320" t="s">
        <v>1341</v>
      </c>
      <c r="M1320" t="s">
        <v>27</v>
      </c>
      <c r="N1320" t="s">
        <v>27</v>
      </c>
      <c r="O1320">
        <v>24</v>
      </c>
      <c r="P1320">
        <v>8.1869087219238299</v>
      </c>
      <c r="Q1320">
        <v>9.6877288818359393</v>
      </c>
      <c r="R1320">
        <v>22.180000305175799</v>
      </c>
      <c r="S1320">
        <v>19.125</v>
      </c>
      <c r="T1320">
        <v>4.4357361793518102</v>
      </c>
      <c r="U1320" t="s">
        <v>27</v>
      </c>
      <c r="V1320">
        <v>6133000</v>
      </c>
      <c r="W1320">
        <v>1.7162679433822601</v>
      </c>
      <c r="X1320">
        <v>-0.10000000149011599</v>
      </c>
      <c r="Y1320">
        <v>9.0967741012573207</v>
      </c>
      <c r="Z1320">
        <v>6.125</v>
      </c>
      <c r="AA1320">
        <v>8929000</v>
      </c>
      <c r="AB1320" t="s">
        <v>34</v>
      </c>
      <c r="AC1320" t="s">
        <v>35</v>
      </c>
      <c r="AD1320">
        <v>0.40999999642372098</v>
      </c>
      <c r="AE1320" t="s">
        <v>27</v>
      </c>
      <c r="AF1320" t="s">
        <v>27</v>
      </c>
      <c r="AG1320">
        <v>9100000</v>
      </c>
      <c r="AH1320">
        <v>1.36282503604889</v>
      </c>
      <c r="AI1320">
        <v>1.0352979898452801</v>
      </c>
    </row>
    <row r="1321" spans="1:35">
      <c r="A1321">
        <f t="shared" si="177"/>
        <v>1</v>
      </c>
      <c r="B1321">
        <f t="shared" si="178"/>
        <v>1</v>
      </c>
      <c r="C1321">
        <f t="shared" si="179"/>
        <v>1</v>
      </c>
      <c r="D1321">
        <f t="shared" si="180"/>
        <v>1</v>
      </c>
      <c r="E1321">
        <f t="shared" si="181"/>
        <v>0</v>
      </c>
      <c r="F1321">
        <f t="shared" si="182"/>
        <v>1</v>
      </c>
      <c r="G1321">
        <f t="shared" si="183"/>
        <v>1</v>
      </c>
      <c r="H1321">
        <v>0</v>
      </c>
      <c r="I1321">
        <f t="shared" si="184"/>
        <v>0</v>
      </c>
      <c r="J1321">
        <f t="shared" si="176"/>
        <v>15.81144905090332</v>
      </c>
      <c r="K1321" t="s">
        <v>2430</v>
      </c>
      <c r="L1321" t="s">
        <v>2431</v>
      </c>
      <c r="M1321" t="s">
        <v>27</v>
      </c>
      <c r="N1321" t="s">
        <v>27</v>
      </c>
      <c r="O1321">
        <v>4</v>
      </c>
      <c r="P1321" t="s">
        <v>27</v>
      </c>
      <c r="Q1321">
        <v>9.7373752593994105</v>
      </c>
      <c r="R1321">
        <v>7.0100002288818404</v>
      </c>
      <c r="S1321">
        <v>7.1300001144409197</v>
      </c>
      <c r="T1321">
        <v>42.647972106933601</v>
      </c>
      <c r="U1321">
        <v>18.594806671142599</v>
      </c>
      <c r="V1321">
        <v>300999.65625</v>
      </c>
      <c r="W1321">
        <v>-14.5279140472412</v>
      </c>
      <c r="X1321">
        <v>5.0000000745058101E-2</v>
      </c>
      <c r="Y1321">
        <v>0.21621599793434099</v>
      </c>
      <c r="Z1321">
        <v>6.0740737915039098</v>
      </c>
      <c r="AA1321">
        <v>69519000</v>
      </c>
      <c r="AB1321" t="s">
        <v>328</v>
      </c>
      <c r="AC1321" t="s">
        <v>403</v>
      </c>
      <c r="AD1321">
        <v>0.119999997317791</v>
      </c>
      <c r="AE1321">
        <v>19.581407546997099</v>
      </c>
      <c r="AF1321">
        <v>11.653122160197301</v>
      </c>
      <c r="AG1321">
        <v>70262000</v>
      </c>
      <c r="AH1321">
        <v>34.992855072021499</v>
      </c>
      <c r="AI1321">
        <v>2.3278050422668501</v>
      </c>
    </row>
    <row r="1322" spans="1:35">
      <c r="A1322">
        <f t="shared" si="177"/>
        <v>1</v>
      </c>
      <c r="B1322">
        <f t="shared" si="178"/>
        <v>0</v>
      </c>
      <c r="C1322">
        <f t="shared" si="179"/>
        <v>0</v>
      </c>
      <c r="D1322">
        <f t="shared" si="180"/>
        <v>1</v>
      </c>
      <c r="E1322">
        <f t="shared" si="181"/>
        <v>0</v>
      </c>
      <c r="F1322">
        <f t="shared" si="182"/>
        <v>1</v>
      </c>
      <c r="G1322">
        <f t="shared" si="183"/>
        <v>1</v>
      </c>
      <c r="H1322">
        <v>0</v>
      </c>
      <c r="I1322">
        <f t="shared" si="184"/>
        <v>0</v>
      </c>
      <c r="J1322">
        <f t="shared" si="176"/>
        <v>15.806528568267829</v>
      </c>
      <c r="K1322" t="s">
        <v>2498</v>
      </c>
      <c r="L1322" t="s">
        <v>2499</v>
      </c>
      <c r="M1322" t="s">
        <v>27</v>
      </c>
      <c r="N1322" t="s">
        <v>27</v>
      </c>
      <c r="O1322">
        <v>23.15</v>
      </c>
      <c r="P1322">
        <v>5.6494112014770499</v>
      </c>
      <c r="Q1322">
        <v>8.4472217559814506</v>
      </c>
      <c r="R1322">
        <v>21.700000762939499</v>
      </c>
      <c r="S1322">
        <v>18.799999237060501</v>
      </c>
      <c r="T1322">
        <v>35.331638336181598</v>
      </c>
      <c r="U1322">
        <v>18.2881374359131</v>
      </c>
      <c r="V1322">
        <v>-7333000</v>
      </c>
      <c r="W1322">
        <v>7.3043079376220703</v>
      </c>
      <c r="X1322">
        <v>0.18000000715255701</v>
      </c>
      <c r="Y1322">
        <v>3.8496239185333301</v>
      </c>
      <c r="Z1322">
        <v>7.3593068122863796</v>
      </c>
      <c r="AA1322">
        <v>22971000</v>
      </c>
      <c r="AB1322" t="s">
        <v>328</v>
      </c>
      <c r="AC1322" t="s">
        <v>403</v>
      </c>
      <c r="AD1322">
        <v>0.479999989271164</v>
      </c>
      <c r="AE1322">
        <v>21.380424499511701</v>
      </c>
      <c r="AF1322">
        <v>5.2166128992938496</v>
      </c>
      <c r="AG1322">
        <v>23606000</v>
      </c>
      <c r="AH1322">
        <v>32.707527160644503</v>
      </c>
      <c r="AI1322">
        <v>3.3225669860839799</v>
      </c>
    </row>
    <row r="1323" spans="1:35">
      <c r="A1323">
        <f t="shared" si="177"/>
        <v>1</v>
      </c>
      <c r="B1323">
        <f t="shared" si="178"/>
        <v>0</v>
      </c>
      <c r="C1323">
        <f t="shared" si="179"/>
        <v>1</v>
      </c>
      <c r="D1323">
        <f t="shared" si="180"/>
        <v>1</v>
      </c>
      <c r="E1323">
        <f t="shared" si="181"/>
        <v>0</v>
      </c>
      <c r="F1323">
        <f t="shared" si="182"/>
        <v>1</v>
      </c>
      <c r="G1323">
        <f t="shared" si="183"/>
        <v>0</v>
      </c>
      <c r="H1323">
        <v>0</v>
      </c>
      <c r="I1323">
        <f t="shared" si="184"/>
        <v>0</v>
      </c>
      <c r="J1323">
        <f t="shared" si="176"/>
        <v>15.80291604995727</v>
      </c>
      <c r="K1323" t="s">
        <v>3206</v>
      </c>
      <c r="L1323" t="s">
        <v>3207</v>
      </c>
      <c r="M1323" t="s">
        <v>27</v>
      </c>
      <c r="N1323" t="s">
        <v>27</v>
      </c>
      <c r="O1323">
        <v>11.38</v>
      </c>
      <c r="P1323">
        <v>9.6658048629760707</v>
      </c>
      <c r="Q1323">
        <v>9.8496379852294904</v>
      </c>
      <c r="R1323">
        <v>14.550000190734901</v>
      </c>
      <c r="S1323">
        <v>12</v>
      </c>
      <c r="T1323">
        <v>18.978834152221701</v>
      </c>
      <c r="U1323">
        <v>49.438430786132798</v>
      </c>
      <c r="V1323">
        <v>16724000</v>
      </c>
      <c r="W1323">
        <v>8.5079851150512695</v>
      </c>
      <c r="X1323">
        <v>0.20000000298023199</v>
      </c>
      <c r="Y1323">
        <v>8.9863014221191406</v>
      </c>
      <c r="Z1323">
        <v>5.9532780647277797</v>
      </c>
      <c r="AA1323">
        <v>28950000</v>
      </c>
      <c r="AB1323" t="s">
        <v>194</v>
      </c>
      <c r="AC1323" t="s">
        <v>195</v>
      </c>
      <c r="AD1323">
        <v>0.230000004172325</v>
      </c>
      <c r="AE1323">
        <v>49.046211242675803</v>
      </c>
      <c r="AF1323">
        <v>5.4049744934021904</v>
      </c>
      <c r="AG1323">
        <v>28985000</v>
      </c>
      <c r="AH1323">
        <v>17.578083038330099</v>
      </c>
      <c r="AI1323">
        <v>6.7906618118286097</v>
      </c>
    </row>
    <row r="1324" spans="1:35">
      <c r="A1324">
        <f t="shared" si="177"/>
        <v>1</v>
      </c>
      <c r="B1324">
        <f t="shared" si="178"/>
        <v>0</v>
      </c>
      <c r="C1324">
        <f t="shared" si="179"/>
        <v>0</v>
      </c>
      <c r="D1324">
        <f t="shared" si="180"/>
        <v>1</v>
      </c>
      <c r="E1324">
        <f t="shared" si="181"/>
        <v>0</v>
      </c>
      <c r="F1324">
        <f t="shared" si="182"/>
        <v>1</v>
      </c>
      <c r="G1324">
        <f t="shared" si="183"/>
        <v>0</v>
      </c>
      <c r="H1324">
        <v>0</v>
      </c>
      <c r="I1324">
        <f t="shared" si="184"/>
        <v>0</v>
      </c>
      <c r="J1324">
        <f t="shared" si="176"/>
        <v>15.79796648025512</v>
      </c>
      <c r="K1324" t="s">
        <v>240</v>
      </c>
      <c r="L1324" t="s">
        <v>241</v>
      </c>
      <c r="M1324" t="s">
        <v>27</v>
      </c>
      <c r="N1324" t="s">
        <v>27</v>
      </c>
      <c r="O1324">
        <v>10.6</v>
      </c>
      <c r="P1324">
        <v>4.8611068725585902</v>
      </c>
      <c r="Q1324">
        <v>6.9727511405944798</v>
      </c>
      <c r="R1324">
        <v>13.25</v>
      </c>
      <c r="S1324">
        <v>6.0625</v>
      </c>
      <c r="T1324">
        <v>75.5086669921875</v>
      </c>
      <c r="U1324" t="s">
        <v>27</v>
      </c>
      <c r="V1324">
        <v>-35665000</v>
      </c>
      <c r="W1324">
        <v>6.0198321342468297</v>
      </c>
      <c r="X1324">
        <v>0.17000000178813901</v>
      </c>
      <c r="Y1324">
        <v>10.476189613342299</v>
      </c>
      <c r="Z1324">
        <v>8.8252153396606392</v>
      </c>
      <c r="AA1324">
        <v>8785000</v>
      </c>
      <c r="AB1324" t="s">
        <v>27</v>
      </c>
      <c r="AC1324" t="s">
        <v>27</v>
      </c>
      <c r="AD1324">
        <v>0.490000009536743</v>
      </c>
      <c r="AE1324" t="s">
        <v>27</v>
      </c>
      <c r="AF1324">
        <v>17.971927633820599</v>
      </c>
      <c r="AG1324">
        <v>11713000</v>
      </c>
      <c r="AH1324">
        <v>74.310272216796903</v>
      </c>
      <c r="AI1324">
        <v>4.0019888877868697</v>
      </c>
    </row>
    <row r="1325" spans="1:35">
      <c r="A1325">
        <f t="shared" si="177"/>
        <v>1</v>
      </c>
      <c r="B1325">
        <f t="shared" si="178"/>
        <v>0</v>
      </c>
      <c r="C1325">
        <f t="shared" si="179"/>
        <v>1</v>
      </c>
      <c r="D1325">
        <f t="shared" si="180"/>
        <v>1</v>
      </c>
      <c r="E1325">
        <f t="shared" si="181"/>
        <v>0</v>
      </c>
      <c r="F1325">
        <f t="shared" si="182"/>
        <v>1</v>
      </c>
      <c r="G1325">
        <f t="shared" si="183"/>
        <v>1</v>
      </c>
      <c r="H1325">
        <v>0</v>
      </c>
      <c r="I1325">
        <f t="shared" si="184"/>
        <v>0</v>
      </c>
      <c r="J1325">
        <f t="shared" si="176"/>
        <v>15.78798246383667</v>
      </c>
      <c r="K1325" t="s">
        <v>1526</v>
      </c>
      <c r="L1325" t="s">
        <v>1527</v>
      </c>
      <c r="M1325" t="s">
        <v>27</v>
      </c>
      <c r="N1325" t="s">
        <v>27</v>
      </c>
      <c r="O1325">
        <v>18.010000000000002</v>
      </c>
      <c r="P1325">
        <v>7.9995989799499503</v>
      </c>
      <c r="Q1325">
        <v>9.0672416687011701</v>
      </c>
      <c r="R1325">
        <v>18.549999237060501</v>
      </c>
      <c r="S1325">
        <v>5.875</v>
      </c>
      <c r="T1325">
        <v>59.080322265625</v>
      </c>
      <c r="U1325">
        <v>35.158237457275398</v>
      </c>
      <c r="V1325">
        <v>3939000.25</v>
      </c>
      <c r="W1325">
        <v>4.0460548400878897</v>
      </c>
      <c r="X1325">
        <v>0.230000004172325</v>
      </c>
      <c r="Y1325">
        <v>13.2765960693359</v>
      </c>
      <c r="Z1325">
        <v>6.7207407951354998</v>
      </c>
      <c r="AA1325">
        <v>18113000</v>
      </c>
      <c r="AB1325" t="s">
        <v>27</v>
      </c>
      <c r="AC1325" t="s">
        <v>27</v>
      </c>
      <c r="AD1325">
        <v>0.36000001430511502</v>
      </c>
      <c r="AE1325">
        <v>35.847663879394503</v>
      </c>
      <c r="AF1325">
        <v>6.7206691960577398</v>
      </c>
      <c r="AG1325">
        <v>18152000</v>
      </c>
      <c r="AH1325">
        <v>55.590011596679702</v>
      </c>
      <c r="AI1325">
        <v>3.6168980598449698</v>
      </c>
    </row>
    <row r="1326" spans="1:35">
      <c r="A1326">
        <f t="shared" si="177"/>
        <v>0</v>
      </c>
      <c r="B1326">
        <f t="shared" si="178"/>
        <v>0</v>
      </c>
      <c r="C1326">
        <f t="shared" si="179"/>
        <v>1</v>
      </c>
      <c r="D1326">
        <f t="shared" si="180"/>
        <v>0</v>
      </c>
      <c r="E1326">
        <f t="shared" si="181"/>
        <v>0</v>
      </c>
      <c r="F1326">
        <f t="shared" si="182"/>
        <v>1</v>
      </c>
      <c r="G1326">
        <f t="shared" si="183"/>
        <v>0</v>
      </c>
      <c r="H1326">
        <v>0</v>
      </c>
      <c r="I1326">
        <f t="shared" si="184"/>
        <v>0</v>
      </c>
      <c r="J1326">
        <f t="shared" si="176"/>
        <v>15.78426361083984</v>
      </c>
      <c r="K1326" t="s">
        <v>2288</v>
      </c>
      <c r="L1326" t="s">
        <v>2289</v>
      </c>
      <c r="M1326" t="s">
        <v>27</v>
      </c>
      <c r="N1326" t="s">
        <v>27</v>
      </c>
      <c r="O1326">
        <v>39.65</v>
      </c>
      <c r="P1326">
        <v>11.755165100097701</v>
      </c>
      <c r="Q1326">
        <v>8.8773565292358398</v>
      </c>
      <c r="R1326">
        <v>47.009998321533203</v>
      </c>
      <c r="S1326">
        <v>35.080001831054702</v>
      </c>
      <c r="T1326">
        <v>15.8343152999878</v>
      </c>
      <c r="U1326">
        <v>28.777736663818398</v>
      </c>
      <c r="V1326">
        <v>14616000</v>
      </c>
      <c r="W1326">
        <v>8.1195106506347692</v>
      </c>
      <c r="X1326">
        <v>0.74000000953674305</v>
      </c>
      <c r="Y1326">
        <v>6.8734002113342303</v>
      </c>
      <c r="Z1326">
        <v>6.9069070816040004</v>
      </c>
      <c r="AA1326">
        <v>20273000</v>
      </c>
      <c r="AB1326" t="s">
        <v>52</v>
      </c>
      <c r="AC1326" t="s">
        <v>53</v>
      </c>
      <c r="AD1326">
        <v>0.68999999761581399</v>
      </c>
      <c r="AE1326">
        <v>26.351110458373999</v>
      </c>
      <c r="AF1326">
        <v>5.9004914254019596</v>
      </c>
      <c r="AG1326">
        <v>19575000</v>
      </c>
      <c r="AH1326">
        <v>19.9971218109131</v>
      </c>
      <c r="AI1326">
        <v>6.9100418090820304</v>
      </c>
    </row>
    <row r="1327" spans="1:35">
      <c r="A1327">
        <f t="shared" si="177"/>
        <v>0</v>
      </c>
      <c r="B1327">
        <f t="shared" si="178"/>
        <v>0</v>
      </c>
      <c r="C1327">
        <f t="shared" si="179"/>
        <v>1</v>
      </c>
      <c r="D1327">
        <f t="shared" si="180"/>
        <v>1</v>
      </c>
      <c r="E1327">
        <f t="shared" si="181"/>
        <v>0</v>
      </c>
      <c r="F1327">
        <f t="shared" si="182"/>
        <v>1</v>
      </c>
      <c r="G1327">
        <f t="shared" si="183"/>
        <v>0</v>
      </c>
      <c r="H1327">
        <v>0</v>
      </c>
      <c r="I1327">
        <f t="shared" si="184"/>
        <v>0</v>
      </c>
      <c r="J1327">
        <f t="shared" si="176"/>
        <v>15.779721736907989</v>
      </c>
      <c r="K1327" t="s">
        <v>3320</v>
      </c>
      <c r="L1327" t="s">
        <v>3321</v>
      </c>
      <c r="M1327" t="s">
        <v>27</v>
      </c>
      <c r="N1327" t="s">
        <v>27</v>
      </c>
      <c r="O1327">
        <v>23.48</v>
      </c>
      <c r="P1327">
        <v>10.920946121215801</v>
      </c>
      <c r="Q1327">
        <v>5.5304150581359899</v>
      </c>
      <c r="R1327">
        <v>24.600000381469702</v>
      </c>
      <c r="S1327">
        <v>23.459999084472699</v>
      </c>
      <c r="T1327">
        <v>27.447963714599599</v>
      </c>
      <c r="U1327">
        <v>16.434707641601602</v>
      </c>
      <c r="V1327">
        <v>21216000</v>
      </c>
      <c r="W1327">
        <v>5.4043231010437003</v>
      </c>
      <c r="X1327">
        <v>0.64999997615814198</v>
      </c>
      <c r="Y1327">
        <v>12.062305450439499</v>
      </c>
      <c r="Z1327">
        <v>10.249306678771999</v>
      </c>
      <c r="AA1327">
        <v>9259000</v>
      </c>
      <c r="AB1327" t="s">
        <v>52</v>
      </c>
      <c r="AC1327" t="s">
        <v>53</v>
      </c>
      <c r="AD1327">
        <v>0.75</v>
      </c>
      <c r="AE1327">
        <v>15.235089302063001</v>
      </c>
      <c r="AF1327">
        <v>4.6528228240644998</v>
      </c>
      <c r="AG1327">
        <v>9231000</v>
      </c>
      <c r="AH1327">
        <v>27.47412109375</v>
      </c>
      <c r="AI1327">
        <v>3.61802005767822</v>
      </c>
    </row>
    <row r="1328" spans="1:35">
      <c r="A1328">
        <f t="shared" si="177"/>
        <v>1</v>
      </c>
      <c r="B1328">
        <f t="shared" si="178"/>
        <v>1</v>
      </c>
      <c r="C1328">
        <f t="shared" si="179"/>
        <v>1</v>
      </c>
      <c r="D1328">
        <f t="shared" si="180"/>
        <v>1</v>
      </c>
      <c r="E1328">
        <f t="shared" si="181"/>
        <v>0</v>
      </c>
      <c r="F1328">
        <f t="shared" si="182"/>
        <v>1</v>
      </c>
      <c r="G1328">
        <f t="shared" si="183"/>
        <v>1</v>
      </c>
      <c r="H1328">
        <v>0</v>
      </c>
      <c r="I1328">
        <f t="shared" si="184"/>
        <v>0</v>
      </c>
      <c r="J1328">
        <f t="shared" si="176"/>
        <v>15.762703418731739</v>
      </c>
      <c r="K1328" t="s">
        <v>437</v>
      </c>
      <c r="L1328" t="s">
        <v>438</v>
      </c>
      <c r="M1328" t="s">
        <v>27</v>
      </c>
      <c r="N1328" t="s">
        <v>27</v>
      </c>
      <c r="O1328">
        <v>3.41</v>
      </c>
      <c r="P1328" t="s">
        <v>27</v>
      </c>
      <c r="Q1328">
        <v>10.6369543075562</v>
      </c>
      <c r="R1328">
        <v>8</v>
      </c>
      <c r="S1328">
        <v>19</v>
      </c>
      <c r="T1328">
        <v>70.529914855957003</v>
      </c>
      <c r="U1328">
        <v>24.609552383422901</v>
      </c>
      <c r="V1328">
        <v>27368000</v>
      </c>
      <c r="W1328">
        <v>-5.6880741119384801</v>
      </c>
      <c r="X1328">
        <v>-0.40000000596046398</v>
      </c>
      <c r="Y1328">
        <v>18.111110687255898</v>
      </c>
      <c r="Z1328">
        <v>5.1257491111755398</v>
      </c>
      <c r="AA1328">
        <v>24931000</v>
      </c>
      <c r="AB1328" t="s">
        <v>61</v>
      </c>
      <c r="AC1328" t="s">
        <v>65</v>
      </c>
      <c r="AD1328">
        <v>0.119999997317791</v>
      </c>
      <c r="AE1328">
        <v>38.577625274658203</v>
      </c>
      <c r="AF1328" t="s">
        <v>27</v>
      </c>
      <c r="AG1328">
        <v>28461000</v>
      </c>
      <c r="AH1328">
        <v>65.134750366210895</v>
      </c>
      <c r="AI1328">
        <v>2.23040795326233</v>
      </c>
    </row>
    <row r="1329" spans="1:35">
      <c r="A1329">
        <f t="shared" si="177"/>
        <v>1</v>
      </c>
      <c r="B1329">
        <f t="shared" si="178"/>
        <v>1</v>
      </c>
      <c r="C1329">
        <f t="shared" si="179"/>
        <v>1</v>
      </c>
      <c r="D1329">
        <f t="shared" si="180"/>
        <v>0</v>
      </c>
      <c r="E1329">
        <f t="shared" si="181"/>
        <v>0</v>
      </c>
      <c r="F1329">
        <f t="shared" si="182"/>
        <v>1</v>
      </c>
      <c r="G1329">
        <f t="shared" si="183"/>
        <v>0</v>
      </c>
      <c r="H1329">
        <v>0</v>
      </c>
      <c r="I1329">
        <f t="shared" si="184"/>
        <v>0</v>
      </c>
      <c r="J1329">
        <f t="shared" si="176"/>
        <v>15.75839328765869</v>
      </c>
      <c r="K1329" t="s">
        <v>469</v>
      </c>
      <c r="L1329" t="s">
        <v>470</v>
      </c>
      <c r="M1329" t="s">
        <v>27</v>
      </c>
      <c r="N1329" t="s">
        <v>27</v>
      </c>
      <c r="O1329">
        <v>19.05</v>
      </c>
      <c r="P1329">
        <v>9.2922067642211896</v>
      </c>
      <c r="Q1329">
        <v>8.9039335250854492</v>
      </c>
      <c r="R1329">
        <v>24.100000381469702</v>
      </c>
      <c r="S1329">
        <v>18.4799995422363</v>
      </c>
      <c r="T1329">
        <v>40.328380584716797</v>
      </c>
      <c r="U1329">
        <v>35.168182373046903</v>
      </c>
      <c r="V1329">
        <v>7242000</v>
      </c>
      <c r="W1329">
        <v>6.11899709701538</v>
      </c>
      <c r="X1329">
        <v>0.5</v>
      </c>
      <c r="Y1329">
        <v>8.4897956848144496</v>
      </c>
      <c r="Z1329">
        <v>6.8544597625732404</v>
      </c>
      <c r="AA1329">
        <v>18646000</v>
      </c>
      <c r="AB1329" t="s">
        <v>61</v>
      </c>
      <c r="AC1329" t="s">
        <v>101</v>
      </c>
      <c r="AD1329">
        <v>0.31000000238418601</v>
      </c>
      <c r="AE1329">
        <v>32.880428314208999</v>
      </c>
      <c r="AF1329">
        <v>7.9489830737982397</v>
      </c>
      <c r="AG1329">
        <v>18412260</v>
      </c>
      <c r="AH1329">
        <v>36.782768249511697</v>
      </c>
      <c r="AI1329">
        <v>6.1852741241455096</v>
      </c>
    </row>
    <row r="1330" spans="1:35">
      <c r="A1330">
        <f t="shared" si="177"/>
        <v>0</v>
      </c>
      <c r="B1330">
        <f t="shared" si="178"/>
        <v>1</v>
      </c>
      <c r="C1330">
        <f t="shared" si="179"/>
        <v>0</v>
      </c>
      <c r="D1330">
        <f t="shared" si="180"/>
        <v>0</v>
      </c>
      <c r="E1330">
        <f t="shared" si="181"/>
        <v>0</v>
      </c>
      <c r="F1330">
        <f t="shared" si="182"/>
        <v>1</v>
      </c>
      <c r="G1330">
        <f t="shared" si="183"/>
        <v>0</v>
      </c>
      <c r="H1330">
        <v>0</v>
      </c>
      <c r="I1330">
        <f t="shared" si="184"/>
        <v>0</v>
      </c>
      <c r="J1330">
        <f t="shared" si="176"/>
        <v>15.748741149902351</v>
      </c>
      <c r="K1330" t="s">
        <v>3366</v>
      </c>
      <c r="L1330" t="s">
        <v>3367</v>
      </c>
      <c r="M1330" t="s">
        <v>27</v>
      </c>
      <c r="N1330" t="s">
        <v>27</v>
      </c>
      <c r="O1330">
        <v>18.05</v>
      </c>
      <c r="P1330">
        <v>10.446816444396999</v>
      </c>
      <c r="Q1330">
        <v>8.7011222839355504</v>
      </c>
      <c r="R1330">
        <v>22.180000305175799</v>
      </c>
      <c r="S1330">
        <v>24.2299995422363</v>
      </c>
      <c r="T1330">
        <v>56.544410705566399</v>
      </c>
      <c r="U1330" t="s">
        <v>27</v>
      </c>
      <c r="V1330">
        <v>-7472998</v>
      </c>
      <c r="W1330">
        <v>3.7867169380188002</v>
      </c>
      <c r="X1330">
        <v>0.97000002861022905</v>
      </c>
      <c r="Y1330">
        <v>9.7409334182739293</v>
      </c>
      <c r="Z1330">
        <v>7.0476188659668004</v>
      </c>
      <c r="AA1330">
        <v>26354000</v>
      </c>
      <c r="AB1330" t="s">
        <v>27</v>
      </c>
      <c r="AC1330" t="s">
        <v>27</v>
      </c>
      <c r="AD1330">
        <v>0.37999999523162797</v>
      </c>
      <c r="AE1330" t="s">
        <v>27</v>
      </c>
      <c r="AF1330">
        <v>15.347340020453</v>
      </c>
      <c r="AG1330">
        <v>26987000</v>
      </c>
      <c r="AH1330">
        <v>57.447505950927699</v>
      </c>
      <c r="AI1330">
        <v>4.9949088096618697</v>
      </c>
    </row>
    <row r="1331" spans="1:35">
      <c r="A1331">
        <f t="shared" si="177"/>
        <v>1</v>
      </c>
      <c r="B1331">
        <f t="shared" si="178"/>
        <v>0</v>
      </c>
      <c r="C1331">
        <f t="shared" si="179"/>
        <v>1</v>
      </c>
      <c r="D1331">
        <f t="shared" si="180"/>
        <v>1</v>
      </c>
      <c r="E1331">
        <f t="shared" si="181"/>
        <v>0</v>
      </c>
      <c r="F1331">
        <f t="shared" si="182"/>
        <v>1</v>
      </c>
      <c r="G1331">
        <f t="shared" si="183"/>
        <v>0</v>
      </c>
      <c r="H1331">
        <v>0</v>
      </c>
      <c r="I1331">
        <f t="shared" si="184"/>
        <v>1</v>
      </c>
      <c r="J1331">
        <f t="shared" si="176"/>
        <v>15.729078769683841</v>
      </c>
      <c r="K1331" t="s">
        <v>1564</v>
      </c>
      <c r="L1331" t="s">
        <v>1565</v>
      </c>
      <c r="M1331" t="s">
        <v>27</v>
      </c>
      <c r="N1331" t="s">
        <v>27</v>
      </c>
      <c r="O1331">
        <v>38.979999999999997</v>
      </c>
      <c r="P1331">
        <v>5.2399449348449698</v>
      </c>
      <c r="Q1331">
        <v>5.9969029426574698</v>
      </c>
      <c r="R1331">
        <v>29</v>
      </c>
      <c r="S1331">
        <v>18.25</v>
      </c>
      <c r="T1331">
        <v>26.955486297607401</v>
      </c>
      <c r="U1331" t="s">
        <v>27</v>
      </c>
      <c r="V1331">
        <v>783000</v>
      </c>
      <c r="W1331">
        <v>1.55429804325104</v>
      </c>
      <c r="X1331">
        <v>0.56000000238418601</v>
      </c>
      <c r="Y1331">
        <v>13.168724060058601</v>
      </c>
      <c r="Z1331">
        <v>9.7321758270263707</v>
      </c>
      <c r="AA1331">
        <v>7038000</v>
      </c>
      <c r="AB1331" t="s">
        <v>34</v>
      </c>
      <c r="AC1331" t="s">
        <v>35</v>
      </c>
      <c r="AD1331">
        <v>0.69999998807907104</v>
      </c>
      <c r="AE1331" t="s">
        <v>27</v>
      </c>
      <c r="AF1331" t="s">
        <v>27</v>
      </c>
      <c r="AG1331">
        <v>6866000</v>
      </c>
      <c r="AH1331">
        <v>23.149253845214801</v>
      </c>
      <c r="AI1331">
        <v>1.47762703895569</v>
      </c>
    </row>
    <row r="1332" spans="1:35">
      <c r="A1332">
        <f t="shared" si="177"/>
        <v>1</v>
      </c>
      <c r="B1332">
        <f t="shared" si="178"/>
        <v>1</v>
      </c>
      <c r="C1332">
        <f t="shared" si="179"/>
        <v>1</v>
      </c>
      <c r="D1332">
        <f t="shared" si="180"/>
        <v>0</v>
      </c>
      <c r="E1332">
        <f t="shared" si="181"/>
        <v>0</v>
      </c>
      <c r="F1332">
        <f t="shared" si="182"/>
        <v>1</v>
      </c>
      <c r="G1332">
        <f t="shared" si="183"/>
        <v>0</v>
      </c>
      <c r="H1332">
        <v>0</v>
      </c>
      <c r="I1332">
        <f t="shared" si="184"/>
        <v>1</v>
      </c>
      <c r="J1332">
        <f t="shared" si="176"/>
        <v>15.724050998687741</v>
      </c>
      <c r="K1332" t="s">
        <v>3781</v>
      </c>
      <c r="L1332" t="s">
        <v>3782</v>
      </c>
      <c r="M1332" t="s">
        <v>27</v>
      </c>
      <c r="N1332" t="s">
        <v>27</v>
      </c>
      <c r="O1332">
        <v>26.64</v>
      </c>
      <c r="P1332">
        <v>5.6209077835082999</v>
      </c>
      <c r="Q1332">
        <v>6.9498581886291504</v>
      </c>
      <c r="R1332">
        <v>19.75</v>
      </c>
      <c r="S1332">
        <v>18.5</v>
      </c>
      <c r="T1332">
        <v>29.070543289184599</v>
      </c>
      <c r="U1332">
        <v>27.705926895141602</v>
      </c>
      <c r="V1332">
        <v>30420002</v>
      </c>
      <c r="W1332">
        <v>1.7759939432144201</v>
      </c>
      <c r="X1332">
        <v>0.40999999642372098</v>
      </c>
      <c r="Y1332">
        <v>9.4482755661010707</v>
      </c>
      <c r="Z1332">
        <v>8.7741928100585902</v>
      </c>
      <c r="AA1332">
        <v>40259000</v>
      </c>
      <c r="AB1332" t="s">
        <v>27</v>
      </c>
      <c r="AC1332" t="s">
        <v>27</v>
      </c>
      <c r="AD1332">
        <v>-3.2200000286102299</v>
      </c>
      <c r="AE1332">
        <v>25.726375579833999</v>
      </c>
      <c r="AF1332">
        <v>7.5049955136544799</v>
      </c>
      <c r="AG1332">
        <v>40787000</v>
      </c>
      <c r="AH1332">
        <v>23.141288757324201</v>
      </c>
      <c r="AI1332">
        <v>4.4036898612976101</v>
      </c>
    </row>
    <row r="1333" spans="1:35">
      <c r="A1333">
        <f t="shared" si="177"/>
        <v>1</v>
      </c>
      <c r="B1333">
        <f t="shared" si="178"/>
        <v>0</v>
      </c>
      <c r="C1333">
        <f t="shared" si="179"/>
        <v>1</v>
      </c>
      <c r="D1333">
        <f t="shared" si="180"/>
        <v>0</v>
      </c>
      <c r="E1333">
        <f t="shared" si="181"/>
        <v>0</v>
      </c>
      <c r="F1333">
        <f t="shared" si="182"/>
        <v>1</v>
      </c>
      <c r="G1333">
        <f t="shared" si="183"/>
        <v>1</v>
      </c>
      <c r="H1333">
        <v>0</v>
      </c>
      <c r="I1333">
        <f t="shared" si="184"/>
        <v>1</v>
      </c>
      <c r="J1333">
        <f t="shared" si="176"/>
        <v>15.7237606048584</v>
      </c>
      <c r="K1333" t="s">
        <v>3581</v>
      </c>
      <c r="L1333" t="s">
        <v>3582</v>
      </c>
      <c r="M1333" t="s">
        <v>27</v>
      </c>
      <c r="N1333" t="s">
        <v>27</v>
      </c>
      <c r="O1333">
        <v>6.42</v>
      </c>
      <c r="P1333">
        <v>8.6197795867919904</v>
      </c>
      <c r="Q1333">
        <v>8.2002496719360405</v>
      </c>
      <c r="R1333">
        <v>4.8899998664856001</v>
      </c>
      <c r="S1333">
        <v>5.9499998092651403</v>
      </c>
      <c r="T1333">
        <v>8.3086166381835902</v>
      </c>
      <c r="U1333">
        <v>29.6839504241943</v>
      </c>
      <c r="V1333">
        <v>8086000</v>
      </c>
      <c r="W1333">
        <v>15.1524982452393</v>
      </c>
      <c r="X1333">
        <v>0.18999999761581399</v>
      </c>
      <c r="Y1333">
        <v>5.9701490402221697</v>
      </c>
      <c r="Z1333">
        <v>7.5235109329223597</v>
      </c>
      <c r="AA1333">
        <v>41871000</v>
      </c>
      <c r="AB1333" t="s">
        <v>61</v>
      </c>
      <c r="AC1333" t="s">
        <v>80</v>
      </c>
      <c r="AD1333">
        <v>0.18999999761581399</v>
      </c>
      <c r="AE1333">
        <v>30.623865127563501</v>
      </c>
      <c r="AF1333">
        <v>8.6541026103286391</v>
      </c>
      <c r="AG1333">
        <v>40493000</v>
      </c>
      <c r="AH1333">
        <v>3.28301906585693</v>
      </c>
      <c r="AI1333">
        <v>5.2955479621887198</v>
      </c>
    </row>
    <row r="1334" spans="1:35">
      <c r="A1334">
        <f t="shared" si="177"/>
        <v>0</v>
      </c>
      <c r="B1334">
        <f t="shared" si="178"/>
        <v>0</v>
      </c>
      <c r="C1334">
        <f t="shared" si="179"/>
        <v>0</v>
      </c>
      <c r="D1334">
        <f t="shared" si="180"/>
        <v>1</v>
      </c>
      <c r="E1334">
        <f t="shared" si="181"/>
        <v>0</v>
      </c>
      <c r="F1334">
        <f t="shared" si="182"/>
        <v>1</v>
      </c>
      <c r="G1334">
        <f t="shared" si="183"/>
        <v>0</v>
      </c>
      <c r="H1334">
        <v>0</v>
      </c>
      <c r="I1334">
        <f t="shared" si="184"/>
        <v>1</v>
      </c>
      <c r="J1334">
        <f t="shared" si="176"/>
        <v>15.71534013748167</v>
      </c>
      <c r="K1334" t="s">
        <v>1394</v>
      </c>
      <c r="L1334" t="s">
        <v>1395</v>
      </c>
      <c r="M1334" t="s">
        <v>27</v>
      </c>
      <c r="N1334" t="s">
        <v>27</v>
      </c>
      <c r="O1334">
        <v>23.08</v>
      </c>
      <c r="P1334">
        <v>2.4274249076843302</v>
      </c>
      <c r="Q1334">
        <v>3.5364069938659699</v>
      </c>
      <c r="R1334">
        <v>13.146666208903</v>
      </c>
      <c r="S1334">
        <v>9.6666666666666696</v>
      </c>
      <c r="T1334">
        <v>32.042289733886697</v>
      </c>
      <c r="U1334" t="s">
        <v>27</v>
      </c>
      <c r="V1334">
        <v>-352204992</v>
      </c>
      <c r="W1334">
        <v>1.0445480346679701</v>
      </c>
      <c r="X1334">
        <v>0.33999999364217098</v>
      </c>
      <c r="Y1334">
        <v>19.183673858642599</v>
      </c>
      <c r="Z1334">
        <v>12.1789331436157</v>
      </c>
      <c r="AA1334">
        <v>26743500</v>
      </c>
      <c r="AB1334" t="s">
        <v>34</v>
      </c>
      <c r="AC1334" t="s">
        <v>458</v>
      </c>
      <c r="AD1334">
        <v>0.88666669527689601</v>
      </c>
      <c r="AE1334" t="s">
        <v>27</v>
      </c>
      <c r="AF1334" t="s">
        <v>27</v>
      </c>
      <c r="AG1334">
        <v>28224000</v>
      </c>
      <c r="AH1334">
        <v>34.070724487304702</v>
      </c>
      <c r="AI1334">
        <v>0.57447099685668901</v>
      </c>
    </row>
    <row r="1335" spans="1:35">
      <c r="A1335">
        <f t="shared" si="177"/>
        <v>1</v>
      </c>
      <c r="B1335">
        <f t="shared" si="178"/>
        <v>0</v>
      </c>
      <c r="C1335">
        <f t="shared" si="179"/>
        <v>1</v>
      </c>
      <c r="D1335">
        <f t="shared" si="180"/>
        <v>0</v>
      </c>
      <c r="E1335">
        <f t="shared" si="181"/>
        <v>0</v>
      </c>
      <c r="F1335">
        <f t="shared" si="182"/>
        <v>1</v>
      </c>
      <c r="G1335">
        <f t="shared" si="183"/>
        <v>0</v>
      </c>
      <c r="H1335">
        <v>0</v>
      </c>
      <c r="I1335">
        <f t="shared" si="184"/>
        <v>0</v>
      </c>
      <c r="J1335">
        <f t="shared" si="176"/>
        <v>15.707027912139891</v>
      </c>
      <c r="K1335" t="s">
        <v>972</v>
      </c>
      <c r="L1335" t="s">
        <v>973</v>
      </c>
      <c r="M1335" t="s">
        <v>27</v>
      </c>
      <c r="N1335" t="s">
        <v>27</v>
      </c>
      <c r="O1335">
        <v>5.14</v>
      </c>
      <c r="P1335">
        <v>13.0962219238281</v>
      </c>
      <c r="Q1335">
        <v>9.2589397430419904</v>
      </c>
      <c r="R1335">
        <v>11.8500003814697</v>
      </c>
      <c r="S1335">
        <v>12.449999809265099</v>
      </c>
      <c r="T1335">
        <v>17.361108779907202</v>
      </c>
      <c r="U1335">
        <v>26.412275314331101</v>
      </c>
      <c r="V1335">
        <v>9721000</v>
      </c>
      <c r="W1335">
        <v>8.6551589965820295</v>
      </c>
      <c r="X1335">
        <v>0.20000000298023199</v>
      </c>
      <c r="Y1335">
        <v>8.1904764175415004</v>
      </c>
      <c r="Z1335">
        <v>6.4480881690979004</v>
      </c>
      <c r="AA1335">
        <v>48471000</v>
      </c>
      <c r="AB1335" t="s">
        <v>34</v>
      </c>
      <c r="AC1335" t="s">
        <v>447</v>
      </c>
      <c r="AD1335">
        <v>0.140000000596046</v>
      </c>
      <c r="AE1335">
        <v>25.203403472900401</v>
      </c>
      <c r="AF1335">
        <v>5.5111603260869604</v>
      </c>
      <c r="AG1335">
        <v>48540000</v>
      </c>
      <c r="AH1335">
        <v>16.504539489746101</v>
      </c>
      <c r="AI1335">
        <v>5.4372739791870099</v>
      </c>
    </row>
    <row r="1336" spans="1:35">
      <c r="A1336">
        <f t="shared" si="177"/>
        <v>0</v>
      </c>
      <c r="B1336">
        <f t="shared" si="178"/>
        <v>0</v>
      </c>
      <c r="C1336">
        <f t="shared" si="179"/>
        <v>1</v>
      </c>
      <c r="D1336">
        <f t="shared" si="180"/>
        <v>0</v>
      </c>
      <c r="E1336">
        <f t="shared" si="181"/>
        <v>0</v>
      </c>
      <c r="F1336">
        <f t="shared" si="182"/>
        <v>1</v>
      </c>
      <c r="G1336">
        <f t="shared" si="183"/>
        <v>0</v>
      </c>
      <c r="H1336">
        <v>0</v>
      </c>
      <c r="I1336">
        <f t="shared" si="184"/>
        <v>0</v>
      </c>
      <c r="J1336">
        <f t="shared" si="176"/>
        <v>15.674807071685839</v>
      </c>
      <c r="K1336" t="s">
        <v>3460</v>
      </c>
      <c r="L1336" t="s">
        <v>3461</v>
      </c>
      <c r="M1336" t="s">
        <v>27</v>
      </c>
      <c r="N1336" t="s">
        <v>27</v>
      </c>
      <c r="O1336">
        <v>12.55</v>
      </c>
      <c r="P1336" t="s">
        <v>27</v>
      </c>
      <c r="Q1336">
        <v>10.533740997314499</v>
      </c>
      <c r="R1336">
        <v>15.5</v>
      </c>
      <c r="S1336">
        <v>19</v>
      </c>
      <c r="T1336">
        <v>2.04371309280396</v>
      </c>
      <c r="U1336">
        <v>27.697668075561499</v>
      </c>
      <c r="V1336">
        <v>7700000</v>
      </c>
      <c r="W1336">
        <v>17.369726181030298</v>
      </c>
      <c r="X1336">
        <v>0.33000001311302202</v>
      </c>
      <c r="Y1336" t="s">
        <v>27</v>
      </c>
      <c r="Z1336">
        <v>5.1410660743713397</v>
      </c>
      <c r="AA1336">
        <v>31558000</v>
      </c>
      <c r="AB1336" t="s">
        <v>61</v>
      </c>
      <c r="AC1336" t="s">
        <v>65</v>
      </c>
      <c r="AD1336">
        <v>0.18000000715255701</v>
      </c>
      <c r="AE1336">
        <v>23.976291656494102</v>
      </c>
      <c r="AF1336">
        <v>6.42577160826424</v>
      </c>
      <c r="AG1336">
        <v>31830000</v>
      </c>
      <c r="AH1336">
        <v>8.7975730895996094</v>
      </c>
      <c r="AI1336">
        <v>9.7245216369628906</v>
      </c>
    </row>
    <row r="1337" spans="1:35">
      <c r="A1337">
        <f t="shared" si="177"/>
        <v>1</v>
      </c>
      <c r="B1337">
        <f t="shared" si="178"/>
        <v>0</v>
      </c>
      <c r="C1337">
        <f t="shared" si="179"/>
        <v>1</v>
      </c>
      <c r="D1337">
        <f t="shared" si="180"/>
        <v>1</v>
      </c>
      <c r="E1337">
        <f t="shared" si="181"/>
        <v>0</v>
      </c>
      <c r="F1337">
        <f t="shared" si="182"/>
        <v>1</v>
      </c>
      <c r="G1337">
        <f t="shared" si="183"/>
        <v>1</v>
      </c>
      <c r="H1337">
        <v>0</v>
      </c>
      <c r="I1337">
        <f t="shared" si="184"/>
        <v>1</v>
      </c>
      <c r="J1337">
        <f t="shared" si="176"/>
        <v>15.671289205551121</v>
      </c>
      <c r="K1337" t="s">
        <v>1453</v>
      </c>
      <c r="L1337" t="s">
        <v>1454</v>
      </c>
      <c r="M1337" t="s">
        <v>27</v>
      </c>
      <c r="N1337" t="s">
        <v>27</v>
      </c>
      <c r="O1337">
        <v>41.15</v>
      </c>
      <c r="P1337">
        <v>11.3858757019043</v>
      </c>
      <c r="Q1337">
        <v>12.2189083099365</v>
      </c>
      <c r="R1337">
        <v>29.940000534057599</v>
      </c>
      <c r="S1337">
        <v>7.3599999745686802</v>
      </c>
      <c r="T1337">
        <v>55.162040710449197</v>
      </c>
      <c r="U1337">
        <v>48.698909759521499</v>
      </c>
      <c r="V1337">
        <v>4079999.75</v>
      </c>
      <c r="W1337">
        <v>3.6466939449310298</v>
      </c>
      <c r="X1337">
        <v>0.146666665871938</v>
      </c>
      <c r="Y1337">
        <v>11.8095235824585</v>
      </c>
      <c r="Z1337">
        <v>3.45238089561462</v>
      </c>
      <c r="AA1337">
        <v>9811500</v>
      </c>
      <c r="AB1337" t="s">
        <v>61</v>
      </c>
      <c r="AC1337" t="s">
        <v>80</v>
      </c>
      <c r="AD1337">
        <v>0.18999999761581399</v>
      </c>
      <c r="AE1337">
        <v>49.080387115478501</v>
      </c>
      <c r="AF1337">
        <v>20.672069981962</v>
      </c>
      <c r="AG1337">
        <v>19224000</v>
      </c>
      <c r="AH1337">
        <v>22.229833602905298</v>
      </c>
      <c r="AI1337">
        <v>2.2228689193725599</v>
      </c>
    </row>
    <row r="1338" spans="1:35">
      <c r="A1338">
        <f t="shared" si="177"/>
        <v>0</v>
      </c>
      <c r="B1338">
        <f t="shared" si="178"/>
        <v>1</v>
      </c>
      <c r="C1338">
        <f t="shared" si="179"/>
        <v>0</v>
      </c>
      <c r="D1338">
        <f t="shared" si="180"/>
        <v>0</v>
      </c>
      <c r="E1338">
        <f t="shared" si="181"/>
        <v>0</v>
      </c>
      <c r="F1338">
        <f t="shared" si="182"/>
        <v>1</v>
      </c>
      <c r="G1338">
        <f t="shared" si="183"/>
        <v>0</v>
      </c>
      <c r="H1338">
        <v>0</v>
      </c>
      <c r="I1338">
        <f t="shared" si="184"/>
        <v>0</v>
      </c>
      <c r="J1338">
        <f t="shared" si="176"/>
        <v>15.628859996795651</v>
      </c>
      <c r="K1338" t="s">
        <v>3825</v>
      </c>
      <c r="L1338" t="s">
        <v>3826</v>
      </c>
      <c r="M1338" t="s">
        <v>27</v>
      </c>
      <c r="N1338" t="s">
        <v>27</v>
      </c>
      <c r="O1338">
        <v>4.22</v>
      </c>
      <c r="P1338">
        <v>14.119380950927701</v>
      </c>
      <c r="Q1338">
        <v>7.7259469032287598</v>
      </c>
      <c r="R1338">
        <v>4.4699997901916504</v>
      </c>
      <c r="S1338">
        <v>9.5</v>
      </c>
      <c r="T1338">
        <v>40.211925506591797</v>
      </c>
      <c r="U1338">
        <v>18.158674240112301</v>
      </c>
      <c r="V1338">
        <v>-77084000</v>
      </c>
      <c r="W1338">
        <v>2.4895479679107702</v>
      </c>
      <c r="X1338">
        <v>0.31999999284744302</v>
      </c>
      <c r="Y1338">
        <v>11.375</v>
      </c>
      <c r="Z1338">
        <v>7.9029130935668901</v>
      </c>
      <c r="AA1338">
        <v>44704000</v>
      </c>
      <c r="AB1338" t="s">
        <v>61</v>
      </c>
      <c r="AC1338" t="s">
        <v>315</v>
      </c>
      <c r="AD1338">
        <v>0.109999999403954</v>
      </c>
      <c r="AE1338">
        <v>17.582496643066399</v>
      </c>
      <c r="AF1338">
        <v>6.1643984700080097</v>
      </c>
      <c r="AG1338">
        <v>44871000</v>
      </c>
      <c r="AH1338">
        <v>42.414546966552699</v>
      </c>
      <c r="AI1338">
        <v>3.0414409637451199</v>
      </c>
    </row>
    <row r="1339" spans="1:35">
      <c r="A1339">
        <f t="shared" si="177"/>
        <v>0</v>
      </c>
      <c r="B1339">
        <f t="shared" si="178"/>
        <v>1</v>
      </c>
      <c r="C1339">
        <f t="shared" si="179"/>
        <v>0</v>
      </c>
      <c r="D1339">
        <f t="shared" si="180"/>
        <v>0</v>
      </c>
      <c r="E1339">
        <f t="shared" si="181"/>
        <v>0</v>
      </c>
      <c r="F1339">
        <f t="shared" si="182"/>
        <v>1</v>
      </c>
      <c r="G1339">
        <f t="shared" si="183"/>
        <v>0</v>
      </c>
      <c r="H1339">
        <v>0</v>
      </c>
      <c r="I1339">
        <f t="shared" si="184"/>
        <v>1</v>
      </c>
      <c r="J1339">
        <f t="shared" si="176"/>
        <v>15.62454462051392</v>
      </c>
      <c r="K1339" t="s">
        <v>1034</v>
      </c>
      <c r="L1339" t="s">
        <v>1035</v>
      </c>
      <c r="M1339" t="s">
        <v>27</v>
      </c>
      <c r="N1339" t="s">
        <v>27</v>
      </c>
      <c r="O1339">
        <v>15.24</v>
      </c>
      <c r="P1339" t="s">
        <v>27</v>
      </c>
      <c r="Q1339">
        <v>10.6810417175293</v>
      </c>
      <c r="R1339">
        <v>6.5500001907348597</v>
      </c>
      <c r="S1339">
        <v>7.75</v>
      </c>
      <c r="T1339">
        <v>24.058008193969702</v>
      </c>
      <c r="U1339">
        <v>30.4126873016357</v>
      </c>
      <c r="V1339">
        <v>-120000.125</v>
      </c>
      <c r="W1339">
        <v>9.2189645767211896</v>
      </c>
      <c r="X1339">
        <v>0.18999999761581399</v>
      </c>
      <c r="Y1339" t="s">
        <v>27</v>
      </c>
      <c r="Z1339">
        <v>4.94350290298462</v>
      </c>
      <c r="AA1339">
        <v>17844000</v>
      </c>
      <c r="AB1339" t="s">
        <v>38</v>
      </c>
      <c r="AC1339" t="s">
        <v>146</v>
      </c>
      <c r="AD1339">
        <v>0.109999999403954</v>
      </c>
      <c r="AE1339">
        <v>30.258344650268601</v>
      </c>
      <c r="AF1339">
        <v>13.863095146965</v>
      </c>
      <c r="AG1339">
        <v>18134000</v>
      </c>
      <c r="AH1339">
        <v>25.579143524169901</v>
      </c>
      <c r="AI1339">
        <v>10.681278228759799</v>
      </c>
    </row>
    <row r="1340" spans="1:35">
      <c r="A1340">
        <f t="shared" si="177"/>
        <v>1</v>
      </c>
      <c r="B1340">
        <f t="shared" si="178"/>
        <v>0</v>
      </c>
      <c r="C1340">
        <f t="shared" si="179"/>
        <v>0</v>
      </c>
      <c r="D1340">
        <f t="shared" si="180"/>
        <v>1</v>
      </c>
      <c r="E1340">
        <f t="shared" si="181"/>
        <v>0</v>
      </c>
      <c r="F1340">
        <f t="shared" si="182"/>
        <v>1</v>
      </c>
      <c r="G1340">
        <f t="shared" si="183"/>
        <v>1</v>
      </c>
      <c r="H1340">
        <v>0</v>
      </c>
      <c r="I1340">
        <f t="shared" si="184"/>
        <v>0</v>
      </c>
      <c r="J1340">
        <f t="shared" si="176"/>
        <v>15.601446151733391</v>
      </c>
      <c r="K1340" t="s">
        <v>2192</v>
      </c>
      <c r="L1340" t="s">
        <v>2193</v>
      </c>
      <c r="M1340" t="s">
        <v>27</v>
      </c>
      <c r="N1340" t="s">
        <v>27</v>
      </c>
      <c r="O1340">
        <v>2.62</v>
      </c>
      <c r="P1340">
        <v>7.61639308929443</v>
      </c>
      <c r="Q1340">
        <v>7.6560711860656703</v>
      </c>
      <c r="R1340">
        <v>20.309999465942401</v>
      </c>
      <c r="S1340">
        <v>18.875</v>
      </c>
      <c r="T1340">
        <v>38.678653717041001</v>
      </c>
      <c r="U1340">
        <v>23.552555084228501</v>
      </c>
      <c r="V1340">
        <v>-30791000</v>
      </c>
      <c r="W1340">
        <v>3.7045969963073699</v>
      </c>
      <c r="X1340">
        <v>0.28999999165535001</v>
      </c>
      <c r="Y1340">
        <v>3.36059498786926</v>
      </c>
      <c r="Z1340">
        <v>7.9453749656677202</v>
      </c>
      <c r="AA1340">
        <v>12469000</v>
      </c>
      <c r="AB1340" t="s">
        <v>27</v>
      </c>
      <c r="AC1340" t="s">
        <v>27</v>
      </c>
      <c r="AD1340">
        <v>0.31999999284744302</v>
      </c>
      <c r="AE1340">
        <v>33.867080688476598</v>
      </c>
      <c r="AF1340">
        <v>3.5994318380693202</v>
      </c>
      <c r="AG1340">
        <v>17387000</v>
      </c>
      <c r="AH1340">
        <v>35.0001831054688</v>
      </c>
      <c r="AI1340">
        <v>3.6741590499877899</v>
      </c>
    </row>
    <row r="1341" spans="1:35">
      <c r="A1341">
        <f t="shared" si="177"/>
        <v>0</v>
      </c>
      <c r="B1341">
        <f t="shared" si="178"/>
        <v>0</v>
      </c>
      <c r="C1341">
        <f t="shared" si="179"/>
        <v>1</v>
      </c>
      <c r="D1341">
        <f t="shared" si="180"/>
        <v>1</v>
      </c>
      <c r="E1341">
        <f t="shared" si="181"/>
        <v>0</v>
      </c>
      <c r="F1341">
        <f t="shared" si="182"/>
        <v>1</v>
      </c>
      <c r="G1341">
        <f t="shared" si="183"/>
        <v>0</v>
      </c>
      <c r="H1341">
        <v>0</v>
      </c>
      <c r="I1341">
        <f t="shared" si="184"/>
        <v>1</v>
      </c>
      <c r="J1341">
        <f t="shared" si="176"/>
        <v>15.576845884323109</v>
      </c>
      <c r="K1341" t="s">
        <v>2660</v>
      </c>
      <c r="L1341" t="s">
        <v>2661</v>
      </c>
      <c r="M1341" t="s">
        <v>27</v>
      </c>
      <c r="N1341" t="s">
        <v>27</v>
      </c>
      <c r="O1341">
        <v>30.8</v>
      </c>
      <c r="P1341" t="s">
        <v>27</v>
      </c>
      <c r="Q1341">
        <v>12.9360008239746</v>
      </c>
      <c r="R1341">
        <v>26.350000381469702</v>
      </c>
      <c r="S1341">
        <v>10.625</v>
      </c>
      <c r="T1341">
        <v>0</v>
      </c>
      <c r="U1341">
        <v>47.233680725097699</v>
      </c>
      <c r="V1341">
        <v>4552000</v>
      </c>
      <c r="W1341">
        <v>26.434814453125</v>
      </c>
      <c r="X1341">
        <v>0.10000000149011599</v>
      </c>
      <c r="Y1341" t="s">
        <v>27</v>
      </c>
      <c r="Z1341">
        <v>2.6408450603485099</v>
      </c>
      <c r="AA1341">
        <v>22288000</v>
      </c>
      <c r="AB1341" t="s">
        <v>27</v>
      </c>
      <c r="AC1341" t="s">
        <v>27</v>
      </c>
      <c r="AD1341">
        <v>0.140000000596046</v>
      </c>
      <c r="AE1341">
        <v>44.8340454101563</v>
      </c>
      <c r="AF1341">
        <v>24.455135418945499</v>
      </c>
      <c r="AG1341">
        <v>25893000</v>
      </c>
      <c r="AH1341">
        <v>0</v>
      </c>
      <c r="AI1341">
        <v>16.951047897338899</v>
      </c>
    </row>
    <row r="1342" spans="1:35">
      <c r="A1342">
        <f t="shared" si="177"/>
        <v>1</v>
      </c>
      <c r="B1342">
        <f t="shared" si="178"/>
        <v>1</v>
      </c>
      <c r="C1342">
        <f t="shared" si="179"/>
        <v>1</v>
      </c>
      <c r="D1342">
        <f t="shared" si="180"/>
        <v>0</v>
      </c>
      <c r="E1342">
        <f t="shared" si="181"/>
        <v>0</v>
      </c>
      <c r="F1342">
        <f t="shared" si="182"/>
        <v>1</v>
      </c>
      <c r="G1342">
        <f t="shared" si="183"/>
        <v>0</v>
      </c>
      <c r="H1342">
        <v>0</v>
      </c>
      <c r="I1342">
        <f t="shared" si="184"/>
        <v>0</v>
      </c>
      <c r="J1342">
        <f t="shared" si="176"/>
        <v>15.56926822662353</v>
      </c>
      <c r="K1342" t="s">
        <v>1360</v>
      </c>
      <c r="L1342" t="s">
        <v>1361</v>
      </c>
      <c r="M1342" t="s">
        <v>27</v>
      </c>
      <c r="N1342" t="s">
        <v>27</v>
      </c>
      <c r="O1342">
        <v>15.49</v>
      </c>
      <c r="P1342">
        <v>7.2896289825439498</v>
      </c>
      <c r="Q1342">
        <v>8.57531642913818</v>
      </c>
      <c r="R1342">
        <v>16.799999237060501</v>
      </c>
      <c r="S1342">
        <v>16.1904761904762</v>
      </c>
      <c r="T1342">
        <v>12.10546875</v>
      </c>
      <c r="U1342" t="s">
        <v>27</v>
      </c>
      <c r="V1342">
        <v>20816000</v>
      </c>
      <c r="W1342">
        <v>1.34561395645142</v>
      </c>
      <c r="X1342">
        <v>0.314285726774306</v>
      </c>
      <c r="Y1342">
        <v>7.84126996994019</v>
      </c>
      <c r="Z1342">
        <v>6.9939517974853498</v>
      </c>
      <c r="AA1342">
        <v>48588750</v>
      </c>
      <c r="AB1342" t="s">
        <v>34</v>
      </c>
      <c r="AC1342" t="s">
        <v>35</v>
      </c>
      <c r="AD1342">
        <v>0.259999990463257</v>
      </c>
      <c r="AE1342" t="s">
        <v>27</v>
      </c>
      <c r="AF1342" t="s">
        <v>27</v>
      </c>
      <c r="AG1342">
        <v>46996000</v>
      </c>
      <c r="AH1342">
        <v>8.5287332534790004</v>
      </c>
      <c r="AI1342">
        <v>1.4789910316467301</v>
      </c>
    </row>
    <row r="1343" spans="1:35">
      <c r="A1343">
        <f t="shared" si="177"/>
        <v>1</v>
      </c>
      <c r="B1343">
        <f t="shared" si="178"/>
        <v>1</v>
      </c>
      <c r="C1343">
        <f t="shared" si="179"/>
        <v>1</v>
      </c>
      <c r="D1343">
        <f t="shared" si="180"/>
        <v>0</v>
      </c>
      <c r="E1343">
        <f t="shared" si="181"/>
        <v>0</v>
      </c>
      <c r="F1343">
        <f t="shared" si="182"/>
        <v>1</v>
      </c>
      <c r="G1343">
        <f t="shared" si="183"/>
        <v>0</v>
      </c>
      <c r="H1343">
        <v>0</v>
      </c>
      <c r="I1343">
        <f t="shared" si="184"/>
        <v>0</v>
      </c>
      <c r="J1343">
        <f t="shared" si="176"/>
        <v>15.55495548248291</v>
      </c>
      <c r="K1343" t="s">
        <v>3174</v>
      </c>
      <c r="L1343" t="s">
        <v>3175</v>
      </c>
      <c r="M1343" t="s">
        <v>27</v>
      </c>
      <c r="N1343" t="s">
        <v>27</v>
      </c>
      <c r="O1343">
        <v>22.61</v>
      </c>
      <c r="P1343">
        <v>40.3703002929688</v>
      </c>
      <c r="Q1343">
        <v>9.44036769866943</v>
      </c>
      <c r="R1343">
        <v>27.350000381469702</v>
      </c>
      <c r="S1343">
        <v>30.875</v>
      </c>
      <c r="T1343">
        <v>0.42083498835563699</v>
      </c>
      <c r="U1343">
        <v>45.607475280761697</v>
      </c>
      <c r="V1343">
        <v>18503000</v>
      </c>
      <c r="W1343">
        <v>19.9166469573975</v>
      </c>
      <c r="X1343">
        <v>0.980000019073486</v>
      </c>
      <c r="Y1343">
        <v>7.6856508255004901</v>
      </c>
      <c r="Z1343">
        <v>6.1145877838134801</v>
      </c>
      <c r="AA1343">
        <v>29879040</v>
      </c>
      <c r="AB1343" t="s">
        <v>27</v>
      </c>
      <c r="AC1343" t="s">
        <v>27</v>
      </c>
      <c r="AD1343">
        <v>-2.9999999329447701E-2</v>
      </c>
      <c r="AE1343">
        <v>20.1724948883057</v>
      </c>
      <c r="AF1343">
        <v>6.1528022676779299</v>
      </c>
      <c r="AG1343">
        <v>29879000</v>
      </c>
      <c r="AH1343">
        <v>0.39803600311279302</v>
      </c>
      <c r="AI1343">
        <v>25.301588058471701</v>
      </c>
    </row>
    <row r="1344" spans="1:35">
      <c r="A1344">
        <f t="shared" si="177"/>
        <v>1</v>
      </c>
      <c r="B1344">
        <f t="shared" si="178"/>
        <v>0</v>
      </c>
      <c r="C1344">
        <f t="shared" si="179"/>
        <v>1</v>
      </c>
      <c r="D1344">
        <f t="shared" si="180"/>
        <v>0</v>
      </c>
      <c r="E1344">
        <f t="shared" si="181"/>
        <v>0</v>
      </c>
      <c r="F1344">
        <f t="shared" si="182"/>
        <v>1</v>
      </c>
      <c r="G1344">
        <f t="shared" si="183"/>
        <v>0</v>
      </c>
      <c r="H1344">
        <v>0</v>
      </c>
      <c r="I1344">
        <f t="shared" si="184"/>
        <v>0</v>
      </c>
      <c r="J1344">
        <f t="shared" si="176"/>
        <v>15.537431716918949</v>
      </c>
      <c r="K1344" t="s">
        <v>1977</v>
      </c>
      <c r="L1344" t="s">
        <v>1978</v>
      </c>
      <c r="M1344" t="s">
        <v>27</v>
      </c>
      <c r="N1344" t="s">
        <v>27</v>
      </c>
      <c r="O1344">
        <v>14.13</v>
      </c>
      <c r="P1344">
        <v>8.1987562179565394</v>
      </c>
      <c r="Q1344">
        <v>5.5830249786376998</v>
      </c>
      <c r="R1344">
        <v>15.199999809265099</v>
      </c>
      <c r="S1344">
        <v>14.25</v>
      </c>
      <c r="T1344">
        <v>6.6970939636230504</v>
      </c>
      <c r="U1344">
        <v>23.747209548950199</v>
      </c>
      <c r="V1344">
        <v>7413000</v>
      </c>
      <c r="W1344">
        <v>6.9979357719421396</v>
      </c>
      <c r="X1344">
        <v>0.28000000119209301</v>
      </c>
      <c r="Y1344">
        <v>6.7132868766784703</v>
      </c>
      <c r="Z1344">
        <v>9.95440673828125</v>
      </c>
      <c r="AA1344">
        <v>39259000</v>
      </c>
      <c r="AB1344" t="s">
        <v>61</v>
      </c>
      <c r="AC1344" t="s">
        <v>77</v>
      </c>
      <c r="AD1344">
        <v>0.129999995231628</v>
      </c>
      <c r="AE1344">
        <v>22.641508102416999</v>
      </c>
      <c r="AF1344">
        <v>5.8565789183499604</v>
      </c>
      <c r="AG1344">
        <v>38049000</v>
      </c>
      <c r="AH1344">
        <v>4.1866250038146999</v>
      </c>
      <c r="AI1344">
        <v>2.3645501136779798</v>
      </c>
    </row>
    <row r="1345" spans="1:35">
      <c r="A1345">
        <f t="shared" si="177"/>
        <v>0</v>
      </c>
      <c r="B1345">
        <f t="shared" si="178"/>
        <v>0</v>
      </c>
      <c r="C1345">
        <f t="shared" si="179"/>
        <v>1</v>
      </c>
      <c r="D1345">
        <f t="shared" si="180"/>
        <v>1</v>
      </c>
      <c r="E1345">
        <f t="shared" si="181"/>
        <v>0</v>
      </c>
      <c r="F1345">
        <f t="shared" si="182"/>
        <v>1</v>
      </c>
      <c r="G1345">
        <f t="shared" si="183"/>
        <v>1</v>
      </c>
      <c r="H1345">
        <v>0</v>
      </c>
      <c r="I1345">
        <f t="shared" si="184"/>
        <v>0</v>
      </c>
      <c r="J1345">
        <f t="shared" si="176"/>
        <v>15.534587144851731</v>
      </c>
      <c r="K1345" t="s">
        <v>2002</v>
      </c>
      <c r="L1345" t="s">
        <v>2003</v>
      </c>
      <c r="M1345" t="s">
        <v>27</v>
      </c>
      <c r="N1345" t="s">
        <v>27</v>
      </c>
      <c r="O1345">
        <v>37.26</v>
      </c>
      <c r="P1345">
        <v>13.903556823730501</v>
      </c>
      <c r="Q1345">
        <v>11.977949142456101</v>
      </c>
      <c r="R1345">
        <v>54</v>
      </c>
      <c r="S1345">
        <v>26.4583333333333</v>
      </c>
      <c r="T1345">
        <v>0</v>
      </c>
      <c r="U1345">
        <v>62.693229675292997</v>
      </c>
      <c r="V1345">
        <v>17680000</v>
      </c>
      <c r="W1345">
        <v>6.7136740684509304</v>
      </c>
      <c r="X1345">
        <v>0.33333333333333298</v>
      </c>
      <c r="Y1345">
        <v>4.0666670799255398</v>
      </c>
      <c r="Z1345">
        <v>3.5566380023956299</v>
      </c>
      <c r="AA1345">
        <v>18487500</v>
      </c>
      <c r="AB1345" t="s">
        <v>27</v>
      </c>
      <c r="AC1345" t="s">
        <v>27</v>
      </c>
      <c r="AD1345">
        <v>0.54666666189829505</v>
      </c>
      <c r="AE1345">
        <v>65.251564025878906</v>
      </c>
      <c r="AF1345">
        <v>11.105406344533099</v>
      </c>
      <c r="AG1345">
        <v>19057500</v>
      </c>
      <c r="AH1345">
        <v>0</v>
      </c>
      <c r="AI1345">
        <v>6.2955961227417001</v>
      </c>
    </row>
    <row r="1346" spans="1:35">
      <c r="A1346">
        <f t="shared" si="177"/>
        <v>1</v>
      </c>
      <c r="B1346">
        <f t="shared" si="178"/>
        <v>1</v>
      </c>
      <c r="C1346">
        <f t="shared" si="179"/>
        <v>0</v>
      </c>
      <c r="D1346">
        <f t="shared" si="180"/>
        <v>1</v>
      </c>
      <c r="E1346">
        <f t="shared" si="181"/>
        <v>0</v>
      </c>
      <c r="F1346">
        <f t="shared" si="182"/>
        <v>1</v>
      </c>
      <c r="G1346">
        <f t="shared" si="183"/>
        <v>1</v>
      </c>
      <c r="H1346">
        <v>0</v>
      </c>
      <c r="I1346">
        <f t="shared" si="184"/>
        <v>0</v>
      </c>
      <c r="J1346">
        <f t="shared" si="176"/>
        <v>15.525973796844529</v>
      </c>
      <c r="K1346" t="s">
        <v>1880</v>
      </c>
      <c r="L1346" t="s">
        <v>1881</v>
      </c>
      <c r="M1346" t="s">
        <v>27</v>
      </c>
      <c r="N1346" t="s">
        <v>27</v>
      </c>
      <c r="O1346">
        <v>15.95</v>
      </c>
      <c r="P1346" t="s">
        <v>27</v>
      </c>
      <c r="Q1346">
        <v>12.7457828521729</v>
      </c>
      <c r="R1346">
        <v>27.549999237060501</v>
      </c>
      <c r="S1346">
        <v>6.3125</v>
      </c>
      <c r="T1346">
        <v>39.447425842285199</v>
      </c>
      <c r="U1346">
        <v>40.128280639648402</v>
      </c>
      <c r="V1346">
        <v>-1232000</v>
      </c>
      <c r="W1346">
        <v>-31.191768646240199</v>
      </c>
      <c r="X1346">
        <v>3.9999999105930301E-2</v>
      </c>
      <c r="Y1346" t="s">
        <v>27</v>
      </c>
      <c r="Z1346">
        <v>2.78019094467163</v>
      </c>
      <c r="AA1346">
        <v>15326000</v>
      </c>
      <c r="AB1346" t="s">
        <v>38</v>
      </c>
      <c r="AC1346" t="s">
        <v>146</v>
      </c>
      <c r="AD1346">
        <v>0.25</v>
      </c>
      <c r="AE1346">
        <v>44.4548530578613</v>
      </c>
      <c r="AF1346" t="s">
        <v>27</v>
      </c>
      <c r="AG1346">
        <v>15916000</v>
      </c>
      <c r="AH1346">
        <v>36.362869262695298</v>
      </c>
      <c r="AI1346">
        <v>1.4654359817504901</v>
      </c>
    </row>
    <row r="1347" spans="1:35">
      <c r="A1347">
        <f t="shared" si="177"/>
        <v>1</v>
      </c>
      <c r="B1347">
        <f t="shared" si="178"/>
        <v>1</v>
      </c>
      <c r="C1347">
        <f t="shared" si="179"/>
        <v>1</v>
      </c>
      <c r="D1347">
        <f t="shared" si="180"/>
        <v>1</v>
      </c>
      <c r="E1347">
        <f t="shared" si="181"/>
        <v>0</v>
      </c>
      <c r="F1347">
        <f t="shared" si="182"/>
        <v>1</v>
      </c>
      <c r="G1347">
        <f t="shared" si="183"/>
        <v>0</v>
      </c>
      <c r="H1347">
        <v>0</v>
      </c>
      <c r="I1347">
        <f t="shared" si="184"/>
        <v>0</v>
      </c>
      <c r="J1347">
        <f t="shared" si="176"/>
        <v>15.4988660812378</v>
      </c>
      <c r="K1347" t="s">
        <v>968</v>
      </c>
      <c r="L1347" t="s">
        <v>969</v>
      </c>
      <c r="M1347" t="s">
        <v>27</v>
      </c>
      <c r="N1347" t="s">
        <v>27</v>
      </c>
      <c r="O1347">
        <v>13.99</v>
      </c>
      <c r="P1347">
        <v>10.7042379379272</v>
      </c>
      <c r="Q1347">
        <v>8.7075891494750994</v>
      </c>
      <c r="R1347">
        <v>15.699999809265099</v>
      </c>
      <c r="S1347">
        <v>19.549999237060501</v>
      </c>
      <c r="T1347">
        <v>33.8511962890625</v>
      </c>
      <c r="U1347">
        <v>88.558158874511705</v>
      </c>
      <c r="V1347">
        <v>2773000</v>
      </c>
      <c r="W1347">
        <v>-1.48955202102661</v>
      </c>
      <c r="X1347">
        <v>-3.9999999105930301E-2</v>
      </c>
      <c r="Y1347">
        <v>6.8439311981201199</v>
      </c>
      <c r="Z1347">
        <v>6.7912769317626998</v>
      </c>
      <c r="AA1347">
        <v>7611000</v>
      </c>
      <c r="AB1347" t="s">
        <v>27</v>
      </c>
      <c r="AC1347" t="s">
        <v>27</v>
      </c>
      <c r="AD1347">
        <v>1.9999999552965199E-2</v>
      </c>
      <c r="AE1347">
        <v>86.813529968261705</v>
      </c>
      <c r="AF1347">
        <v>3.9720582298611502</v>
      </c>
      <c r="AG1347">
        <v>7927008</v>
      </c>
      <c r="AH1347">
        <v>29.788162231445298</v>
      </c>
      <c r="AI1347">
        <v>5.8394079208373997</v>
      </c>
    </row>
    <row r="1348" spans="1:35">
      <c r="A1348">
        <f t="shared" si="177"/>
        <v>0</v>
      </c>
      <c r="B1348">
        <f t="shared" si="178"/>
        <v>0</v>
      </c>
      <c r="C1348">
        <f t="shared" si="179"/>
        <v>0</v>
      </c>
      <c r="D1348">
        <f t="shared" si="180"/>
        <v>0</v>
      </c>
      <c r="E1348">
        <f t="shared" si="181"/>
        <v>0</v>
      </c>
      <c r="F1348">
        <f t="shared" si="182"/>
        <v>1</v>
      </c>
      <c r="G1348">
        <f t="shared" si="183"/>
        <v>0</v>
      </c>
      <c r="H1348">
        <v>0</v>
      </c>
      <c r="I1348">
        <f t="shared" si="184"/>
        <v>1</v>
      </c>
      <c r="J1348">
        <f t="shared" si="176"/>
        <v>15.48004198074341</v>
      </c>
      <c r="K1348" t="s">
        <v>3358</v>
      </c>
      <c r="L1348" t="s">
        <v>3359</v>
      </c>
      <c r="M1348" t="s">
        <v>27</v>
      </c>
      <c r="N1348" t="s">
        <v>27</v>
      </c>
      <c r="O1348">
        <v>8.07</v>
      </c>
      <c r="P1348">
        <v>8.5856914520263707</v>
      </c>
      <c r="Q1348">
        <v>8.3035707473754901</v>
      </c>
      <c r="R1348">
        <v>6.9800000190734899</v>
      </c>
      <c r="S1348">
        <v>7.4899997711181596</v>
      </c>
      <c r="T1348">
        <v>0</v>
      </c>
      <c r="U1348">
        <v>35.962974548339801</v>
      </c>
      <c r="V1348">
        <v>-1875000</v>
      </c>
      <c r="W1348">
        <v>7.7525658607482901</v>
      </c>
      <c r="X1348">
        <v>0.18000000715255701</v>
      </c>
      <c r="Y1348">
        <v>10</v>
      </c>
      <c r="Z1348">
        <v>7.1764712333679199</v>
      </c>
      <c r="AA1348">
        <v>42434000</v>
      </c>
      <c r="AB1348" t="s">
        <v>27</v>
      </c>
      <c r="AC1348" t="s">
        <v>27</v>
      </c>
      <c r="AD1348">
        <v>0.17000000178813901</v>
      </c>
      <c r="AE1348">
        <v>35.609596252441399</v>
      </c>
      <c r="AF1348">
        <v>5.38196612305775</v>
      </c>
      <c r="AG1348">
        <v>41944000</v>
      </c>
      <c r="AH1348">
        <v>0</v>
      </c>
      <c r="AI1348">
        <v>7.2117538452148402</v>
      </c>
    </row>
    <row r="1349" spans="1:35">
      <c r="A1349">
        <f t="shared" si="177"/>
        <v>1</v>
      </c>
      <c r="B1349">
        <f t="shared" si="178"/>
        <v>0</v>
      </c>
      <c r="C1349">
        <f t="shared" si="179"/>
        <v>1</v>
      </c>
      <c r="D1349">
        <f t="shared" si="180"/>
        <v>0</v>
      </c>
      <c r="E1349">
        <f t="shared" si="181"/>
        <v>0</v>
      </c>
      <c r="F1349">
        <f t="shared" si="182"/>
        <v>1</v>
      </c>
      <c r="G1349">
        <f t="shared" si="183"/>
        <v>0</v>
      </c>
      <c r="H1349">
        <v>0</v>
      </c>
      <c r="I1349">
        <f t="shared" si="184"/>
        <v>0</v>
      </c>
      <c r="J1349">
        <f t="shared" si="176"/>
        <v>15.47405242919926</v>
      </c>
      <c r="K1349" t="s">
        <v>3470</v>
      </c>
      <c r="L1349" t="s">
        <v>3471</v>
      </c>
      <c r="M1349" t="s">
        <v>27</v>
      </c>
      <c r="N1349" t="s">
        <v>27</v>
      </c>
      <c r="O1349">
        <v>11.29</v>
      </c>
      <c r="P1349" t="s">
        <v>27</v>
      </c>
      <c r="Q1349">
        <v>5.1989259719848597</v>
      </c>
      <c r="R1349">
        <v>16.75</v>
      </c>
      <c r="S1349">
        <v>18.139999389648398</v>
      </c>
      <c r="T1349">
        <v>49.5925102233887</v>
      </c>
      <c r="U1349">
        <v>18.248792648315401</v>
      </c>
      <c r="V1349">
        <v>63699996</v>
      </c>
      <c r="W1349">
        <v>10.388440132141101</v>
      </c>
      <c r="X1349">
        <v>1.8400000333786</v>
      </c>
      <c r="Y1349">
        <v>22.736841201782202</v>
      </c>
      <c r="Z1349">
        <v>10.2751264572144</v>
      </c>
      <c r="AA1349">
        <v>26800000</v>
      </c>
      <c r="AB1349" t="s">
        <v>61</v>
      </c>
      <c r="AC1349" t="s">
        <v>101</v>
      </c>
      <c r="AD1349">
        <v>-0.40999999642372098</v>
      </c>
      <c r="AE1349">
        <v>10.028653144836399</v>
      </c>
      <c r="AF1349">
        <v>10.932254892601399</v>
      </c>
      <c r="AG1349">
        <v>26900000</v>
      </c>
      <c r="AH1349">
        <v>48.828788757324197</v>
      </c>
      <c r="AI1349">
        <v>4.5707969665527299</v>
      </c>
    </row>
    <row r="1350" spans="1:35">
      <c r="A1350">
        <f t="shared" si="177"/>
        <v>1</v>
      </c>
      <c r="B1350">
        <f t="shared" si="178"/>
        <v>0</v>
      </c>
      <c r="C1350">
        <f t="shared" si="179"/>
        <v>1</v>
      </c>
      <c r="D1350">
        <f t="shared" si="180"/>
        <v>0</v>
      </c>
      <c r="E1350">
        <f t="shared" si="181"/>
        <v>0</v>
      </c>
      <c r="F1350">
        <f t="shared" si="182"/>
        <v>0</v>
      </c>
      <c r="G1350">
        <f t="shared" si="183"/>
        <v>0</v>
      </c>
      <c r="H1350">
        <v>0</v>
      </c>
      <c r="I1350">
        <f t="shared" si="184"/>
        <v>0</v>
      </c>
      <c r="J1350">
        <f t="shared" si="176"/>
        <v>15.44436693191528</v>
      </c>
      <c r="K1350" t="s">
        <v>3723</v>
      </c>
      <c r="L1350" t="s">
        <v>3724</v>
      </c>
      <c r="M1350" t="s">
        <v>27</v>
      </c>
      <c r="N1350" t="s">
        <v>27</v>
      </c>
      <c r="O1350">
        <v>14</v>
      </c>
      <c r="P1350">
        <v>3.11185598373413</v>
      </c>
      <c r="Q1350">
        <v>8.6141777038574201</v>
      </c>
      <c r="R1350">
        <v>34.740001678466797</v>
      </c>
      <c r="S1350">
        <v>56.71875</v>
      </c>
      <c r="T1350">
        <v>8.1929588317871094</v>
      </c>
      <c r="U1350">
        <v>47.389652252197301</v>
      </c>
      <c r="V1350">
        <v>3127000</v>
      </c>
      <c r="W1350">
        <v>8.4472942352294904</v>
      </c>
      <c r="X1350">
        <v>0.129999995231628</v>
      </c>
      <c r="Y1350">
        <v>1.0351419448852499</v>
      </c>
      <c r="Z1350">
        <v>6.8301892280578604</v>
      </c>
      <c r="AA1350">
        <v>24535000</v>
      </c>
      <c r="AB1350" t="s">
        <v>38</v>
      </c>
      <c r="AC1350" t="s">
        <v>118</v>
      </c>
      <c r="AD1350">
        <v>7.0000000298023196E-2</v>
      </c>
      <c r="AE1350">
        <v>44.086246490478501</v>
      </c>
      <c r="AF1350" t="s">
        <v>27</v>
      </c>
      <c r="AG1350">
        <v>28739000</v>
      </c>
      <c r="AH1350">
        <v>6.1953701972961399</v>
      </c>
      <c r="AI1350">
        <v>-4.6823382377624503</v>
      </c>
    </row>
    <row r="1351" spans="1:35">
      <c r="A1351">
        <f t="shared" si="177"/>
        <v>0</v>
      </c>
      <c r="B1351">
        <f t="shared" si="178"/>
        <v>1</v>
      </c>
      <c r="C1351">
        <f t="shared" si="179"/>
        <v>1</v>
      </c>
      <c r="D1351">
        <f t="shared" si="180"/>
        <v>1</v>
      </c>
      <c r="E1351">
        <f t="shared" si="181"/>
        <v>0</v>
      </c>
      <c r="F1351">
        <f t="shared" si="182"/>
        <v>1</v>
      </c>
      <c r="G1351">
        <f t="shared" si="183"/>
        <v>0</v>
      </c>
      <c r="H1351">
        <v>0</v>
      </c>
      <c r="I1351">
        <f t="shared" si="184"/>
        <v>0</v>
      </c>
      <c r="J1351">
        <f t="shared" si="176"/>
        <v>15.440956592559781</v>
      </c>
      <c r="K1351" t="s">
        <v>1368</v>
      </c>
      <c r="L1351" t="s">
        <v>1369</v>
      </c>
      <c r="M1351" t="s">
        <v>27</v>
      </c>
      <c r="N1351" t="s">
        <v>27</v>
      </c>
      <c r="O1351">
        <v>17.5</v>
      </c>
      <c r="P1351">
        <v>5.2802071571350098</v>
      </c>
      <c r="Q1351">
        <v>5.1496949195861799</v>
      </c>
      <c r="R1351">
        <v>17.272000122070299</v>
      </c>
      <c r="S1351">
        <v>18.725000000000001</v>
      </c>
      <c r="T1351">
        <v>22.360939025878899</v>
      </c>
      <c r="U1351" t="s">
        <v>27</v>
      </c>
      <c r="V1351">
        <v>16620000</v>
      </c>
      <c r="W1351">
        <v>1.2041540145873999</v>
      </c>
      <c r="X1351">
        <v>0.40799999237060502</v>
      </c>
      <c r="Y1351">
        <v>7.3285369873046902</v>
      </c>
      <c r="Z1351">
        <v>10.291261672973601</v>
      </c>
      <c r="AA1351">
        <v>15542500</v>
      </c>
      <c r="AB1351" t="s">
        <v>27</v>
      </c>
      <c r="AC1351" t="s">
        <v>27</v>
      </c>
      <c r="AD1351">
        <v>0.44000000953674301</v>
      </c>
      <c r="AE1351" t="s">
        <v>27</v>
      </c>
      <c r="AF1351" t="s">
        <v>27</v>
      </c>
      <c r="AG1351">
        <v>15461250</v>
      </c>
      <c r="AH1351">
        <v>22.620742797851602</v>
      </c>
      <c r="AI1351">
        <v>1.22079205513</v>
      </c>
    </row>
    <row r="1352" spans="1:35">
      <c r="A1352">
        <f t="shared" si="177"/>
        <v>0</v>
      </c>
      <c r="B1352">
        <f t="shared" si="178"/>
        <v>0</v>
      </c>
      <c r="C1352">
        <f t="shared" si="179"/>
        <v>1</v>
      </c>
      <c r="D1352">
        <f t="shared" si="180"/>
        <v>1</v>
      </c>
      <c r="E1352">
        <f t="shared" si="181"/>
        <v>0</v>
      </c>
      <c r="F1352">
        <f t="shared" si="182"/>
        <v>1</v>
      </c>
      <c r="G1352">
        <f t="shared" si="183"/>
        <v>0</v>
      </c>
      <c r="H1352">
        <v>0</v>
      </c>
      <c r="I1352">
        <f t="shared" si="184"/>
        <v>0</v>
      </c>
      <c r="J1352">
        <f t="shared" si="176"/>
        <v>15.431863784790041</v>
      </c>
      <c r="K1352" t="s">
        <v>2054</v>
      </c>
      <c r="L1352" t="s">
        <v>2055</v>
      </c>
      <c r="M1352" t="s">
        <v>27</v>
      </c>
      <c r="N1352" t="s">
        <v>27</v>
      </c>
      <c r="O1352">
        <v>27.22</v>
      </c>
      <c r="P1352">
        <v>9.6089773178100604</v>
      </c>
      <c r="Q1352">
        <v>8.2941827774047905</v>
      </c>
      <c r="R1352">
        <v>31.090000152587901</v>
      </c>
      <c r="S1352">
        <v>21.600000381469702</v>
      </c>
      <c r="T1352">
        <v>41.8097114562988</v>
      </c>
      <c r="U1352" t="s">
        <v>27</v>
      </c>
      <c r="V1352">
        <v>7168000</v>
      </c>
      <c r="W1352">
        <v>5.0174388885498002</v>
      </c>
      <c r="X1352">
        <v>0.46000000834464999</v>
      </c>
      <c r="Y1352">
        <v>8.4878053665161097</v>
      </c>
      <c r="Z1352">
        <v>7.1376810073852504</v>
      </c>
      <c r="AA1352">
        <v>11990000</v>
      </c>
      <c r="AB1352" t="s">
        <v>83</v>
      </c>
      <c r="AC1352" t="s">
        <v>84</v>
      </c>
      <c r="AD1352">
        <v>0.52999997138977095</v>
      </c>
      <c r="AE1352" t="s">
        <v>27</v>
      </c>
      <c r="AF1352">
        <v>12.032439393416</v>
      </c>
      <c r="AG1352">
        <v>12291000</v>
      </c>
      <c r="AH1352">
        <v>44.261970520019503</v>
      </c>
      <c r="AI1352">
        <v>4.7744460105895996</v>
      </c>
    </row>
    <row r="1353" spans="1:35">
      <c r="A1353">
        <f t="shared" si="177"/>
        <v>0</v>
      </c>
      <c r="B1353">
        <f t="shared" si="178"/>
        <v>0</v>
      </c>
      <c r="C1353">
        <f t="shared" si="179"/>
        <v>0</v>
      </c>
      <c r="D1353">
        <f t="shared" si="180"/>
        <v>1</v>
      </c>
      <c r="E1353">
        <f t="shared" si="181"/>
        <v>0</v>
      </c>
      <c r="F1353">
        <f t="shared" si="182"/>
        <v>1</v>
      </c>
      <c r="G1353">
        <f t="shared" si="183"/>
        <v>0</v>
      </c>
      <c r="H1353">
        <v>0</v>
      </c>
      <c r="I1353">
        <f t="shared" si="184"/>
        <v>1</v>
      </c>
      <c r="J1353">
        <f t="shared" si="176"/>
        <v>15.392081737518311</v>
      </c>
      <c r="K1353" t="s">
        <v>653</v>
      </c>
      <c r="L1353" t="s">
        <v>654</v>
      </c>
      <c r="M1353" t="s">
        <v>27</v>
      </c>
      <c r="N1353" t="s">
        <v>27</v>
      </c>
      <c r="O1353">
        <v>23.31</v>
      </c>
      <c r="P1353">
        <v>8.25665187835693</v>
      </c>
      <c r="Q1353">
        <v>8.2411165237426793</v>
      </c>
      <c r="R1353">
        <v>21.2700004577637</v>
      </c>
      <c r="S1353">
        <v>14.125</v>
      </c>
      <c r="T1353">
        <v>55.681392669677699</v>
      </c>
      <c r="U1353" t="s">
        <v>27</v>
      </c>
      <c r="V1353">
        <v>-96048000</v>
      </c>
      <c r="W1353">
        <v>2.8485291004180899</v>
      </c>
      <c r="X1353">
        <v>0.31000000238418601</v>
      </c>
      <c r="Y1353">
        <v>9.2307691574096697</v>
      </c>
      <c r="Z1353">
        <v>7.1509652137756303</v>
      </c>
      <c r="AA1353">
        <v>20854000</v>
      </c>
      <c r="AB1353" t="s">
        <v>27</v>
      </c>
      <c r="AC1353" t="s">
        <v>27</v>
      </c>
      <c r="AD1353">
        <v>0.31999999284744302</v>
      </c>
      <c r="AE1353" t="s">
        <v>27</v>
      </c>
      <c r="AF1353">
        <v>13.4896868050234</v>
      </c>
      <c r="AG1353">
        <v>25985000</v>
      </c>
      <c r="AH1353">
        <v>57.112735748291001</v>
      </c>
      <c r="AI1353">
        <v>2.6283149719238299</v>
      </c>
    </row>
    <row r="1354" spans="1:35">
      <c r="A1354">
        <f t="shared" si="177"/>
        <v>1</v>
      </c>
      <c r="B1354">
        <f t="shared" si="178"/>
        <v>1</v>
      </c>
      <c r="C1354">
        <f t="shared" si="179"/>
        <v>1</v>
      </c>
      <c r="D1354">
        <f t="shared" si="180"/>
        <v>0</v>
      </c>
      <c r="E1354">
        <f t="shared" si="181"/>
        <v>0</v>
      </c>
      <c r="F1354">
        <f t="shared" si="182"/>
        <v>1</v>
      </c>
      <c r="G1354">
        <f t="shared" si="183"/>
        <v>0</v>
      </c>
      <c r="H1354">
        <v>0</v>
      </c>
      <c r="I1354">
        <f t="shared" si="184"/>
        <v>0</v>
      </c>
      <c r="J1354">
        <f t="shared" si="176"/>
        <v>15.37959718704224</v>
      </c>
      <c r="K1354" t="s">
        <v>2644</v>
      </c>
      <c r="L1354" t="s">
        <v>2645</v>
      </c>
      <c r="M1354" t="s">
        <v>27</v>
      </c>
      <c r="N1354" t="s">
        <v>27</v>
      </c>
      <c r="O1354">
        <v>14.9</v>
      </c>
      <c r="P1354">
        <v>9.4998140335083008</v>
      </c>
      <c r="Q1354">
        <v>8.9482240676879901</v>
      </c>
      <c r="R1354">
        <v>16.5</v>
      </c>
      <c r="S1354">
        <v>10.699999809265099</v>
      </c>
      <c r="T1354">
        <v>29.747148513793899</v>
      </c>
      <c r="U1354">
        <v>39.078281402587898</v>
      </c>
      <c r="V1354">
        <v>12199999</v>
      </c>
      <c r="W1354">
        <v>5.4974899291992196</v>
      </c>
      <c r="X1354">
        <v>0.21999999880790699</v>
      </c>
      <c r="Y1354">
        <v>9.9580421447753906</v>
      </c>
      <c r="Z1354">
        <v>6.4313731193542498</v>
      </c>
      <c r="AA1354">
        <v>42529000</v>
      </c>
      <c r="AB1354" t="s">
        <v>27</v>
      </c>
      <c r="AC1354" t="s">
        <v>27</v>
      </c>
      <c r="AD1354">
        <v>9.00000035762787E-2</v>
      </c>
      <c r="AE1354">
        <v>37.680118560791001</v>
      </c>
      <c r="AF1354">
        <v>8.5030927639383194</v>
      </c>
      <c r="AG1354">
        <v>41852000</v>
      </c>
      <c r="AH1354">
        <v>27.400852203369102</v>
      </c>
      <c r="AI1354">
        <v>12.6499633789063</v>
      </c>
    </row>
    <row r="1355" spans="1:35">
      <c r="A1355">
        <f t="shared" si="177"/>
        <v>1</v>
      </c>
      <c r="B1355">
        <f t="shared" si="178"/>
        <v>1</v>
      </c>
      <c r="C1355">
        <f t="shared" si="179"/>
        <v>1</v>
      </c>
      <c r="D1355">
        <f t="shared" si="180"/>
        <v>1</v>
      </c>
      <c r="E1355">
        <f t="shared" si="181"/>
        <v>0</v>
      </c>
      <c r="F1355">
        <f t="shared" si="182"/>
        <v>1</v>
      </c>
      <c r="G1355">
        <f t="shared" si="183"/>
        <v>0</v>
      </c>
      <c r="H1355">
        <v>0</v>
      </c>
      <c r="I1355">
        <f t="shared" si="184"/>
        <v>0</v>
      </c>
      <c r="J1355">
        <f t="shared" si="176"/>
        <v>15.36268281936642</v>
      </c>
      <c r="K1355" t="s">
        <v>3328</v>
      </c>
      <c r="L1355" t="s">
        <v>3329</v>
      </c>
      <c r="M1355" t="s">
        <v>27</v>
      </c>
      <c r="N1355" t="s">
        <v>27</v>
      </c>
      <c r="O1355">
        <v>11.82</v>
      </c>
      <c r="P1355">
        <v>8.3137416839599592</v>
      </c>
      <c r="Q1355">
        <v>10.748461723327599</v>
      </c>
      <c r="R1355">
        <v>13.199999809265099</v>
      </c>
      <c r="S1355">
        <v>12.7083333333333</v>
      </c>
      <c r="T1355">
        <v>15.6955862045288</v>
      </c>
      <c r="U1355" t="s">
        <v>27</v>
      </c>
      <c r="V1355">
        <v>39477000</v>
      </c>
      <c r="W1355">
        <v>1.2311860322952299</v>
      </c>
      <c r="X1355">
        <v>0.113333334525426</v>
      </c>
      <c r="Y1355">
        <v>5.63934421539307</v>
      </c>
      <c r="Z1355">
        <v>4.6142210960388201</v>
      </c>
      <c r="AA1355">
        <v>39298500</v>
      </c>
      <c r="AB1355" t="s">
        <v>27</v>
      </c>
      <c r="AC1355" t="s">
        <v>27</v>
      </c>
      <c r="AD1355">
        <v>0.18000000715255701</v>
      </c>
      <c r="AE1355" t="s">
        <v>27</v>
      </c>
      <c r="AF1355" t="s">
        <v>27</v>
      </c>
      <c r="AG1355">
        <v>42318000</v>
      </c>
      <c r="AH1355">
        <v>4.4938249588012704</v>
      </c>
      <c r="AI1355">
        <v>1.3644829988479601</v>
      </c>
    </row>
    <row r="1356" spans="1:35">
      <c r="A1356">
        <f t="shared" si="177"/>
        <v>1</v>
      </c>
      <c r="B1356">
        <f t="shared" si="178"/>
        <v>0</v>
      </c>
      <c r="C1356">
        <f t="shared" si="179"/>
        <v>0</v>
      </c>
      <c r="D1356">
        <f t="shared" si="180"/>
        <v>1</v>
      </c>
      <c r="E1356">
        <f t="shared" si="181"/>
        <v>0</v>
      </c>
      <c r="F1356">
        <f t="shared" si="182"/>
        <v>1</v>
      </c>
      <c r="G1356">
        <f t="shared" si="183"/>
        <v>0</v>
      </c>
      <c r="H1356">
        <v>0</v>
      </c>
      <c r="I1356">
        <f t="shared" si="184"/>
        <v>0</v>
      </c>
      <c r="J1356">
        <f t="shared" si="176"/>
        <v>15.33830881118778</v>
      </c>
      <c r="K1356" t="s">
        <v>1030</v>
      </c>
      <c r="L1356" t="s">
        <v>1031</v>
      </c>
      <c r="M1356" t="s">
        <v>27</v>
      </c>
      <c r="N1356" t="s">
        <v>27</v>
      </c>
      <c r="O1356">
        <v>10.02</v>
      </c>
      <c r="P1356">
        <v>11.7113227844238</v>
      </c>
      <c r="Q1356">
        <v>10.8289136886597</v>
      </c>
      <c r="R1356">
        <v>32.198062896728501</v>
      </c>
      <c r="S1356">
        <v>10</v>
      </c>
      <c r="T1356">
        <v>27.766584396362301</v>
      </c>
      <c r="U1356">
        <v>4.1609940528869602</v>
      </c>
      <c r="V1356">
        <v>-34793000</v>
      </c>
      <c r="W1356">
        <v>3.0857589244842498</v>
      </c>
      <c r="X1356">
        <v>0.18500000238418601</v>
      </c>
      <c r="Y1356">
        <v>14.922280311584499</v>
      </c>
      <c r="Z1356">
        <v>4.5093951225280797</v>
      </c>
      <c r="AA1356">
        <v>8440000</v>
      </c>
      <c r="AB1356" t="s">
        <v>27</v>
      </c>
      <c r="AC1356" t="s">
        <v>27</v>
      </c>
      <c r="AD1356">
        <v>0.259999990463257</v>
      </c>
      <c r="AE1356">
        <v>4.1312370300293004</v>
      </c>
      <c r="AF1356">
        <v>5.0839696951524198</v>
      </c>
      <c r="AG1356">
        <v>14294000</v>
      </c>
      <c r="AH1356">
        <v>13.321907043456999</v>
      </c>
      <c r="AI1356">
        <v>2.92784595489502</v>
      </c>
    </row>
    <row r="1357" spans="1:35">
      <c r="A1357">
        <f t="shared" si="177"/>
        <v>0</v>
      </c>
      <c r="B1357">
        <f t="shared" si="178"/>
        <v>1</v>
      </c>
      <c r="C1357">
        <f t="shared" si="179"/>
        <v>1</v>
      </c>
      <c r="D1357">
        <f t="shared" si="180"/>
        <v>1</v>
      </c>
      <c r="E1357">
        <f t="shared" si="181"/>
        <v>0</v>
      </c>
      <c r="F1357">
        <f t="shared" si="182"/>
        <v>1</v>
      </c>
      <c r="G1357">
        <f t="shared" si="183"/>
        <v>0</v>
      </c>
      <c r="H1357">
        <v>0</v>
      </c>
      <c r="I1357">
        <f t="shared" si="184"/>
        <v>0</v>
      </c>
      <c r="J1357">
        <f t="shared" si="176"/>
        <v>15.3214955329895</v>
      </c>
      <c r="K1357" t="s">
        <v>978</v>
      </c>
      <c r="L1357" t="s">
        <v>979</v>
      </c>
      <c r="M1357" t="s">
        <v>27</v>
      </c>
      <c r="N1357" t="s">
        <v>27</v>
      </c>
      <c r="O1357">
        <v>5.71</v>
      </c>
      <c r="P1357">
        <v>7.60424709320068</v>
      </c>
      <c r="Q1357">
        <v>8.1132574081420898</v>
      </c>
      <c r="R1357">
        <v>9.9399995803833008</v>
      </c>
      <c r="S1357">
        <v>6.1875</v>
      </c>
      <c r="T1357">
        <v>24.720399856567401</v>
      </c>
      <c r="U1357" t="s">
        <v>27</v>
      </c>
      <c r="V1357">
        <v>13848000</v>
      </c>
      <c r="W1357">
        <v>-1.51341700553894</v>
      </c>
      <c r="X1357">
        <v>0.140000000596046</v>
      </c>
      <c r="Y1357">
        <v>8.0792083740234393</v>
      </c>
      <c r="Z1357">
        <v>7.2082381248474103</v>
      </c>
      <c r="AA1357">
        <v>42800000</v>
      </c>
      <c r="AB1357" t="s">
        <v>34</v>
      </c>
      <c r="AC1357" t="s">
        <v>395</v>
      </c>
      <c r="AD1357">
        <v>0.18000000715255701</v>
      </c>
      <c r="AE1357" t="s">
        <v>27</v>
      </c>
      <c r="AF1357">
        <v>3.5636021692738402</v>
      </c>
      <c r="AG1357">
        <v>42067000</v>
      </c>
      <c r="AH1357">
        <v>26.648761749267599</v>
      </c>
      <c r="AI1357">
        <v>3.5529880523681601</v>
      </c>
    </row>
    <row r="1358" spans="1:35">
      <c r="A1358">
        <f t="shared" si="177"/>
        <v>1</v>
      </c>
      <c r="B1358">
        <f t="shared" si="178"/>
        <v>1</v>
      </c>
      <c r="C1358">
        <f t="shared" si="179"/>
        <v>0</v>
      </c>
      <c r="D1358">
        <f t="shared" si="180"/>
        <v>0</v>
      </c>
      <c r="E1358">
        <f t="shared" si="181"/>
        <v>0</v>
      </c>
      <c r="F1358">
        <f t="shared" si="182"/>
        <v>1</v>
      </c>
      <c r="G1358">
        <f t="shared" si="183"/>
        <v>0</v>
      </c>
      <c r="H1358">
        <v>0</v>
      </c>
      <c r="I1358">
        <f t="shared" si="184"/>
        <v>0</v>
      </c>
      <c r="J1358">
        <f t="shared" si="176"/>
        <v>15.302643775939941</v>
      </c>
      <c r="K1358" t="s">
        <v>1678</v>
      </c>
      <c r="L1358" t="s">
        <v>1679</v>
      </c>
      <c r="M1358" t="s">
        <v>27</v>
      </c>
      <c r="N1358" t="s">
        <v>27</v>
      </c>
      <c r="O1358">
        <v>4.609</v>
      </c>
      <c r="P1358">
        <v>2.6136040687561</v>
      </c>
      <c r="Q1358">
        <v>6.4501848220825204</v>
      </c>
      <c r="R1358">
        <v>7.28999996185303</v>
      </c>
      <c r="S1358">
        <v>17.75</v>
      </c>
      <c r="T1358">
        <v>38.506660461425803</v>
      </c>
      <c r="U1358">
        <v>18.2354412078857</v>
      </c>
      <c r="V1358">
        <v>-32784998</v>
      </c>
      <c r="W1358">
        <v>0.84782999753952004</v>
      </c>
      <c r="X1358">
        <v>0.20000000298023199</v>
      </c>
      <c r="Y1358">
        <v>0.17021299898624401</v>
      </c>
      <c r="Z1358">
        <v>8.8524589538574201</v>
      </c>
      <c r="AA1358">
        <v>18839000</v>
      </c>
      <c r="AB1358" t="s">
        <v>27</v>
      </c>
      <c r="AC1358" t="s">
        <v>27</v>
      </c>
      <c r="AD1358">
        <v>0.119999997317791</v>
      </c>
      <c r="AE1358">
        <v>12.600670814514199</v>
      </c>
      <c r="AF1358" t="s">
        <v>27</v>
      </c>
      <c r="AG1358">
        <v>23363000</v>
      </c>
      <c r="AH1358">
        <v>31.437974929809599</v>
      </c>
      <c r="AI1358">
        <v>2.8852989673614502</v>
      </c>
    </row>
    <row r="1359" spans="1:35">
      <c r="A1359">
        <f t="shared" si="177"/>
        <v>1</v>
      </c>
      <c r="B1359">
        <f t="shared" si="178"/>
        <v>0</v>
      </c>
      <c r="C1359">
        <f t="shared" si="179"/>
        <v>1</v>
      </c>
      <c r="D1359">
        <f t="shared" si="180"/>
        <v>1</v>
      </c>
      <c r="E1359">
        <f t="shared" si="181"/>
        <v>0</v>
      </c>
      <c r="F1359">
        <f t="shared" si="182"/>
        <v>1</v>
      </c>
      <c r="G1359">
        <f t="shared" si="183"/>
        <v>1</v>
      </c>
      <c r="H1359">
        <v>0</v>
      </c>
      <c r="I1359">
        <f t="shared" si="184"/>
        <v>0</v>
      </c>
      <c r="J1359">
        <f t="shared" si="176"/>
        <v>15.289731025695819</v>
      </c>
      <c r="K1359" t="s">
        <v>3783</v>
      </c>
      <c r="L1359" t="s">
        <v>3784</v>
      </c>
      <c r="M1359" t="s">
        <v>27</v>
      </c>
      <c r="N1359" t="s">
        <v>27</v>
      </c>
      <c r="O1359">
        <v>10.95</v>
      </c>
      <c r="P1359" t="s">
        <v>27</v>
      </c>
      <c r="Q1359">
        <v>5.23386478424072</v>
      </c>
      <c r="R1359">
        <v>10.6499996185303</v>
      </c>
      <c r="S1359">
        <v>8.1999998092651403</v>
      </c>
      <c r="T1359">
        <v>69.989013671875</v>
      </c>
      <c r="U1359">
        <v>27.593578338623001</v>
      </c>
      <c r="V1359">
        <v>49819996</v>
      </c>
      <c r="W1359">
        <v>1.0281460285186801</v>
      </c>
      <c r="X1359">
        <v>0</v>
      </c>
      <c r="Y1359">
        <v>10.235294342041</v>
      </c>
      <c r="Z1359">
        <v>10.055866241455099</v>
      </c>
      <c r="AA1359">
        <v>47221992</v>
      </c>
      <c r="AB1359" t="s">
        <v>52</v>
      </c>
      <c r="AC1359" t="s">
        <v>56</v>
      </c>
      <c r="AD1359">
        <v>0.25</v>
      </c>
      <c r="AE1359">
        <v>29.612075805664102</v>
      </c>
      <c r="AF1359">
        <v>7.1125945671255701</v>
      </c>
      <c r="AG1359">
        <v>44477000</v>
      </c>
      <c r="AH1359">
        <v>64.228080749511705</v>
      </c>
      <c r="AI1359">
        <v>9.5072999596595806E-2</v>
      </c>
    </row>
    <row r="1360" spans="1:35">
      <c r="A1360">
        <f t="shared" si="177"/>
        <v>0</v>
      </c>
      <c r="B1360">
        <f t="shared" si="178"/>
        <v>0</v>
      </c>
      <c r="C1360">
        <f t="shared" si="179"/>
        <v>0</v>
      </c>
      <c r="D1360">
        <f t="shared" si="180"/>
        <v>1</v>
      </c>
      <c r="E1360">
        <f t="shared" si="181"/>
        <v>0</v>
      </c>
      <c r="F1360">
        <f t="shared" si="182"/>
        <v>1</v>
      </c>
      <c r="G1360">
        <f t="shared" si="183"/>
        <v>1</v>
      </c>
      <c r="H1360">
        <v>0</v>
      </c>
      <c r="I1360">
        <f t="shared" si="184"/>
        <v>0</v>
      </c>
      <c r="J1360">
        <f t="shared" si="176"/>
        <v>15.263352394104</v>
      </c>
      <c r="K1360" t="s">
        <v>3679</v>
      </c>
      <c r="L1360" t="s">
        <v>3680</v>
      </c>
      <c r="M1360" t="s">
        <v>27</v>
      </c>
      <c r="N1360" t="s">
        <v>27</v>
      </c>
      <c r="O1360">
        <v>20.48</v>
      </c>
      <c r="P1360">
        <v>10.300892829895</v>
      </c>
      <c r="Q1360">
        <v>9.6479673385620099</v>
      </c>
      <c r="R1360">
        <v>26.139999389648398</v>
      </c>
      <c r="S1360">
        <v>8.875</v>
      </c>
      <c r="T1360">
        <v>0</v>
      </c>
      <c r="U1360">
        <v>31.8247261047363</v>
      </c>
      <c r="V1360">
        <v>-3433000</v>
      </c>
      <c r="W1360">
        <v>13.023592948913601</v>
      </c>
      <c r="X1360">
        <v>0.140000000596046</v>
      </c>
      <c r="Y1360">
        <v>8.8510637283325195</v>
      </c>
      <c r="Z1360">
        <v>5.6153850555419904</v>
      </c>
      <c r="AA1360">
        <v>17253486</v>
      </c>
      <c r="AB1360" t="s">
        <v>30</v>
      </c>
      <c r="AC1360" t="s">
        <v>68</v>
      </c>
      <c r="AD1360">
        <v>0.28999999165535001</v>
      </c>
      <c r="AE1360">
        <v>33.646713256835902</v>
      </c>
      <c r="AF1360">
        <v>5.4037460457989299</v>
      </c>
      <c r="AG1360">
        <v>17264486</v>
      </c>
      <c r="AH1360">
        <v>0</v>
      </c>
      <c r="AI1360">
        <v>6.5142440795898402</v>
      </c>
    </row>
    <row r="1361" spans="1:35">
      <c r="A1361">
        <f t="shared" si="177"/>
        <v>0</v>
      </c>
      <c r="B1361">
        <f t="shared" si="178"/>
        <v>0</v>
      </c>
      <c r="C1361">
        <f t="shared" si="179"/>
        <v>1</v>
      </c>
      <c r="D1361">
        <f t="shared" si="180"/>
        <v>1</v>
      </c>
      <c r="E1361">
        <f t="shared" si="181"/>
        <v>0</v>
      </c>
      <c r="F1361">
        <f t="shared" si="182"/>
        <v>1</v>
      </c>
      <c r="G1361">
        <f t="shared" si="183"/>
        <v>1</v>
      </c>
      <c r="H1361">
        <v>0</v>
      </c>
      <c r="I1361">
        <f t="shared" si="184"/>
        <v>0</v>
      </c>
      <c r="J1361">
        <f t="shared" si="176"/>
        <v>15.237647056579618</v>
      </c>
      <c r="K1361" t="s">
        <v>3019</v>
      </c>
      <c r="L1361" t="s">
        <v>3020</v>
      </c>
      <c r="M1361" t="s">
        <v>27</v>
      </c>
      <c r="N1361" t="s">
        <v>27</v>
      </c>
      <c r="O1361">
        <v>34.81</v>
      </c>
      <c r="P1361">
        <v>13.0977535247803</v>
      </c>
      <c r="Q1361">
        <v>10.945194244384799</v>
      </c>
      <c r="R1361">
        <v>49.990001678466797</v>
      </c>
      <c r="S1361">
        <v>38.299999237060497</v>
      </c>
      <c r="T1361">
        <v>40.426906585693402</v>
      </c>
      <c r="U1361">
        <v>49.402050018310497</v>
      </c>
      <c r="V1361">
        <v>27858000</v>
      </c>
      <c r="W1361">
        <v>11.811459541320801</v>
      </c>
      <c r="X1361">
        <v>0.490000009536743</v>
      </c>
      <c r="Y1361">
        <v>4.5428571701049796</v>
      </c>
      <c r="Z1361">
        <v>4.2924528121948198</v>
      </c>
      <c r="AA1361">
        <v>30599000</v>
      </c>
      <c r="AB1361" t="s">
        <v>61</v>
      </c>
      <c r="AC1361" t="s">
        <v>681</v>
      </c>
      <c r="AD1361">
        <v>0.55000001192092896</v>
      </c>
      <c r="AE1361">
        <v>54.712482452392599</v>
      </c>
      <c r="AF1361">
        <v>10.809294045577101</v>
      </c>
      <c r="AG1361">
        <v>30879000</v>
      </c>
      <c r="AH1361">
        <v>42.885520935058601</v>
      </c>
      <c r="AI1361">
        <v>9.6902360916137695</v>
      </c>
    </row>
    <row r="1362" spans="1:35">
      <c r="A1362">
        <f t="shared" si="177"/>
        <v>0</v>
      </c>
      <c r="B1362">
        <f t="shared" si="178"/>
        <v>1</v>
      </c>
      <c r="C1362">
        <f t="shared" si="179"/>
        <v>0</v>
      </c>
      <c r="D1362">
        <f t="shared" si="180"/>
        <v>0</v>
      </c>
      <c r="E1362">
        <f t="shared" si="181"/>
        <v>0</v>
      </c>
      <c r="F1362">
        <f t="shared" si="182"/>
        <v>1</v>
      </c>
      <c r="G1362">
        <f t="shared" si="183"/>
        <v>1</v>
      </c>
      <c r="H1362">
        <v>0</v>
      </c>
      <c r="I1362">
        <f t="shared" si="184"/>
        <v>1</v>
      </c>
      <c r="J1362">
        <f t="shared" si="176"/>
        <v>15.2358078956604</v>
      </c>
      <c r="K1362" t="s">
        <v>1000</v>
      </c>
      <c r="L1362" t="s">
        <v>1001</v>
      </c>
      <c r="M1362" t="s">
        <v>27</v>
      </c>
      <c r="N1362" t="s">
        <v>27</v>
      </c>
      <c r="O1362">
        <v>32.549999999999997</v>
      </c>
      <c r="P1362">
        <v>7.2083601951599103</v>
      </c>
      <c r="Q1362">
        <v>6.6587328910827601</v>
      </c>
      <c r="R1362">
        <v>25.399999618530298</v>
      </c>
      <c r="S1362">
        <v>20.399999618530298</v>
      </c>
      <c r="T1362">
        <v>18.084470748901399</v>
      </c>
      <c r="U1362">
        <v>26.477119445800799</v>
      </c>
      <c r="V1362">
        <v>-63794000</v>
      </c>
      <c r="W1362">
        <v>5.2167491912841797</v>
      </c>
      <c r="X1362">
        <v>2.3900001049041699</v>
      </c>
      <c r="Y1362">
        <v>9.8352937698364293</v>
      </c>
      <c r="Z1362">
        <v>8.5770750045776403</v>
      </c>
      <c r="AA1362">
        <v>8830000</v>
      </c>
      <c r="AB1362" t="s">
        <v>30</v>
      </c>
      <c r="AC1362" t="s">
        <v>410</v>
      </c>
      <c r="AD1362">
        <v>0.97000002861022905</v>
      </c>
      <c r="AE1362">
        <v>26.536836624145501</v>
      </c>
      <c r="AF1362">
        <v>7.2822547595381897</v>
      </c>
      <c r="AG1362">
        <v>8853000</v>
      </c>
      <c r="AH1362">
        <v>21.199924468994102</v>
      </c>
      <c r="AI1362">
        <v>5.9313669204711896</v>
      </c>
    </row>
    <row r="1363" spans="1:35">
      <c r="A1363">
        <f t="shared" si="177"/>
        <v>0</v>
      </c>
      <c r="B1363">
        <f t="shared" si="178"/>
        <v>1</v>
      </c>
      <c r="C1363">
        <f t="shared" si="179"/>
        <v>1</v>
      </c>
      <c r="D1363">
        <f t="shared" si="180"/>
        <v>0</v>
      </c>
      <c r="E1363">
        <f t="shared" si="181"/>
        <v>0</v>
      </c>
      <c r="F1363">
        <f t="shared" si="182"/>
        <v>1</v>
      </c>
      <c r="G1363">
        <f t="shared" si="183"/>
        <v>0</v>
      </c>
      <c r="H1363">
        <v>0</v>
      </c>
      <c r="I1363">
        <f t="shared" si="184"/>
        <v>0</v>
      </c>
      <c r="J1363">
        <f t="shared" si="176"/>
        <v>15.21510124206543</v>
      </c>
      <c r="K1363" t="s">
        <v>2136</v>
      </c>
      <c r="L1363" t="s">
        <v>2137</v>
      </c>
      <c r="M1363" t="s">
        <v>27</v>
      </c>
      <c r="N1363" t="s">
        <v>27</v>
      </c>
      <c r="O1363">
        <v>34.700000000000003</v>
      </c>
      <c r="P1363">
        <v>10.813458442688001</v>
      </c>
      <c r="Q1363">
        <v>5.5045747756957999</v>
      </c>
      <c r="R1363">
        <v>34.599998474121101</v>
      </c>
      <c r="S1363">
        <v>26.100000381469702</v>
      </c>
      <c r="T1363">
        <v>0</v>
      </c>
      <c r="U1363" t="s">
        <v>27</v>
      </c>
      <c r="V1363">
        <v>41760000</v>
      </c>
      <c r="W1363">
        <v>4.88035011291504</v>
      </c>
      <c r="X1363">
        <v>1.04999995231628</v>
      </c>
      <c r="Y1363">
        <v>11.289849281311</v>
      </c>
      <c r="Z1363">
        <v>9.7105264663696307</v>
      </c>
      <c r="AA1363">
        <v>34060000</v>
      </c>
      <c r="AB1363" t="s">
        <v>27</v>
      </c>
      <c r="AC1363" t="s">
        <v>27</v>
      </c>
      <c r="AD1363">
        <v>0.66000002622604403</v>
      </c>
      <c r="AE1363" t="s">
        <v>27</v>
      </c>
      <c r="AF1363" t="s">
        <v>27</v>
      </c>
      <c r="AG1363">
        <v>33390000</v>
      </c>
      <c r="AH1363">
        <v>0</v>
      </c>
      <c r="AI1363">
        <v>6.6814498901367196</v>
      </c>
    </row>
    <row r="1364" spans="1:35">
      <c r="A1364">
        <f t="shared" si="177"/>
        <v>1</v>
      </c>
      <c r="B1364">
        <f t="shared" si="178"/>
        <v>0</v>
      </c>
      <c r="C1364">
        <f t="shared" si="179"/>
        <v>1</v>
      </c>
      <c r="D1364">
        <f t="shared" si="180"/>
        <v>0</v>
      </c>
      <c r="E1364">
        <f t="shared" si="181"/>
        <v>0</v>
      </c>
      <c r="F1364">
        <f t="shared" si="182"/>
        <v>1</v>
      </c>
      <c r="G1364">
        <f t="shared" si="183"/>
        <v>1</v>
      </c>
      <c r="H1364">
        <v>0</v>
      </c>
      <c r="I1364">
        <f t="shared" si="184"/>
        <v>0</v>
      </c>
      <c r="J1364">
        <f t="shared" si="176"/>
        <v>15.210546016693121</v>
      </c>
      <c r="K1364" t="s">
        <v>313</v>
      </c>
      <c r="L1364" t="s">
        <v>314</v>
      </c>
      <c r="M1364" t="s">
        <v>27</v>
      </c>
      <c r="N1364" t="s">
        <v>27</v>
      </c>
      <c r="O1364">
        <v>16.47</v>
      </c>
      <c r="P1364">
        <v>9.2436294555664098</v>
      </c>
      <c r="Q1364">
        <v>7.5136837959289604</v>
      </c>
      <c r="R1364">
        <v>18.600000381469702</v>
      </c>
      <c r="S1364">
        <v>17.600000381469702</v>
      </c>
      <c r="T1364">
        <v>20.4113445281982</v>
      </c>
      <c r="U1364">
        <v>24.8182373046875</v>
      </c>
      <c r="V1364">
        <v>23580000</v>
      </c>
      <c r="W1364">
        <v>5.3118181228637704</v>
      </c>
      <c r="X1364">
        <v>0.37000000476837203</v>
      </c>
      <c r="Y1364">
        <v>9.1263542175293004</v>
      </c>
      <c r="Z1364">
        <v>7.6968622207641602</v>
      </c>
      <c r="AA1364">
        <v>19893000</v>
      </c>
      <c r="AB1364" t="s">
        <v>61</v>
      </c>
      <c r="AC1364" t="s">
        <v>315</v>
      </c>
      <c r="AD1364">
        <v>-0.37000000476837203</v>
      </c>
      <c r="AE1364">
        <v>25.117803573608398</v>
      </c>
      <c r="AF1364">
        <v>7.8298648727807203</v>
      </c>
      <c r="AG1364">
        <v>19293000</v>
      </c>
      <c r="AH1364">
        <v>19.189149856567401</v>
      </c>
      <c r="AI1364">
        <v>4.7801451683044398</v>
      </c>
    </row>
    <row r="1365" spans="1:35">
      <c r="A1365">
        <f t="shared" si="177"/>
        <v>1</v>
      </c>
      <c r="B1365">
        <f t="shared" si="178"/>
        <v>1</v>
      </c>
      <c r="C1365">
        <f t="shared" si="179"/>
        <v>1</v>
      </c>
      <c r="D1365">
        <f t="shared" si="180"/>
        <v>0</v>
      </c>
      <c r="E1365">
        <f t="shared" si="181"/>
        <v>0</v>
      </c>
      <c r="F1365">
        <f t="shared" si="182"/>
        <v>1</v>
      </c>
      <c r="G1365">
        <f t="shared" si="183"/>
        <v>0</v>
      </c>
      <c r="H1365">
        <v>0</v>
      </c>
      <c r="I1365">
        <f t="shared" si="184"/>
        <v>0</v>
      </c>
      <c r="J1365">
        <f t="shared" si="176"/>
        <v>15.19804382324218</v>
      </c>
      <c r="K1365" t="s">
        <v>266</v>
      </c>
      <c r="L1365" t="s">
        <v>267</v>
      </c>
      <c r="M1365" t="s">
        <v>27</v>
      </c>
      <c r="N1365" t="s">
        <v>27</v>
      </c>
      <c r="O1365">
        <v>13.95</v>
      </c>
      <c r="P1365">
        <v>7.1663799285888699</v>
      </c>
      <c r="Q1365">
        <v>6.75360012054443</v>
      </c>
      <c r="R1365">
        <v>13.5</v>
      </c>
      <c r="S1365">
        <v>10.75</v>
      </c>
      <c r="T1365">
        <v>9.9112110137939506</v>
      </c>
      <c r="U1365" t="s">
        <v>27</v>
      </c>
      <c r="V1365">
        <v>6554000</v>
      </c>
      <c r="W1365">
        <v>1.1827739477157599</v>
      </c>
      <c r="X1365">
        <v>0.28000000119209301</v>
      </c>
      <c r="Y1365">
        <v>10.922156333923301</v>
      </c>
      <c r="Z1365">
        <v>8.4444437026977504</v>
      </c>
      <c r="AA1365">
        <v>8347000</v>
      </c>
      <c r="AB1365" t="s">
        <v>34</v>
      </c>
      <c r="AC1365" t="s">
        <v>35</v>
      </c>
      <c r="AD1365">
        <v>0.270000010728836</v>
      </c>
      <c r="AE1365" t="s">
        <v>27</v>
      </c>
      <c r="AF1365" t="s">
        <v>27</v>
      </c>
      <c r="AG1365">
        <v>9999000</v>
      </c>
      <c r="AH1365">
        <v>9.6982965469360405</v>
      </c>
      <c r="AI1365">
        <v>1.2500180006027199</v>
      </c>
    </row>
    <row r="1366" spans="1:35">
      <c r="A1366">
        <f t="shared" si="177"/>
        <v>0</v>
      </c>
      <c r="B1366">
        <f t="shared" si="178"/>
        <v>0</v>
      </c>
      <c r="C1366">
        <f t="shared" si="179"/>
        <v>0</v>
      </c>
      <c r="D1366">
        <f t="shared" si="180"/>
        <v>0</v>
      </c>
      <c r="E1366">
        <f t="shared" si="181"/>
        <v>0</v>
      </c>
      <c r="F1366">
        <f t="shared" si="182"/>
        <v>1</v>
      </c>
      <c r="G1366">
        <f t="shared" si="183"/>
        <v>0</v>
      </c>
      <c r="H1366">
        <v>0</v>
      </c>
      <c r="I1366">
        <f t="shared" si="184"/>
        <v>0</v>
      </c>
      <c r="J1366">
        <f t="shared" si="176"/>
        <v>15.194014072418209</v>
      </c>
      <c r="K1366" t="s">
        <v>3238</v>
      </c>
      <c r="L1366" t="s">
        <v>3239</v>
      </c>
      <c r="M1366" t="s">
        <v>27</v>
      </c>
      <c r="N1366" t="s">
        <v>27</v>
      </c>
      <c r="O1366">
        <v>22.85</v>
      </c>
      <c r="P1366">
        <v>2.6095709800720202</v>
      </c>
      <c r="Q1366">
        <v>7.55458688735962</v>
      </c>
      <c r="R1366">
        <v>21.280000686645501</v>
      </c>
      <c r="S1366">
        <v>20.5</v>
      </c>
      <c r="T1366">
        <v>38.085788726806598</v>
      </c>
      <c r="U1366">
        <v>91.198783874511705</v>
      </c>
      <c r="V1366">
        <v>-48700000</v>
      </c>
      <c r="W1366">
        <v>4.0736799240112296</v>
      </c>
      <c r="X1366">
        <v>0.259999990463257</v>
      </c>
      <c r="Y1366">
        <v>6.6444659233093297</v>
      </c>
      <c r="Z1366">
        <v>7.6394271850585902</v>
      </c>
      <c r="AA1366">
        <v>54200000</v>
      </c>
      <c r="AB1366" t="s">
        <v>254</v>
      </c>
      <c r="AC1366" t="s">
        <v>400</v>
      </c>
      <c r="AD1366">
        <v>0.17000000178813901</v>
      </c>
      <c r="AE1366">
        <v>78.941375732421903</v>
      </c>
      <c r="AF1366" t="s">
        <v>27</v>
      </c>
      <c r="AG1366">
        <v>54800000</v>
      </c>
      <c r="AH1366">
        <v>41.713558197021499</v>
      </c>
      <c r="AI1366">
        <v>3.38722801208496</v>
      </c>
    </row>
    <row r="1367" spans="1:35">
      <c r="A1367">
        <f t="shared" si="177"/>
        <v>0</v>
      </c>
      <c r="B1367">
        <f t="shared" si="178"/>
        <v>0</v>
      </c>
      <c r="C1367">
        <f t="shared" si="179"/>
        <v>1</v>
      </c>
      <c r="D1367">
        <f t="shared" si="180"/>
        <v>0</v>
      </c>
      <c r="E1367">
        <f t="shared" si="181"/>
        <v>0</v>
      </c>
      <c r="F1367">
        <f t="shared" si="182"/>
        <v>1</v>
      </c>
      <c r="G1367">
        <f t="shared" si="183"/>
        <v>0</v>
      </c>
      <c r="H1367">
        <v>0</v>
      </c>
      <c r="I1367">
        <f t="shared" si="184"/>
        <v>0</v>
      </c>
      <c r="J1367">
        <f t="shared" si="176"/>
        <v>15.158806800842289</v>
      </c>
      <c r="K1367" t="s">
        <v>2967</v>
      </c>
      <c r="L1367" t="s">
        <v>2968</v>
      </c>
      <c r="M1367" t="s">
        <v>27</v>
      </c>
      <c r="N1367" t="s">
        <v>27</v>
      </c>
      <c r="O1367">
        <v>8.7799999999999994</v>
      </c>
      <c r="P1367">
        <v>4.6936311721801802</v>
      </c>
      <c r="Q1367">
        <v>6.6576890945434597</v>
      </c>
      <c r="R1367">
        <v>9.3400001525878906</v>
      </c>
      <c r="S1367">
        <v>11</v>
      </c>
      <c r="T1367">
        <v>26.498613357543899</v>
      </c>
      <c r="U1367">
        <v>55.248321533203097</v>
      </c>
      <c r="V1367">
        <v>1947000</v>
      </c>
      <c r="W1367">
        <v>3.4621899127960201</v>
      </c>
      <c r="X1367">
        <v>0.56000000238418601</v>
      </c>
      <c r="Y1367">
        <v>2.58823490142822</v>
      </c>
      <c r="Z1367">
        <v>8.5011177062988299</v>
      </c>
      <c r="AA1367">
        <v>23592000</v>
      </c>
      <c r="AB1367" t="s">
        <v>34</v>
      </c>
      <c r="AC1367" t="s">
        <v>479</v>
      </c>
      <c r="AD1367">
        <v>-9.9999997764825804E-3</v>
      </c>
      <c r="AE1367">
        <v>43.732219696044901</v>
      </c>
      <c r="AF1367">
        <v>7.53927131008294</v>
      </c>
      <c r="AG1367">
        <v>17441000</v>
      </c>
      <c r="AH1367">
        <v>32.184906005859403</v>
      </c>
      <c r="AI1367">
        <v>2.0148251056671098</v>
      </c>
    </row>
    <row r="1368" spans="1:35">
      <c r="A1368">
        <f t="shared" si="177"/>
        <v>0</v>
      </c>
      <c r="B1368">
        <f t="shared" si="178"/>
        <v>0</v>
      </c>
      <c r="C1368">
        <f t="shared" si="179"/>
        <v>1</v>
      </c>
      <c r="D1368">
        <f t="shared" si="180"/>
        <v>1</v>
      </c>
      <c r="E1368">
        <f t="shared" si="181"/>
        <v>0</v>
      </c>
      <c r="F1368">
        <f t="shared" si="182"/>
        <v>1</v>
      </c>
      <c r="G1368">
        <f t="shared" si="183"/>
        <v>0</v>
      </c>
      <c r="H1368">
        <v>0</v>
      </c>
      <c r="I1368">
        <f t="shared" si="184"/>
        <v>0</v>
      </c>
      <c r="J1368">
        <f t="shared" si="176"/>
        <v>15.157648086547852</v>
      </c>
      <c r="K1368" t="s">
        <v>3011</v>
      </c>
      <c r="L1368" t="s">
        <v>3012</v>
      </c>
      <c r="M1368" t="s">
        <v>27</v>
      </c>
      <c r="N1368" t="s">
        <v>27</v>
      </c>
      <c r="O1368">
        <v>16.8</v>
      </c>
      <c r="P1368">
        <v>8.2399320602416992</v>
      </c>
      <c r="Q1368">
        <v>7.5787010192871103</v>
      </c>
      <c r="R1368">
        <v>23.399999618530298</v>
      </c>
      <c r="S1368">
        <v>26.100000381469702</v>
      </c>
      <c r="T1368">
        <v>37.419548034667997</v>
      </c>
      <c r="U1368">
        <v>34.563194274902301</v>
      </c>
      <c r="V1368">
        <v>395999.90625</v>
      </c>
      <c r="W1368">
        <v>3.6494059562683101</v>
      </c>
      <c r="X1368">
        <v>0.41999998688697798</v>
      </c>
      <c r="Y1368">
        <v>6.9473681449890101</v>
      </c>
      <c r="Z1368">
        <v>7.5789470672607404</v>
      </c>
      <c r="AA1368">
        <v>10986000</v>
      </c>
      <c r="AB1368" t="s">
        <v>27</v>
      </c>
      <c r="AC1368" t="s">
        <v>27</v>
      </c>
      <c r="AD1368">
        <v>0.46000000834464999</v>
      </c>
      <c r="AE1368">
        <v>33.678890228271499</v>
      </c>
      <c r="AF1368">
        <v>7.9906576917683401</v>
      </c>
      <c r="AG1368">
        <v>11827000</v>
      </c>
      <c r="AH1368">
        <v>39.022994995117202</v>
      </c>
      <c r="AI1368">
        <v>3.39654588699341</v>
      </c>
    </row>
    <row r="1369" spans="1:35">
      <c r="A1369">
        <f t="shared" si="177"/>
        <v>1</v>
      </c>
      <c r="B1369">
        <f t="shared" si="178"/>
        <v>1</v>
      </c>
      <c r="C1369">
        <f t="shared" si="179"/>
        <v>1</v>
      </c>
      <c r="D1369">
        <f t="shared" si="180"/>
        <v>0</v>
      </c>
      <c r="E1369">
        <f t="shared" si="181"/>
        <v>0</v>
      </c>
      <c r="F1369">
        <f t="shared" si="182"/>
        <v>1</v>
      </c>
      <c r="G1369">
        <f t="shared" si="183"/>
        <v>0</v>
      </c>
      <c r="H1369">
        <v>0</v>
      </c>
      <c r="I1369">
        <f t="shared" si="184"/>
        <v>1</v>
      </c>
      <c r="J1369">
        <f t="shared" si="176"/>
        <v>15.15425872802734</v>
      </c>
      <c r="K1369" t="s">
        <v>655</v>
      </c>
      <c r="L1369" t="s">
        <v>656</v>
      </c>
      <c r="M1369" t="s">
        <v>27</v>
      </c>
      <c r="N1369" t="s">
        <v>27</v>
      </c>
      <c r="O1369">
        <v>37.948999999999998</v>
      </c>
      <c r="P1369">
        <v>9.1531553268432599</v>
      </c>
      <c r="Q1369">
        <v>8.2092227935790998</v>
      </c>
      <c r="R1369">
        <v>24.7299995422363</v>
      </c>
      <c r="S1369">
        <v>24.125</v>
      </c>
      <c r="T1369">
        <v>6.70454978942871</v>
      </c>
      <c r="U1369" t="s">
        <v>27</v>
      </c>
      <c r="V1369">
        <v>7894000</v>
      </c>
      <c r="W1369">
        <v>1.06130599975586</v>
      </c>
      <c r="X1369">
        <v>0.46000000834464999</v>
      </c>
      <c r="Y1369">
        <v>9.2523956298828107</v>
      </c>
      <c r="Z1369">
        <v>6.9450359344482404</v>
      </c>
      <c r="AA1369">
        <v>10192000</v>
      </c>
      <c r="AB1369" t="s">
        <v>34</v>
      </c>
      <c r="AC1369" t="s">
        <v>35</v>
      </c>
      <c r="AD1369">
        <v>0.34999999403953602</v>
      </c>
      <c r="AE1369" t="s">
        <v>27</v>
      </c>
      <c r="AF1369" t="s">
        <v>27</v>
      </c>
      <c r="AG1369">
        <v>10685000</v>
      </c>
      <c r="AH1369">
        <v>3.8722379207611102</v>
      </c>
      <c r="AI1369">
        <v>1.2273919582366899</v>
      </c>
    </row>
    <row r="1370" spans="1:35">
      <c r="A1370">
        <f t="shared" si="177"/>
        <v>1</v>
      </c>
      <c r="B1370">
        <f t="shared" si="178"/>
        <v>1</v>
      </c>
      <c r="C1370">
        <f t="shared" si="179"/>
        <v>1</v>
      </c>
      <c r="D1370">
        <f t="shared" si="180"/>
        <v>1</v>
      </c>
      <c r="E1370">
        <f t="shared" si="181"/>
        <v>0</v>
      </c>
      <c r="F1370">
        <f t="shared" si="182"/>
        <v>1</v>
      </c>
      <c r="G1370">
        <f t="shared" si="183"/>
        <v>1</v>
      </c>
      <c r="H1370">
        <v>0</v>
      </c>
      <c r="I1370">
        <f t="shared" si="184"/>
        <v>0</v>
      </c>
      <c r="J1370">
        <f t="shared" si="176"/>
        <v>15.14699673652648</v>
      </c>
      <c r="K1370" t="s">
        <v>2971</v>
      </c>
      <c r="L1370" t="s">
        <v>2972</v>
      </c>
      <c r="M1370" t="s">
        <v>27</v>
      </c>
      <c r="N1370" t="s">
        <v>27</v>
      </c>
      <c r="O1370">
        <v>30.95</v>
      </c>
      <c r="P1370" t="s">
        <v>27</v>
      </c>
      <c r="Q1370">
        <v>11.9973907470703</v>
      </c>
      <c r="R1370">
        <v>29.079999923706101</v>
      </c>
      <c r="S1370">
        <v>25.875</v>
      </c>
      <c r="T1370">
        <v>30.671628952026399</v>
      </c>
      <c r="U1370">
        <v>47.143295288085902</v>
      </c>
      <c r="V1370">
        <v>12850000</v>
      </c>
      <c r="W1370">
        <v>1.65720498561859</v>
      </c>
      <c r="X1370">
        <v>0.20999999344348899</v>
      </c>
      <c r="Y1370">
        <v>5.5131092071533203</v>
      </c>
      <c r="Z1370">
        <v>3.1496059894561799</v>
      </c>
      <c r="AA1370">
        <v>29502516</v>
      </c>
      <c r="AB1370" t="s">
        <v>27</v>
      </c>
      <c r="AC1370" t="s">
        <v>27</v>
      </c>
      <c r="AD1370">
        <v>0.270000010728836</v>
      </c>
      <c r="AE1370">
        <v>47.388950347900398</v>
      </c>
      <c r="AF1370">
        <v>9.7833688865570405</v>
      </c>
      <c r="AG1370">
        <v>30588000</v>
      </c>
      <c r="AH1370">
        <v>21.695844650268601</v>
      </c>
      <c r="AI1370">
        <v>9.31298923492432</v>
      </c>
    </row>
    <row r="1371" spans="1:35">
      <c r="A1371">
        <f t="shared" si="177"/>
        <v>0</v>
      </c>
      <c r="B1371">
        <f t="shared" si="178"/>
        <v>0</v>
      </c>
      <c r="C1371">
        <f t="shared" si="179"/>
        <v>1</v>
      </c>
      <c r="D1371">
        <f t="shared" si="180"/>
        <v>0</v>
      </c>
      <c r="E1371">
        <f t="shared" si="181"/>
        <v>0</v>
      </c>
      <c r="F1371">
        <f t="shared" si="182"/>
        <v>1</v>
      </c>
      <c r="G1371">
        <f t="shared" si="183"/>
        <v>0</v>
      </c>
      <c r="H1371">
        <v>0</v>
      </c>
      <c r="I1371">
        <f t="shared" si="184"/>
        <v>0</v>
      </c>
      <c r="J1371">
        <f t="shared" si="176"/>
        <v>15.144141674041752</v>
      </c>
      <c r="K1371" t="s">
        <v>1912</v>
      </c>
      <c r="L1371" t="s">
        <v>1913</v>
      </c>
      <c r="M1371" t="s">
        <v>27</v>
      </c>
      <c r="N1371" t="s">
        <v>27</v>
      </c>
      <c r="O1371">
        <v>6.25</v>
      </c>
      <c r="P1371">
        <v>14.464816093444799</v>
      </c>
      <c r="Q1371">
        <v>7.0633339881896999</v>
      </c>
      <c r="R1371">
        <v>11.3800001144409</v>
      </c>
      <c r="S1371">
        <v>12</v>
      </c>
      <c r="T1371">
        <v>22.8129272460938</v>
      </c>
      <c r="U1371">
        <v>22.555973052978501</v>
      </c>
      <c r="V1371">
        <v>41064000</v>
      </c>
      <c r="W1371">
        <v>9.4586229324340803</v>
      </c>
      <c r="X1371">
        <v>0.30000001192092901</v>
      </c>
      <c r="Y1371">
        <v>9.9013462066650408</v>
      </c>
      <c r="Z1371">
        <v>8.0808076858520508</v>
      </c>
      <c r="AA1371">
        <v>42884000</v>
      </c>
      <c r="AB1371" t="s">
        <v>27</v>
      </c>
      <c r="AC1371" t="s">
        <v>27</v>
      </c>
      <c r="AD1371">
        <v>-2.6800000667571999</v>
      </c>
      <c r="AE1371">
        <v>19.249244689941399</v>
      </c>
      <c r="AF1371">
        <v>10.142101265391601</v>
      </c>
      <c r="AG1371">
        <v>42142000</v>
      </c>
      <c r="AH1371">
        <v>32.332740783691399</v>
      </c>
      <c r="AI1371">
        <v>4.6250081062316903</v>
      </c>
    </row>
    <row r="1372" spans="1:35">
      <c r="A1372">
        <f t="shared" si="177"/>
        <v>1</v>
      </c>
      <c r="B1372">
        <f t="shared" si="178"/>
        <v>1</v>
      </c>
      <c r="C1372">
        <f t="shared" si="179"/>
        <v>1</v>
      </c>
      <c r="D1372">
        <f t="shared" si="180"/>
        <v>1</v>
      </c>
      <c r="E1372">
        <f t="shared" si="181"/>
        <v>0</v>
      </c>
      <c r="F1372">
        <f t="shared" si="182"/>
        <v>1</v>
      </c>
      <c r="G1372">
        <f t="shared" si="183"/>
        <v>0</v>
      </c>
      <c r="H1372">
        <v>0</v>
      </c>
      <c r="I1372">
        <f t="shared" si="184"/>
        <v>0</v>
      </c>
      <c r="J1372">
        <f t="shared" si="176"/>
        <v>15.120246887207029</v>
      </c>
      <c r="K1372" t="s">
        <v>3045</v>
      </c>
      <c r="L1372" t="s">
        <v>3046</v>
      </c>
      <c r="M1372" t="s">
        <v>27</v>
      </c>
      <c r="N1372" t="s">
        <v>27</v>
      </c>
      <c r="O1372">
        <v>25.42</v>
      </c>
      <c r="P1372">
        <v>6.2669548988342303</v>
      </c>
      <c r="Q1372">
        <v>7.3852038383483896</v>
      </c>
      <c r="R1372">
        <v>23.870000839233398</v>
      </c>
      <c r="S1372">
        <v>23.375</v>
      </c>
      <c r="T1372">
        <v>21.079900741577099</v>
      </c>
      <c r="U1372" t="s">
        <v>27</v>
      </c>
      <c r="V1372">
        <v>5340000</v>
      </c>
      <c r="W1372">
        <v>1.94282698631287</v>
      </c>
      <c r="X1372">
        <v>0.41999998688697798</v>
      </c>
      <c r="Y1372">
        <v>8.5263156890869105</v>
      </c>
      <c r="Z1372">
        <v>7.7350430488586399</v>
      </c>
      <c r="AA1372">
        <v>26985000</v>
      </c>
      <c r="AB1372" t="s">
        <v>34</v>
      </c>
      <c r="AC1372" t="s">
        <v>35</v>
      </c>
      <c r="AD1372">
        <v>0.43999999761581399</v>
      </c>
      <c r="AE1372" t="s">
        <v>27</v>
      </c>
      <c r="AF1372" t="s">
        <v>27</v>
      </c>
      <c r="AG1372">
        <v>26777000</v>
      </c>
      <c r="AH1372">
        <v>15.595014572143601</v>
      </c>
      <c r="AI1372">
        <v>1.99686396121979</v>
      </c>
    </row>
    <row r="1373" spans="1:35">
      <c r="A1373">
        <f t="shared" si="177"/>
        <v>0</v>
      </c>
      <c r="B1373">
        <f t="shared" si="178"/>
        <v>1</v>
      </c>
      <c r="C1373">
        <f t="shared" si="179"/>
        <v>0</v>
      </c>
      <c r="D1373">
        <f t="shared" si="180"/>
        <v>0</v>
      </c>
      <c r="E1373">
        <f t="shared" si="181"/>
        <v>0</v>
      </c>
      <c r="F1373">
        <f t="shared" si="182"/>
        <v>1</v>
      </c>
      <c r="G1373">
        <f t="shared" si="183"/>
        <v>0</v>
      </c>
      <c r="H1373">
        <v>0</v>
      </c>
      <c r="I1373">
        <f t="shared" si="184"/>
        <v>0</v>
      </c>
      <c r="J1373">
        <f t="shared" si="176"/>
        <v>15.098342418670661</v>
      </c>
      <c r="K1373" t="s">
        <v>2068</v>
      </c>
      <c r="L1373" t="s">
        <v>2069</v>
      </c>
      <c r="M1373" t="s">
        <v>27</v>
      </c>
      <c r="N1373" t="s">
        <v>27</v>
      </c>
      <c r="O1373">
        <v>25.03</v>
      </c>
      <c r="P1373">
        <v>9.0239782333374006</v>
      </c>
      <c r="Q1373">
        <v>8.3468742370605504</v>
      </c>
      <c r="R1373">
        <v>28.600000381469702</v>
      </c>
      <c r="S1373">
        <v>27.7600002288818</v>
      </c>
      <c r="T1373">
        <v>53.513149261474602</v>
      </c>
      <c r="U1373" t="s">
        <v>27</v>
      </c>
      <c r="V1373">
        <v>-59612000</v>
      </c>
      <c r="W1373">
        <v>3.4256029129028298</v>
      </c>
      <c r="X1373">
        <v>1</v>
      </c>
      <c r="Y1373">
        <v>8.3862066268920898</v>
      </c>
      <c r="Z1373">
        <v>6.7514681816101101</v>
      </c>
      <c r="AA1373">
        <v>23271000</v>
      </c>
      <c r="AB1373" t="s">
        <v>27</v>
      </c>
      <c r="AC1373" t="s">
        <v>27</v>
      </c>
      <c r="AD1373">
        <v>0.15999999642372101</v>
      </c>
      <c r="AE1373" t="s">
        <v>27</v>
      </c>
      <c r="AF1373">
        <v>12.0316913190359</v>
      </c>
      <c r="AG1373">
        <v>24298000</v>
      </c>
      <c r="AH1373">
        <v>56.465259552002003</v>
      </c>
      <c r="AI1373">
        <v>4.6060981750488299</v>
      </c>
    </row>
    <row r="1374" spans="1:35">
      <c r="A1374">
        <f t="shared" si="177"/>
        <v>1</v>
      </c>
      <c r="B1374">
        <f t="shared" si="178"/>
        <v>0</v>
      </c>
      <c r="C1374">
        <f t="shared" si="179"/>
        <v>0</v>
      </c>
      <c r="D1374">
        <f t="shared" si="180"/>
        <v>1</v>
      </c>
      <c r="E1374">
        <f t="shared" si="181"/>
        <v>0</v>
      </c>
      <c r="F1374">
        <f t="shared" si="182"/>
        <v>1</v>
      </c>
      <c r="G1374">
        <f t="shared" si="183"/>
        <v>0</v>
      </c>
      <c r="H1374">
        <v>0</v>
      </c>
      <c r="I1374">
        <f t="shared" si="184"/>
        <v>1</v>
      </c>
      <c r="J1374">
        <f t="shared" si="176"/>
        <v>15.06143045425415</v>
      </c>
      <c r="K1374" t="s">
        <v>1969</v>
      </c>
      <c r="L1374" t="s">
        <v>1970</v>
      </c>
      <c r="M1374" t="s">
        <v>27</v>
      </c>
      <c r="N1374" t="s">
        <v>27</v>
      </c>
      <c r="O1374">
        <v>16.350000000000001</v>
      </c>
      <c r="P1374">
        <v>6.6003527641296396</v>
      </c>
      <c r="Q1374">
        <v>8.2110366821289098</v>
      </c>
      <c r="R1374">
        <v>13.6499996185303</v>
      </c>
      <c r="S1374">
        <v>13.5</v>
      </c>
      <c r="T1374">
        <v>64.744384765625</v>
      </c>
      <c r="U1374" t="s">
        <v>27</v>
      </c>
      <c r="V1374">
        <v>-1883999.875</v>
      </c>
      <c r="W1374">
        <v>1.34630703926086</v>
      </c>
      <c r="X1374">
        <v>-0.46000000834464999</v>
      </c>
      <c r="Y1374">
        <v>5.7600002288818404</v>
      </c>
      <c r="Z1374">
        <v>6.8503937721252397</v>
      </c>
      <c r="AA1374">
        <v>9323000</v>
      </c>
      <c r="AB1374" t="s">
        <v>27</v>
      </c>
      <c r="AC1374" t="s">
        <v>27</v>
      </c>
      <c r="AD1374">
        <v>0.62999999523162797</v>
      </c>
      <c r="AE1374" t="s">
        <v>27</v>
      </c>
      <c r="AF1374">
        <v>10.6109811098324</v>
      </c>
      <c r="AG1374">
        <v>18396000</v>
      </c>
      <c r="AH1374">
        <v>52.624519348144503</v>
      </c>
      <c r="AI1374">
        <v>0.79106998443603505</v>
      </c>
    </row>
    <row r="1375" spans="1:35">
      <c r="A1375">
        <f t="shared" si="177"/>
        <v>0</v>
      </c>
      <c r="B1375">
        <f t="shared" si="178"/>
        <v>1</v>
      </c>
      <c r="C1375">
        <f t="shared" si="179"/>
        <v>1</v>
      </c>
      <c r="D1375">
        <f t="shared" si="180"/>
        <v>1</v>
      </c>
      <c r="E1375">
        <f t="shared" si="181"/>
        <v>0</v>
      </c>
      <c r="F1375">
        <f t="shared" si="182"/>
        <v>1</v>
      </c>
      <c r="G1375">
        <f t="shared" si="183"/>
        <v>0</v>
      </c>
      <c r="H1375">
        <v>0</v>
      </c>
      <c r="I1375">
        <f t="shared" si="184"/>
        <v>0</v>
      </c>
      <c r="J1375">
        <f t="shared" si="176"/>
        <v>15.055960655212399</v>
      </c>
      <c r="K1375" t="s">
        <v>1506</v>
      </c>
      <c r="L1375" t="s">
        <v>1507</v>
      </c>
      <c r="M1375" t="s">
        <v>27</v>
      </c>
      <c r="N1375" t="s">
        <v>27</v>
      </c>
      <c r="O1375">
        <v>30.7</v>
      </c>
      <c r="P1375" t="s">
        <v>27</v>
      </c>
      <c r="Q1375">
        <v>7.2332248687744096</v>
      </c>
      <c r="R1375">
        <v>29.299999237060501</v>
      </c>
      <c r="S1375">
        <v>18.850000381469702</v>
      </c>
      <c r="T1375">
        <v>29.714380264282202</v>
      </c>
      <c r="U1375">
        <v>39.0681762695313</v>
      </c>
      <c r="V1375">
        <v>16286001</v>
      </c>
      <c r="W1375">
        <v>-1.4465260505676301</v>
      </c>
      <c r="X1375">
        <v>-1.7799999713897701</v>
      </c>
      <c r="Y1375">
        <v>12.315458297729499</v>
      </c>
      <c r="Z1375">
        <v>7.8227357864379901</v>
      </c>
      <c r="AA1375">
        <v>13395000</v>
      </c>
      <c r="AB1375" t="s">
        <v>27</v>
      </c>
      <c r="AC1375" t="s">
        <v>27</v>
      </c>
      <c r="AD1375">
        <v>0.83999997377395597</v>
      </c>
      <c r="AE1375">
        <v>18.485893249511701</v>
      </c>
      <c r="AF1375">
        <v>4.4279473944707597</v>
      </c>
      <c r="AG1375">
        <v>13451707</v>
      </c>
      <c r="AH1375">
        <v>31.539310455322301</v>
      </c>
      <c r="AI1375">
        <v>4.3459939956665004</v>
      </c>
    </row>
    <row r="1376" spans="1:35">
      <c r="A1376">
        <f t="shared" si="177"/>
        <v>1</v>
      </c>
      <c r="B1376">
        <f t="shared" si="178"/>
        <v>1</v>
      </c>
      <c r="C1376">
        <f t="shared" si="179"/>
        <v>0</v>
      </c>
      <c r="D1376">
        <f t="shared" si="180"/>
        <v>0</v>
      </c>
      <c r="E1376">
        <f t="shared" si="181"/>
        <v>0</v>
      </c>
      <c r="F1376">
        <f t="shared" si="182"/>
        <v>1</v>
      </c>
      <c r="G1376">
        <f t="shared" si="183"/>
        <v>1</v>
      </c>
      <c r="H1376">
        <v>0</v>
      </c>
      <c r="I1376">
        <f t="shared" si="184"/>
        <v>0</v>
      </c>
      <c r="J1376">
        <f t="shared" ref="J1376:J1439" si="185">Z1376+Q1376</f>
        <v>15.03716564178467</v>
      </c>
      <c r="K1376" t="s">
        <v>3270</v>
      </c>
      <c r="L1376" t="s">
        <v>3271</v>
      </c>
      <c r="M1376" t="s">
        <v>27</v>
      </c>
      <c r="N1376" t="s">
        <v>27</v>
      </c>
      <c r="O1376">
        <v>5.59</v>
      </c>
      <c r="P1376" t="s">
        <v>27</v>
      </c>
      <c r="Q1376">
        <v>8.85534763336182</v>
      </c>
      <c r="R1376">
        <v>8.0500001907348597</v>
      </c>
      <c r="S1376">
        <v>3.3099999427795401</v>
      </c>
      <c r="T1376">
        <v>36.565544128417997</v>
      </c>
      <c r="U1376">
        <v>27.043949127197301</v>
      </c>
      <c r="V1376">
        <v>-40895000</v>
      </c>
      <c r="W1376">
        <v>-20.843685150146499</v>
      </c>
      <c r="X1376">
        <v>-0.140000000596046</v>
      </c>
      <c r="Y1376">
        <v>-9.1428575515747106</v>
      </c>
      <c r="Z1376">
        <v>6.1818180084228498</v>
      </c>
      <c r="AA1376">
        <v>32337002</v>
      </c>
      <c r="AB1376" t="s">
        <v>27</v>
      </c>
      <c r="AC1376" t="s">
        <v>27</v>
      </c>
      <c r="AD1376">
        <v>-0.140000000596046</v>
      </c>
      <c r="AE1376">
        <v>27.514072418212901</v>
      </c>
      <c r="AF1376">
        <v>5.1494928599944698</v>
      </c>
      <c r="AG1376">
        <v>32641998</v>
      </c>
      <c r="AH1376">
        <v>32.788257598877003</v>
      </c>
      <c r="AI1376">
        <v>3.8950641155242902</v>
      </c>
    </row>
    <row r="1377" spans="1:35">
      <c r="A1377">
        <f t="shared" ref="A1377:A1440" si="186">IF(AH1377&lt;T1377,1,0)</f>
        <v>0</v>
      </c>
      <c r="B1377">
        <f t="shared" ref="B1377:B1440" si="187">IF(AI1377&gt;W1377,1,0)</f>
        <v>0</v>
      </c>
      <c r="C1377">
        <f t="shared" ref="C1377:C1440" si="188">IF(V1377&gt;0,1,0)</f>
        <v>1</v>
      </c>
      <c r="D1377">
        <f t="shared" ref="D1377:D1440" si="189">IF(AD1377&gt;X1377,1,0)</f>
        <v>1</v>
      </c>
      <c r="E1377">
        <f t="shared" ref="E1377:E1440" si="190">IF(AA1377=AG1377,1,0)</f>
        <v>0</v>
      </c>
      <c r="F1377">
        <f t="shared" ref="F1377:F1440" si="191">IF(AI1377&gt;0,1,0)</f>
        <v>1</v>
      </c>
      <c r="G1377">
        <f t="shared" ref="G1377:G1440" si="192">IF(AE1377&gt;U1377,1,0)</f>
        <v>0</v>
      </c>
      <c r="H1377">
        <v>0</v>
      </c>
      <c r="I1377">
        <f t="shared" ref="I1377:I1440" si="193">IF(((O1377-R1377)/R1377)&gt;0.075,1,0)</f>
        <v>0</v>
      </c>
      <c r="J1377">
        <f t="shared" si="185"/>
        <v>15.033570289611811</v>
      </c>
      <c r="K1377" t="s">
        <v>1758</v>
      </c>
      <c r="L1377" t="s">
        <v>1759</v>
      </c>
      <c r="M1377" t="s">
        <v>27</v>
      </c>
      <c r="N1377" t="s">
        <v>27</v>
      </c>
      <c r="O1377">
        <v>22.8</v>
      </c>
      <c r="P1377" t="s">
        <v>27</v>
      </c>
      <c r="Q1377">
        <v>6.2605638504028303</v>
      </c>
      <c r="R1377">
        <v>22.100000381469702</v>
      </c>
      <c r="S1377">
        <v>14.5</v>
      </c>
      <c r="T1377">
        <v>11.185360908508301</v>
      </c>
      <c r="U1377" t="s">
        <v>27</v>
      </c>
      <c r="V1377">
        <v>15633000</v>
      </c>
      <c r="W1377">
        <v>1.07616603374481</v>
      </c>
      <c r="X1377">
        <v>0.270000010728836</v>
      </c>
      <c r="Y1377">
        <v>10.0833330154419</v>
      </c>
      <c r="Z1377">
        <v>8.7730064392089808</v>
      </c>
      <c r="AA1377">
        <v>14252000</v>
      </c>
      <c r="AB1377" t="s">
        <v>34</v>
      </c>
      <c r="AC1377" t="s">
        <v>35</v>
      </c>
      <c r="AD1377">
        <v>0.37999999523162797</v>
      </c>
      <c r="AE1377" t="s">
        <v>27</v>
      </c>
      <c r="AF1377" t="s">
        <v>27</v>
      </c>
      <c r="AG1377">
        <v>14311000</v>
      </c>
      <c r="AH1377">
        <v>16.779359817504901</v>
      </c>
      <c r="AI1377">
        <v>0.85818397998809803</v>
      </c>
    </row>
    <row r="1378" spans="1:35">
      <c r="A1378">
        <f t="shared" si="186"/>
        <v>1</v>
      </c>
      <c r="B1378">
        <f t="shared" si="187"/>
        <v>0</v>
      </c>
      <c r="C1378">
        <f t="shared" si="188"/>
        <v>0</v>
      </c>
      <c r="D1378">
        <f t="shared" si="189"/>
        <v>1</v>
      </c>
      <c r="E1378">
        <f t="shared" si="190"/>
        <v>0</v>
      </c>
      <c r="F1378">
        <f t="shared" si="191"/>
        <v>1</v>
      </c>
      <c r="G1378">
        <f t="shared" si="192"/>
        <v>1</v>
      </c>
      <c r="H1378">
        <v>0</v>
      </c>
      <c r="I1378">
        <f t="shared" si="193"/>
        <v>0</v>
      </c>
      <c r="J1378">
        <f t="shared" si="185"/>
        <v>15.016322135925289</v>
      </c>
      <c r="K1378" t="s">
        <v>3877</v>
      </c>
      <c r="L1378" t="s">
        <v>3878</v>
      </c>
      <c r="M1378" t="s">
        <v>27</v>
      </c>
      <c r="N1378" t="s">
        <v>27</v>
      </c>
      <c r="O1378">
        <v>14.95</v>
      </c>
      <c r="P1378">
        <v>4.5673041343689</v>
      </c>
      <c r="Q1378">
        <v>8.4708671569824201</v>
      </c>
      <c r="R1378">
        <v>14.949999809265099</v>
      </c>
      <c r="S1378">
        <v>15.310000419616699</v>
      </c>
      <c r="T1378">
        <v>28.1237182617188</v>
      </c>
      <c r="U1378">
        <v>26.7950038909912</v>
      </c>
      <c r="V1378">
        <v>-22662000</v>
      </c>
      <c r="W1378">
        <v>6.1333131790161097</v>
      </c>
      <c r="X1378">
        <v>-0.37999999523162797</v>
      </c>
      <c r="Y1378">
        <v>11.157895088195801</v>
      </c>
      <c r="Z1378">
        <v>6.5454549789428702</v>
      </c>
      <c r="AA1378">
        <v>41557000</v>
      </c>
      <c r="AB1378" t="s">
        <v>30</v>
      </c>
      <c r="AC1378" t="s">
        <v>542</v>
      </c>
      <c r="AD1378">
        <v>0.34999999403953602</v>
      </c>
      <c r="AE1378">
        <v>36.4162788391113</v>
      </c>
      <c r="AF1378">
        <v>7.45032625696438</v>
      </c>
      <c r="AG1378">
        <v>41641000</v>
      </c>
      <c r="AH1378">
        <v>22.1853141784668</v>
      </c>
      <c r="AI1378">
        <v>2.07782006263733</v>
      </c>
    </row>
    <row r="1379" spans="1:35">
      <c r="A1379">
        <f t="shared" si="186"/>
        <v>1</v>
      </c>
      <c r="B1379">
        <f t="shared" si="187"/>
        <v>1</v>
      </c>
      <c r="C1379">
        <f t="shared" si="188"/>
        <v>1</v>
      </c>
      <c r="D1379">
        <f t="shared" si="189"/>
        <v>1</v>
      </c>
      <c r="E1379">
        <f t="shared" si="190"/>
        <v>0</v>
      </c>
      <c r="F1379">
        <f t="shared" si="191"/>
        <v>1</v>
      </c>
      <c r="G1379">
        <f t="shared" si="192"/>
        <v>1</v>
      </c>
      <c r="H1379">
        <v>0</v>
      </c>
      <c r="I1379">
        <f t="shared" si="193"/>
        <v>1</v>
      </c>
      <c r="J1379">
        <f t="shared" si="185"/>
        <v>15.012612342834469</v>
      </c>
      <c r="K1379" t="s">
        <v>1008</v>
      </c>
      <c r="L1379" t="s">
        <v>1009</v>
      </c>
      <c r="M1379" t="s">
        <v>27</v>
      </c>
      <c r="N1379" t="s">
        <v>27</v>
      </c>
      <c r="O1379">
        <v>20.12</v>
      </c>
      <c r="P1379" t="s">
        <v>27</v>
      </c>
      <c r="Q1379">
        <v>8.2300033569335902</v>
      </c>
      <c r="R1379">
        <v>16.75</v>
      </c>
      <c r="S1379">
        <v>8.8333333333333304</v>
      </c>
      <c r="T1379">
        <v>15.511090278625501</v>
      </c>
      <c r="U1379">
        <v>-0.92452299594879195</v>
      </c>
      <c r="V1379">
        <v>4058000</v>
      </c>
      <c r="W1379">
        <v>0.20658700168132799</v>
      </c>
      <c r="X1379">
        <v>-0.47666664918263801</v>
      </c>
      <c r="Y1379">
        <v>0.29319399595260598</v>
      </c>
      <c r="Z1379">
        <v>6.7826089859008798</v>
      </c>
      <c r="AA1379">
        <v>26720067</v>
      </c>
      <c r="AB1379" t="s">
        <v>61</v>
      </c>
      <c r="AC1379" t="s">
        <v>65</v>
      </c>
      <c r="AD1379">
        <v>0.220000008742015</v>
      </c>
      <c r="AE1379">
        <v>25.0361938476563</v>
      </c>
      <c r="AF1379">
        <v>10.985016805633601</v>
      </c>
      <c r="AG1379">
        <v>26721000</v>
      </c>
      <c r="AH1379">
        <v>14.6478519439697</v>
      </c>
      <c r="AI1379">
        <v>6.2805771827697798</v>
      </c>
    </row>
    <row r="1380" spans="1:35">
      <c r="A1380">
        <f t="shared" si="186"/>
        <v>1</v>
      </c>
      <c r="B1380">
        <f t="shared" si="187"/>
        <v>1</v>
      </c>
      <c r="C1380">
        <f t="shared" si="188"/>
        <v>0</v>
      </c>
      <c r="D1380">
        <f t="shared" si="189"/>
        <v>0</v>
      </c>
      <c r="E1380">
        <f t="shared" si="190"/>
        <v>0</v>
      </c>
      <c r="F1380">
        <f t="shared" si="191"/>
        <v>1</v>
      </c>
      <c r="G1380">
        <f t="shared" si="192"/>
        <v>0</v>
      </c>
      <c r="H1380">
        <v>0</v>
      </c>
      <c r="I1380">
        <f t="shared" si="193"/>
        <v>0</v>
      </c>
      <c r="J1380">
        <f t="shared" si="185"/>
        <v>15.003232955932621</v>
      </c>
      <c r="K1380" t="s">
        <v>1044</v>
      </c>
      <c r="L1380" t="s">
        <v>1045</v>
      </c>
      <c r="M1380" t="s">
        <v>27</v>
      </c>
      <c r="N1380" t="s">
        <v>27</v>
      </c>
      <c r="O1380">
        <v>8.14</v>
      </c>
      <c r="P1380">
        <v>6.0385999679565403</v>
      </c>
      <c r="Q1380">
        <v>5.1791858673095703</v>
      </c>
      <c r="R1380">
        <v>8.1499996185302699</v>
      </c>
      <c r="S1380">
        <v>9.75</v>
      </c>
      <c r="T1380">
        <v>36.195346832275398</v>
      </c>
      <c r="U1380">
        <v>21.6811408996582</v>
      </c>
      <c r="V1380">
        <v>-978000.625</v>
      </c>
      <c r="W1380">
        <v>2.1473839282989502</v>
      </c>
      <c r="X1380">
        <v>0.119999997317791</v>
      </c>
      <c r="Y1380">
        <v>10.622950553894</v>
      </c>
      <c r="Z1380">
        <v>9.8240470886230504</v>
      </c>
      <c r="AA1380">
        <v>12953000</v>
      </c>
      <c r="AB1380" t="s">
        <v>27</v>
      </c>
      <c r="AC1380" t="s">
        <v>27</v>
      </c>
      <c r="AD1380">
        <v>-0.140000000596046</v>
      </c>
      <c r="AE1380">
        <v>16.128595352172901</v>
      </c>
      <c r="AF1380">
        <v>3.93249096804076</v>
      </c>
      <c r="AG1380">
        <v>12955000</v>
      </c>
      <c r="AH1380">
        <v>32.401782989502003</v>
      </c>
      <c r="AI1380">
        <v>4.28102684020996</v>
      </c>
    </row>
    <row r="1381" spans="1:35">
      <c r="A1381">
        <f t="shared" si="186"/>
        <v>1</v>
      </c>
      <c r="B1381">
        <f t="shared" si="187"/>
        <v>1</v>
      </c>
      <c r="C1381">
        <f t="shared" si="188"/>
        <v>1</v>
      </c>
      <c r="D1381">
        <f t="shared" si="189"/>
        <v>1</v>
      </c>
      <c r="E1381">
        <f t="shared" si="190"/>
        <v>0</v>
      </c>
      <c r="F1381">
        <f t="shared" si="191"/>
        <v>1</v>
      </c>
      <c r="G1381">
        <f t="shared" si="192"/>
        <v>0</v>
      </c>
      <c r="H1381">
        <v>0</v>
      </c>
      <c r="I1381">
        <f t="shared" si="193"/>
        <v>1</v>
      </c>
      <c r="J1381">
        <f t="shared" si="185"/>
        <v>14.980378150939909</v>
      </c>
      <c r="K1381" t="s">
        <v>2865</v>
      </c>
      <c r="L1381" t="s">
        <v>2866</v>
      </c>
      <c r="M1381" t="s">
        <v>27</v>
      </c>
      <c r="N1381" t="s">
        <v>27</v>
      </c>
      <c r="O1381">
        <v>34.799999999999997</v>
      </c>
      <c r="P1381">
        <v>3.7986690998077401</v>
      </c>
      <c r="Q1381">
        <v>4.4768772125244096</v>
      </c>
      <c r="R1381">
        <v>25</v>
      </c>
      <c r="S1381">
        <v>19</v>
      </c>
      <c r="T1381">
        <v>23.4985160827637</v>
      </c>
      <c r="U1381" t="s">
        <v>27</v>
      </c>
      <c r="V1381">
        <v>14597000</v>
      </c>
      <c r="W1381">
        <v>1.0607880353927599</v>
      </c>
      <c r="X1381">
        <v>0.53039999008178695</v>
      </c>
      <c r="Y1381">
        <v>11.934852600097701</v>
      </c>
      <c r="Z1381">
        <v>10.503500938415501</v>
      </c>
      <c r="AA1381">
        <v>6370000</v>
      </c>
      <c r="AB1381" t="s">
        <v>27</v>
      </c>
      <c r="AC1381" t="s">
        <v>27</v>
      </c>
      <c r="AD1381">
        <v>0.75999999046325695</v>
      </c>
      <c r="AE1381" t="s">
        <v>27</v>
      </c>
      <c r="AF1381" t="s">
        <v>27</v>
      </c>
      <c r="AG1381">
        <v>6477500</v>
      </c>
      <c r="AH1381">
        <v>18.807308197021499</v>
      </c>
      <c r="AI1381">
        <v>1.2028839588165301</v>
      </c>
    </row>
    <row r="1382" spans="1:35">
      <c r="A1382">
        <f t="shared" si="186"/>
        <v>0</v>
      </c>
      <c r="B1382">
        <f t="shared" si="187"/>
        <v>0</v>
      </c>
      <c r="C1382">
        <f t="shared" si="188"/>
        <v>1</v>
      </c>
      <c r="D1382">
        <f t="shared" si="189"/>
        <v>0</v>
      </c>
      <c r="E1382">
        <f t="shared" si="190"/>
        <v>0</v>
      </c>
      <c r="F1382">
        <f t="shared" si="191"/>
        <v>1</v>
      </c>
      <c r="G1382">
        <f t="shared" si="192"/>
        <v>0</v>
      </c>
      <c r="H1382">
        <v>0</v>
      </c>
      <c r="I1382">
        <f t="shared" si="193"/>
        <v>1</v>
      </c>
      <c r="J1382">
        <f t="shared" si="185"/>
        <v>14.941289424896208</v>
      </c>
      <c r="K1382" t="s">
        <v>3837</v>
      </c>
      <c r="L1382" t="s">
        <v>3838</v>
      </c>
      <c r="M1382" t="s">
        <v>27</v>
      </c>
      <c r="N1382" t="s">
        <v>27</v>
      </c>
      <c r="O1382">
        <v>19.420000000000002</v>
      </c>
      <c r="P1382">
        <v>5.19278907775879</v>
      </c>
      <c r="Q1382">
        <v>4.1375651359558097</v>
      </c>
      <c r="R1382">
        <v>16.816216216059999</v>
      </c>
      <c r="S1382">
        <v>15.850785265678899</v>
      </c>
      <c r="T1382">
        <v>46.340095520019503</v>
      </c>
      <c r="U1382" t="s">
        <v>27</v>
      </c>
      <c r="V1382">
        <v>34419000</v>
      </c>
      <c r="W1382">
        <v>1.2677470445632899</v>
      </c>
      <c r="X1382">
        <v>0.55633913887926301</v>
      </c>
      <c r="Y1382">
        <v>15.9333333969116</v>
      </c>
      <c r="Z1382">
        <v>10.803724288940399</v>
      </c>
      <c r="AA1382">
        <v>32710964.409767501</v>
      </c>
      <c r="AB1382" t="s">
        <v>27</v>
      </c>
      <c r="AC1382" t="s">
        <v>27</v>
      </c>
      <c r="AD1382">
        <v>0.22652432644479001</v>
      </c>
      <c r="AE1382" t="s">
        <v>27</v>
      </c>
      <c r="AF1382" t="s">
        <v>27</v>
      </c>
      <c r="AG1382">
        <v>36188224.044051997</v>
      </c>
      <c r="AH1382">
        <v>66.172676086425795</v>
      </c>
      <c r="AI1382">
        <v>1.20878005027771</v>
      </c>
    </row>
    <row r="1383" spans="1:35">
      <c r="A1383">
        <f t="shared" si="186"/>
        <v>1</v>
      </c>
      <c r="B1383">
        <f t="shared" si="187"/>
        <v>0</v>
      </c>
      <c r="C1383">
        <f t="shared" si="188"/>
        <v>1</v>
      </c>
      <c r="D1383">
        <f t="shared" si="189"/>
        <v>0</v>
      </c>
      <c r="E1383">
        <f t="shared" si="190"/>
        <v>0</v>
      </c>
      <c r="F1383">
        <f t="shared" si="191"/>
        <v>1</v>
      </c>
      <c r="G1383">
        <f t="shared" si="192"/>
        <v>0</v>
      </c>
      <c r="H1383">
        <v>0</v>
      </c>
      <c r="I1383">
        <f t="shared" si="193"/>
        <v>0</v>
      </c>
      <c r="J1383">
        <f t="shared" si="185"/>
        <v>14.921963214874269</v>
      </c>
      <c r="K1383" t="s">
        <v>2650</v>
      </c>
      <c r="L1383" t="s">
        <v>2651</v>
      </c>
      <c r="M1383" t="s">
        <v>27</v>
      </c>
      <c r="N1383" t="s">
        <v>27</v>
      </c>
      <c r="O1383">
        <v>6.25</v>
      </c>
      <c r="P1383" t="s">
        <v>27</v>
      </c>
      <c r="Q1383">
        <v>8.5912141799926793</v>
      </c>
      <c r="R1383">
        <v>10.449999809265099</v>
      </c>
      <c r="S1383">
        <v>14.75</v>
      </c>
      <c r="T1383">
        <v>5.1965179443359402</v>
      </c>
      <c r="U1383">
        <v>12.2827749252319</v>
      </c>
      <c r="V1383">
        <v>11949000</v>
      </c>
      <c r="W1383" t="s">
        <v>27</v>
      </c>
      <c r="X1383">
        <v>0.41999998688697798</v>
      </c>
      <c r="Y1383">
        <v>2.3567249774932901</v>
      </c>
      <c r="Z1383">
        <v>6.33074903488159</v>
      </c>
      <c r="AA1383">
        <v>24365000</v>
      </c>
      <c r="AB1383" t="s">
        <v>38</v>
      </c>
      <c r="AC1383" t="s">
        <v>146</v>
      </c>
      <c r="AD1383">
        <v>7.9999998211860698E-2</v>
      </c>
      <c r="AE1383">
        <v>10.7173624038696</v>
      </c>
      <c r="AF1383">
        <v>11.158637835599601</v>
      </c>
      <c r="AG1383">
        <v>24644000</v>
      </c>
      <c r="AH1383">
        <v>3.1611239910125701</v>
      </c>
      <c r="AI1383">
        <v>13.164679527282701</v>
      </c>
    </row>
    <row r="1384" spans="1:35">
      <c r="A1384">
        <f t="shared" si="186"/>
        <v>0</v>
      </c>
      <c r="B1384">
        <f t="shared" si="187"/>
        <v>0</v>
      </c>
      <c r="C1384">
        <f t="shared" si="188"/>
        <v>1</v>
      </c>
      <c r="D1384">
        <f t="shared" si="189"/>
        <v>1</v>
      </c>
      <c r="E1384">
        <f t="shared" si="190"/>
        <v>0</v>
      </c>
      <c r="F1384">
        <f t="shared" si="191"/>
        <v>1</v>
      </c>
      <c r="G1384">
        <f t="shared" si="192"/>
        <v>0</v>
      </c>
      <c r="H1384">
        <v>0</v>
      </c>
      <c r="I1384">
        <f t="shared" si="193"/>
        <v>0</v>
      </c>
      <c r="J1384">
        <f t="shared" si="185"/>
        <v>14.91146898269653</v>
      </c>
      <c r="K1384" t="s">
        <v>353</v>
      </c>
      <c r="L1384" t="s">
        <v>354</v>
      </c>
      <c r="M1384" t="s">
        <v>27</v>
      </c>
      <c r="N1384" t="s">
        <v>27</v>
      </c>
      <c r="O1384">
        <v>29.29</v>
      </c>
      <c r="P1384">
        <v>7.8299298286437997</v>
      </c>
      <c r="Q1384">
        <v>7.6358160972595197</v>
      </c>
      <c r="R1384">
        <v>28.352381388346402</v>
      </c>
      <c r="S1384">
        <v>17.006802721088398</v>
      </c>
      <c r="T1384">
        <v>9.2838659286499006</v>
      </c>
      <c r="U1384" t="s">
        <v>27</v>
      </c>
      <c r="V1384">
        <v>5272000</v>
      </c>
      <c r="W1384">
        <v>1.32557702064514</v>
      </c>
      <c r="X1384">
        <v>0.44444445309455199</v>
      </c>
      <c r="Y1384">
        <v>10.4661655426025</v>
      </c>
      <c r="Z1384">
        <v>7.2756528854370099</v>
      </c>
      <c r="AA1384">
        <v>8016277.5</v>
      </c>
      <c r="AB1384" t="s">
        <v>34</v>
      </c>
      <c r="AC1384" t="s">
        <v>35</v>
      </c>
      <c r="AD1384">
        <v>0.50793651009903495</v>
      </c>
      <c r="AE1384" t="s">
        <v>27</v>
      </c>
      <c r="AF1384" t="s">
        <v>27</v>
      </c>
      <c r="AG1384">
        <v>8015175</v>
      </c>
      <c r="AH1384">
        <v>13.783581733703601</v>
      </c>
      <c r="AI1384">
        <v>1.31392598152161</v>
      </c>
    </row>
    <row r="1385" spans="1:35">
      <c r="A1385">
        <f t="shared" si="186"/>
        <v>1</v>
      </c>
      <c r="B1385">
        <f t="shared" si="187"/>
        <v>1</v>
      </c>
      <c r="C1385">
        <f t="shared" si="188"/>
        <v>1</v>
      </c>
      <c r="D1385">
        <f t="shared" si="189"/>
        <v>0</v>
      </c>
      <c r="E1385">
        <f t="shared" si="190"/>
        <v>0</v>
      </c>
      <c r="F1385">
        <f t="shared" si="191"/>
        <v>1</v>
      </c>
      <c r="G1385">
        <f t="shared" si="192"/>
        <v>0</v>
      </c>
      <c r="H1385">
        <v>0</v>
      </c>
      <c r="I1385">
        <f t="shared" si="193"/>
        <v>1</v>
      </c>
      <c r="J1385">
        <f t="shared" si="185"/>
        <v>14.902078628540041</v>
      </c>
      <c r="K1385" t="s">
        <v>2048</v>
      </c>
      <c r="L1385" t="s">
        <v>2049</v>
      </c>
      <c r="M1385" t="s">
        <v>27</v>
      </c>
      <c r="N1385" t="s">
        <v>27</v>
      </c>
      <c r="O1385">
        <v>16.149999999999999</v>
      </c>
      <c r="P1385">
        <v>9.0846052169799805</v>
      </c>
      <c r="Q1385">
        <v>8.4856967926025408</v>
      </c>
      <c r="R1385">
        <v>14.6499996185303</v>
      </c>
      <c r="S1385">
        <v>12.800000190734901</v>
      </c>
      <c r="T1385">
        <v>57.139152526855497</v>
      </c>
      <c r="U1385" t="s">
        <v>27</v>
      </c>
      <c r="V1385">
        <v>7589000</v>
      </c>
      <c r="W1385">
        <v>3.2753660678863499</v>
      </c>
      <c r="X1385">
        <v>0.259999990463257</v>
      </c>
      <c r="Y1385">
        <v>10.222222328186</v>
      </c>
      <c r="Z1385">
        <v>6.4163818359375</v>
      </c>
      <c r="AA1385">
        <v>17163000</v>
      </c>
      <c r="AB1385" t="s">
        <v>83</v>
      </c>
      <c r="AC1385" t="s">
        <v>84</v>
      </c>
      <c r="AD1385">
        <v>7.0000000298023196E-2</v>
      </c>
      <c r="AE1385" t="s">
        <v>27</v>
      </c>
      <c r="AF1385" t="s">
        <v>27</v>
      </c>
      <c r="AG1385">
        <v>22001000</v>
      </c>
      <c r="AH1385">
        <v>50.950157165527301</v>
      </c>
      <c r="AI1385">
        <v>3.31386399269104</v>
      </c>
    </row>
    <row r="1386" spans="1:35">
      <c r="A1386">
        <f t="shared" si="186"/>
        <v>1</v>
      </c>
      <c r="B1386">
        <f t="shared" si="187"/>
        <v>0</v>
      </c>
      <c r="C1386">
        <f t="shared" si="188"/>
        <v>1</v>
      </c>
      <c r="D1386">
        <f t="shared" si="189"/>
        <v>0</v>
      </c>
      <c r="E1386">
        <f t="shared" si="190"/>
        <v>0</v>
      </c>
      <c r="F1386">
        <f t="shared" si="191"/>
        <v>1</v>
      </c>
      <c r="G1386">
        <f t="shared" si="192"/>
        <v>0</v>
      </c>
      <c r="H1386">
        <v>0</v>
      </c>
      <c r="I1386">
        <f t="shared" si="193"/>
        <v>1</v>
      </c>
      <c r="J1386">
        <f t="shared" si="185"/>
        <v>14.898759841918949</v>
      </c>
      <c r="K1386" t="s">
        <v>3129</v>
      </c>
      <c r="L1386" t="s">
        <v>3130</v>
      </c>
      <c r="M1386" t="s">
        <v>27</v>
      </c>
      <c r="N1386" t="s">
        <v>27</v>
      </c>
      <c r="O1386">
        <v>22.82</v>
      </c>
      <c r="P1386">
        <v>10.865597724914601</v>
      </c>
      <c r="Q1386">
        <v>8.1891517639160192</v>
      </c>
      <c r="R1386">
        <v>19.459999084472699</v>
      </c>
      <c r="S1386">
        <v>22.329999923706101</v>
      </c>
      <c r="T1386">
        <v>44.976234436035199</v>
      </c>
      <c r="U1386">
        <v>35.285591125488303</v>
      </c>
      <c r="V1386">
        <v>3602000.25</v>
      </c>
      <c r="W1386">
        <v>7.5108227729797399</v>
      </c>
      <c r="X1386">
        <v>0.37999999523162797</v>
      </c>
      <c r="Y1386">
        <v>7.85276079177856</v>
      </c>
      <c r="Z1386">
        <v>6.7096080780029297</v>
      </c>
      <c r="AA1386">
        <v>48152488</v>
      </c>
      <c r="AB1386" t="s">
        <v>52</v>
      </c>
      <c r="AC1386" t="s">
        <v>53</v>
      </c>
      <c r="AD1386">
        <v>0.34999999403953602</v>
      </c>
      <c r="AE1386">
        <v>32.134960174560497</v>
      </c>
      <c r="AF1386">
        <v>7.6632392453991303</v>
      </c>
      <c r="AG1386">
        <v>47328000</v>
      </c>
      <c r="AH1386">
        <v>40.954708099365199</v>
      </c>
      <c r="AI1386">
        <v>5.3787760734558097</v>
      </c>
    </row>
    <row r="1387" spans="1:35">
      <c r="A1387">
        <f t="shared" si="186"/>
        <v>0</v>
      </c>
      <c r="B1387">
        <f t="shared" si="187"/>
        <v>0</v>
      </c>
      <c r="C1387">
        <f t="shared" si="188"/>
        <v>1</v>
      </c>
      <c r="D1387">
        <f t="shared" si="189"/>
        <v>1</v>
      </c>
      <c r="E1387">
        <f t="shared" si="190"/>
        <v>0</v>
      </c>
      <c r="F1387">
        <f t="shared" si="191"/>
        <v>1</v>
      </c>
      <c r="G1387">
        <f t="shared" si="192"/>
        <v>1</v>
      </c>
      <c r="H1387">
        <v>0</v>
      </c>
      <c r="I1387">
        <f t="shared" si="193"/>
        <v>1</v>
      </c>
      <c r="J1387">
        <f t="shared" si="185"/>
        <v>14.851870059967041</v>
      </c>
      <c r="K1387" t="s">
        <v>1580</v>
      </c>
      <c r="L1387" t="s">
        <v>1581</v>
      </c>
      <c r="M1387" t="s">
        <v>27</v>
      </c>
      <c r="N1387" t="s">
        <v>27</v>
      </c>
      <c r="O1387">
        <v>17</v>
      </c>
      <c r="P1387">
        <v>4.3966741561889604</v>
      </c>
      <c r="Q1387">
        <v>7.8096160888671902</v>
      </c>
      <c r="R1387">
        <v>11.4700002670288</v>
      </c>
      <c r="S1387">
        <v>18.0625</v>
      </c>
      <c r="T1387">
        <v>0</v>
      </c>
      <c r="U1387">
        <v>8.65887355804443</v>
      </c>
      <c r="V1387">
        <v>7384000.5</v>
      </c>
      <c r="W1387">
        <v>6.9360799789428702</v>
      </c>
      <c r="X1387">
        <v>9.00000035762787E-2</v>
      </c>
      <c r="Y1387">
        <v>2.04255294799805</v>
      </c>
      <c r="Z1387">
        <v>7.04225397109985</v>
      </c>
      <c r="AA1387">
        <v>11681000</v>
      </c>
      <c r="AB1387" t="s">
        <v>328</v>
      </c>
      <c r="AC1387" t="s">
        <v>403</v>
      </c>
      <c r="AD1387">
        <v>0.18000000715255701</v>
      </c>
      <c r="AE1387">
        <v>15.313484191894499</v>
      </c>
      <c r="AF1387">
        <v>10.0168670827026</v>
      </c>
      <c r="AG1387">
        <v>11706000</v>
      </c>
      <c r="AH1387">
        <v>0</v>
      </c>
      <c r="AI1387">
        <v>4.3807001113891602</v>
      </c>
    </row>
    <row r="1388" spans="1:35">
      <c r="A1388">
        <f t="shared" si="186"/>
        <v>1</v>
      </c>
      <c r="B1388">
        <f t="shared" si="187"/>
        <v>0</v>
      </c>
      <c r="C1388">
        <f t="shared" si="188"/>
        <v>1</v>
      </c>
      <c r="D1388">
        <f t="shared" si="189"/>
        <v>0</v>
      </c>
      <c r="E1388">
        <f t="shared" si="190"/>
        <v>0</v>
      </c>
      <c r="F1388">
        <f t="shared" si="191"/>
        <v>1</v>
      </c>
      <c r="G1388">
        <f t="shared" si="192"/>
        <v>0</v>
      </c>
      <c r="H1388">
        <v>0</v>
      </c>
      <c r="I1388">
        <f t="shared" si="193"/>
        <v>1</v>
      </c>
      <c r="J1388">
        <f t="shared" si="185"/>
        <v>14.848185062408451</v>
      </c>
      <c r="K1388" t="s">
        <v>838</v>
      </c>
      <c r="L1388" t="s">
        <v>839</v>
      </c>
      <c r="M1388" t="s">
        <v>27</v>
      </c>
      <c r="N1388" t="s">
        <v>27</v>
      </c>
      <c r="O1388">
        <v>23.42</v>
      </c>
      <c r="P1388">
        <v>18.1929225921631</v>
      </c>
      <c r="Q1388">
        <v>7.9572911262512198</v>
      </c>
      <c r="R1388">
        <v>18.7399997711182</v>
      </c>
      <c r="S1388">
        <v>19.7600002288818</v>
      </c>
      <c r="T1388">
        <v>29.8899936676025</v>
      </c>
      <c r="U1388">
        <v>48.490322113037102</v>
      </c>
      <c r="V1388">
        <v>7493999.5</v>
      </c>
      <c r="W1388">
        <v>16.041103363037099</v>
      </c>
      <c r="X1388">
        <v>0.28000000119209301</v>
      </c>
      <c r="Y1388">
        <v>8.7322025299072301</v>
      </c>
      <c r="Z1388">
        <v>6.8908939361572301</v>
      </c>
      <c r="AA1388">
        <v>49027000</v>
      </c>
      <c r="AB1388" t="s">
        <v>27</v>
      </c>
      <c r="AC1388" t="s">
        <v>27</v>
      </c>
      <c r="AD1388">
        <v>5.0000000745058101E-2</v>
      </c>
      <c r="AE1388">
        <v>47.765987396240199</v>
      </c>
      <c r="AF1388">
        <v>7.2041917885431301</v>
      </c>
      <c r="AG1388">
        <v>48671000</v>
      </c>
      <c r="AH1388">
        <v>26.739690780639599</v>
      </c>
      <c r="AI1388">
        <v>9.5385951995849592</v>
      </c>
    </row>
    <row r="1389" spans="1:35">
      <c r="A1389">
        <f t="shared" si="186"/>
        <v>1</v>
      </c>
      <c r="B1389">
        <f t="shared" si="187"/>
        <v>0</v>
      </c>
      <c r="C1389">
        <f t="shared" si="188"/>
        <v>1</v>
      </c>
      <c r="D1389">
        <f t="shared" si="189"/>
        <v>1</v>
      </c>
      <c r="E1389">
        <f t="shared" si="190"/>
        <v>0</v>
      </c>
      <c r="F1389">
        <f t="shared" si="191"/>
        <v>1</v>
      </c>
      <c r="G1389">
        <f t="shared" si="192"/>
        <v>1</v>
      </c>
      <c r="H1389">
        <v>0</v>
      </c>
      <c r="I1389">
        <f t="shared" si="193"/>
        <v>1</v>
      </c>
      <c r="J1389">
        <f t="shared" si="185"/>
        <v>14.841732025146481</v>
      </c>
      <c r="K1389" t="s">
        <v>2034</v>
      </c>
      <c r="L1389" t="s">
        <v>2035</v>
      </c>
      <c r="M1389" t="s">
        <v>27</v>
      </c>
      <c r="N1389" t="s">
        <v>27</v>
      </c>
      <c r="O1389">
        <v>16.239999999999998</v>
      </c>
      <c r="P1389">
        <v>8.7728843688964808</v>
      </c>
      <c r="Q1389">
        <v>5.8358840942382804</v>
      </c>
      <c r="R1389">
        <v>12.8999996185303</v>
      </c>
      <c r="S1389">
        <v>6.5300002098083496</v>
      </c>
      <c r="T1389">
        <v>39.296657562255902</v>
      </c>
      <c r="U1389">
        <v>17.788160324096701</v>
      </c>
      <c r="V1389">
        <v>1448000</v>
      </c>
      <c r="W1389">
        <v>11.0742130279541</v>
      </c>
      <c r="X1389">
        <v>0.109999999403954</v>
      </c>
      <c r="Y1389">
        <v>14.7200002670288</v>
      </c>
      <c r="Z1389">
        <v>9.0058479309081996</v>
      </c>
      <c r="AA1389">
        <v>9657000</v>
      </c>
      <c r="AB1389" t="s">
        <v>30</v>
      </c>
      <c r="AC1389" t="s">
        <v>1457</v>
      </c>
      <c r="AD1389">
        <v>0.31000000238418601</v>
      </c>
      <c r="AE1389">
        <v>24.495365142822301</v>
      </c>
      <c r="AF1389" t="s">
        <v>27</v>
      </c>
      <c r="AG1389">
        <v>9665000</v>
      </c>
      <c r="AH1389">
        <v>34.999404907226598</v>
      </c>
      <c r="AI1389">
        <v>0.98115700483322099</v>
      </c>
    </row>
    <row r="1390" spans="1:35">
      <c r="A1390">
        <f t="shared" si="186"/>
        <v>1</v>
      </c>
      <c r="B1390">
        <f t="shared" si="187"/>
        <v>0</v>
      </c>
      <c r="C1390">
        <f t="shared" si="188"/>
        <v>1</v>
      </c>
      <c r="D1390">
        <f t="shared" si="189"/>
        <v>0</v>
      </c>
      <c r="E1390">
        <f t="shared" si="190"/>
        <v>0</v>
      </c>
      <c r="F1390">
        <f t="shared" si="191"/>
        <v>1</v>
      </c>
      <c r="G1390">
        <f t="shared" si="192"/>
        <v>0</v>
      </c>
      <c r="H1390">
        <v>0</v>
      </c>
      <c r="I1390">
        <f t="shared" si="193"/>
        <v>0</v>
      </c>
      <c r="J1390">
        <f t="shared" si="185"/>
        <v>14.80677270889282</v>
      </c>
      <c r="K1390" t="s">
        <v>1312</v>
      </c>
      <c r="L1390" t="s">
        <v>1313</v>
      </c>
      <c r="M1390" t="s">
        <v>27</v>
      </c>
      <c r="N1390" t="s">
        <v>27</v>
      </c>
      <c r="O1390">
        <v>16.23</v>
      </c>
      <c r="P1390">
        <v>9.8854484558105504</v>
      </c>
      <c r="Q1390">
        <v>8.2874984741210902</v>
      </c>
      <c r="R1390">
        <v>23.610000610351602</v>
      </c>
      <c r="S1390">
        <v>22.059999465942401</v>
      </c>
      <c r="T1390">
        <v>47.625133514404297</v>
      </c>
      <c r="U1390">
        <v>31.145074844360401</v>
      </c>
      <c r="V1390">
        <v>27553000</v>
      </c>
      <c r="W1390">
        <v>6.4480772018432599</v>
      </c>
      <c r="X1390">
        <v>0.31999999284744302</v>
      </c>
      <c r="Y1390">
        <v>6.7421388626098597</v>
      </c>
      <c r="Z1390">
        <v>6.5192742347717303</v>
      </c>
      <c r="AA1390">
        <v>45324000</v>
      </c>
      <c r="AB1390" t="s">
        <v>61</v>
      </c>
      <c r="AC1390" t="s">
        <v>101</v>
      </c>
      <c r="AD1390">
        <v>0.20000000298023199</v>
      </c>
      <c r="AE1390">
        <v>28.464145660400401</v>
      </c>
      <c r="AF1390">
        <v>11.722119548156</v>
      </c>
      <c r="AG1390">
        <v>45018000</v>
      </c>
      <c r="AH1390">
        <v>46.754371643066399</v>
      </c>
      <c r="AI1390">
        <v>5.9324321746826199</v>
      </c>
    </row>
    <row r="1391" spans="1:35">
      <c r="A1391">
        <f t="shared" si="186"/>
        <v>1</v>
      </c>
      <c r="B1391">
        <f t="shared" si="187"/>
        <v>0</v>
      </c>
      <c r="C1391">
        <f t="shared" si="188"/>
        <v>1</v>
      </c>
      <c r="D1391">
        <f t="shared" si="189"/>
        <v>1</v>
      </c>
      <c r="E1391">
        <f t="shared" si="190"/>
        <v>0</v>
      </c>
      <c r="F1391">
        <f t="shared" si="191"/>
        <v>1</v>
      </c>
      <c r="G1391">
        <f t="shared" si="192"/>
        <v>1</v>
      </c>
      <c r="H1391">
        <v>0</v>
      </c>
      <c r="I1391">
        <f t="shared" si="193"/>
        <v>1</v>
      </c>
      <c r="J1391">
        <f t="shared" si="185"/>
        <v>14.79456901550293</v>
      </c>
      <c r="K1391" t="s">
        <v>2304</v>
      </c>
      <c r="L1391" t="s">
        <v>2305</v>
      </c>
      <c r="M1391" t="s">
        <v>27</v>
      </c>
      <c r="N1391" t="s">
        <v>27</v>
      </c>
      <c r="O1391">
        <v>8.9</v>
      </c>
      <c r="P1391" t="s">
        <v>27</v>
      </c>
      <c r="Q1391">
        <v>8.1245670318603498</v>
      </c>
      <c r="R1391">
        <v>8.1499996185302699</v>
      </c>
      <c r="S1391">
        <v>5.375</v>
      </c>
      <c r="T1391">
        <v>65.333335876464801</v>
      </c>
      <c r="U1391">
        <v>47.085643768310497</v>
      </c>
      <c r="V1391">
        <v>5835000</v>
      </c>
      <c r="W1391" t="s">
        <v>27</v>
      </c>
      <c r="X1391">
        <v>5.9999998658895499E-2</v>
      </c>
      <c r="Y1391">
        <v>-0.63655900955200195</v>
      </c>
      <c r="Z1391">
        <v>6.6700019836425799</v>
      </c>
      <c r="AA1391">
        <v>9436000</v>
      </c>
      <c r="AB1391" t="s">
        <v>30</v>
      </c>
      <c r="AC1391" t="s">
        <v>223</v>
      </c>
      <c r="AD1391">
        <v>0.25</v>
      </c>
      <c r="AE1391">
        <v>52.0763969421387</v>
      </c>
      <c r="AF1391">
        <v>5.3137492452132102</v>
      </c>
      <c r="AG1391">
        <v>9536000</v>
      </c>
      <c r="AH1391">
        <v>59.040802001953097</v>
      </c>
      <c r="AI1391" t="s">
        <v>27</v>
      </c>
    </row>
    <row r="1392" spans="1:35">
      <c r="A1392">
        <f t="shared" si="186"/>
        <v>0</v>
      </c>
      <c r="B1392">
        <f t="shared" si="187"/>
        <v>0</v>
      </c>
      <c r="C1392">
        <f t="shared" si="188"/>
        <v>0</v>
      </c>
      <c r="D1392">
        <f t="shared" si="189"/>
        <v>0</v>
      </c>
      <c r="E1392">
        <f t="shared" si="190"/>
        <v>0</v>
      </c>
      <c r="F1392">
        <f t="shared" si="191"/>
        <v>1</v>
      </c>
      <c r="G1392">
        <f t="shared" si="192"/>
        <v>0</v>
      </c>
      <c r="H1392">
        <v>0</v>
      </c>
      <c r="I1392">
        <f t="shared" si="193"/>
        <v>1</v>
      </c>
      <c r="J1392">
        <f t="shared" si="185"/>
        <v>14.793178558349609</v>
      </c>
      <c r="K1392" t="s">
        <v>3557</v>
      </c>
      <c r="L1392" t="s">
        <v>3558</v>
      </c>
      <c r="M1392" t="s">
        <v>27</v>
      </c>
      <c r="N1392" t="s">
        <v>27</v>
      </c>
      <c r="O1392">
        <v>32</v>
      </c>
      <c r="P1392">
        <v>23.367845535278299</v>
      </c>
      <c r="Q1392">
        <v>9.8075056076049805</v>
      </c>
      <c r="R1392">
        <v>21.5</v>
      </c>
      <c r="S1392">
        <v>30.0100002288818</v>
      </c>
      <c r="T1392">
        <v>27.676092147827099</v>
      </c>
      <c r="U1392">
        <v>50.775012969970703</v>
      </c>
      <c r="V1392">
        <v>-2855999.5</v>
      </c>
      <c r="W1392">
        <v>17.843776702880898</v>
      </c>
      <c r="X1392">
        <v>0.37000000476837203</v>
      </c>
      <c r="Y1392">
        <v>4.5195879936218297</v>
      </c>
      <c r="Z1392">
        <v>4.9856729507446298</v>
      </c>
      <c r="AA1392">
        <v>14133000</v>
      </c>
      <c r="AB1392" t="s">
        <v>61</v>
      </c>
      <c r="AC1392" t="s">
        <v>62</v>
      </c>
      <c r="AD1392">
        <v>0.239999994635582</v>
      </c>
      <c r="AE1392">
        <v>44.033748626708999</v>
      </c>
      <c r="AF1392">
        <v>11.0633518839954</v>
      </c>
      <c r="AG1392">
        <v>14151000</v>
      </c>
      <c r="AH1392">
        <v>46.276206970214801</v>
      </c>
      <c r="AI1392">
        <v>16.364700317382798</v>
      </c>
    </row>
    <row r="1393" spans="1:35">
      <c r="A1393">
        <f t="shared" si="186"/>
        <v>0</v>
      </c>
      <c r="B1393">
        <f t="shared" si="187"/>
        <v>1</v>
      </c>
      <c r="C1393">
        <f t="shared" si="188"/>
        <v>1</v>
      </c>
      <c r="D1393">
        <f t="shared" si="189"/>
        <v>0</v>
      </c>
      <c r="E1393">
        <f t="shared" si="190"/>
        <v>1</v>
      </c>
      <c r="F1393">
        <f t="shared" si="191"/>
        <v>1</v>
      </c>
      <c r="G1393">
        <f t="shared" si="192"/>
        <v>0</v>
      </c>
      <c r="H1393">
        <v>0</v>
      </c>
      <c r="I1393">
        <f t="shared" si="193"/>
        <v>0</v>
      </c>
      <c r="J1393">
        <f t="shared" si="185"/>
        <v>14.770801067352298</v>
      </c>
      <c r="K1393" t="s">
        <v>690</v>
      </c>
      <c r="L1393" t="s">
        <v>691</v>
      </c>
      <c r="M1393" t="s">
        <v>27</v>
      </c>
      <c r="N1393" t="s">
        <v>27</v>
      </c>
      <c r="O1393">
        <v>19.149999999999999</v>
      </c>
      <c r="P1393">
        <v>7.33864498138428</v>
      </c>
      <c r="Q1393">
        <v>7.5485792160034197</v>
      </c>
      <c r="R1393">
        <v>19.399999618530298</v>
      </c>
      <c r="S1393">
        <v>17.700000762939499</v>
      </c>
      <c r="T1393">
        <v>38.5842475891113</v>
      </c>
      <c r="U1393">
        <v>42.797733306884801</v>
      </c>
      <c r="V1393">
        <v>5574999.5</v>
      </c>
      <c r="W1393">
        <v>4.7788162231445304</v>
      </c>
      <c r="X1393">
        <v>-0.18999999761581399</v>
      </c>
      <c r="Y1393">
        <v>7.8857140541076696</v>
      </c>
      <c r="Z1393">
        <v>7.2222218513488796</v>
      </c>
      <c r="AA1393">
        <v>11045000</v>
      </c>
      <c r="AB1393" t="s">
        <v>27</v>
      </c>
      <c r="AC1393" t="s">
        <v>27</v>
      </c>
      <c r="AD1393">
        <v>-0.20000000298023199</v>
      </c>
      <c r="AE1393">
        <v>37.858024597167997</v>
      </c>
      <c r="AF1393">
        <v>8.4546182494499806</v>
      </c>
      <c r="AG1393">
        <v>11045000</v>
      </c>
      <c r="AH1393">
        <v>45.298187255859403</v>
      </c>
      <c r="AI1393">
        <v>4.9807329177856401</v>
      </c>
    </row>
    <row r="1394" spans="1:35">
      <c r="A1394">
        <f t="shared" si="186"/>
        <v>1</v>
      </c>
      <c r="B1394">
        <f t="shared" si="187"/>
        <v>0</v>
      </c>
      <c r="C1394">
        <f t="shared" si="188"/>
        <v>1</v>
      </c>
      <c r="D1394">
        <f t="shared" si="189"/>
        <v>0</v>
      </c>
      <c r="E1394">
        <f t="shared" si="190"/>
        <v>0</v>
      </c>
      <c r="F1394">
        <f t="shared" si="191"/>
        <v>1</v>
      </c>
      <c r="G1394">
        <f t="shared" si="192"/>
        <v>0</v>
      </c>
      <c r="H1394">
        <v>0</v>
      </c>
      <c r="I1394">
        <f t="shared" si="193"/>
        <v>0</v>
      </c>
      <c r="J1394">
        <f t="shared" si="185"/>
        <v>14.765417575836182</v>
      </c>
      <c r="K1394" t="s">
        <v>682</v>
      </c>
      <c r="L1394" t="s">
        <v>683</v>
      </c>
      <c r="M1394" t="s">
        <v>27</v>
      </c>
      <c r="N1394" t="s">
        <v>27</v>
      </c>
      <c r="O1394">
        <v>10.91</v>
      </c>
      <c r="P1394">
        <v>5.38712406158447</v>
      </c>
      <c r="Q1394">
        <v>5.0575528144836399</v>
      </c>
      <c r="R1394">
        <v>23.030000686645501</v>
      </c>
      <c r="S1394">
        <v>27.569999694824201</v>
      </c>
      <c r="T1394">
        <v>32.749641418457003</v>
      </c>
      <c r="U1394">
        <v>24.530878067016602</v>
      </c>
      <c r="V1394">
        <v>13900001</v>
      </c>
      <c r="W1394">
        <v>3.1785790920257599</v>
      </c>
      <c r="X1394">
        <v>3.9999999105930301E-2</v>
      </c>
      <c r="Y1394">
        <v>8.2060089111328107</v>
      </c>
      <c r="Z1394">
        <v>9.7078647613525408</v>
      </c>
      <c r="AA1394">
        <v>22025000</v>
      </c>
      <c r="AB1394" t="s">
        <v>52</v>
      </c>
      <c r="AC1394" t="s">
        <v>56</v>
      </c>
      <c r="AD1394">
        <v>-4.8200001716613796</v>
      </c>
      <c r="AE1394">
        <v>20.828355789184599</v>
      </c>
      <c r="AF1394">
        <v>9.0858684764542392</v>
      </c>
      <c r="AG1394">
        <v>22178000</v>
      </c>
      <c r="AH1394">
        <v>30.570835113525401</v>
      </c>
      <c r="AI1394">
        <v>1.22767198085785</v>
      </c>
    </row>
    <row r="1395" spans="1:35">
      <c r="A1395">
        <f t="shared" si="186"/>
        <v>1</v>
      </c>
      <c r="B1395">
        <f t="shared" si="187"/>
        <v>1</v>
      </c>
      <c r="C1395">
        <f t="shared" si="188"/>
        <v>1</v>
      </c>
      <c r="D1395">
        <f t="shared" si="189"/>
        <v>1</v>
      </c>
      <c r="E1395">
        <f t="shared" si="190"/>
        <v>0</v>
      </c>
      <c r="F1395">
        <f t="shared" si="191"/>
        <v>1</v>
      </c>
      <c r="G1395">
        <f t="shared" si="192"/>
        <v>0</v>
      </c>
      <c r="H1395">
        <v>0</v>
      </c>
      <c r="I1395">
        <f t="shared" si="193"/>
        <v>1</v>
      </c>
      <c r="J1395">
        <f t="shared" si="185"/>
        <v>14.752197265625</v>
      </c>
      <c r="K1395" t="s">
        <v>3236</v>
      </c>
      <c r="L1395" t="s">
        <v>3237</v>
      </c>
      <c r="M1395" t="s">
        <v>27</v>
      </c>
      <c r="N1395" t="s">
        <v>27</v>
      </c>
      <c r="O1395">
        <v>22.95</v>
      </c>
      <c r="P1395">
        <v>5.91111516952515</v>
      </c>
      <c r="Q1395">
        <v>6.0153551101684597</v>
      </c>
      <c r="R1395">
        <v>19.545454545454501</v>
      </c>
      <c r="S1395">
        <v>13.972727168690099</v>
      </c>
      <c r="T1395">
        <v>14.3586378097534</v>
      </c>
      <c r="U1395" t="s">
        <v>27</v>
      </c>
      <c r="V1395">
        <v>3360000</v>
      </c>
      <c r="W1395">
        <v>0.97875201702117898</v>
      </c>
      <c r="X1395">
        <v>0.36363636905496799</v>
      </c>
      <c r="Y1395">
        <v>10.988678932189901</v>
      </c>
      <c r="Z1395">
        <v>8.7368421554565394</v>
      </c>
      <c r="AA1395">
        <v>7738500</v>
      </c>
      <c r="AB1395" t="s">
        <v>34</v>
      </c>
      <c r="AC1395" t="s">
        <v>35</v>
      </c>
      <c r="AD1395">
        <v>0.39999999783255802</v>
      </c>
      <c r="AE1395" t="s">
        <v>27</v>
      </c>
      <c r="AF1395" t="s">
        <v>27</v>
      </c>
      <c r="AG1395">
        <v>7709900</v>
      </c>
      <c r="AH1395">
        <v>11.944587707519499</v>
      </c>
      <c r="AI1395">
        <v>1.1434949636459399</v>
      </c>
    </row>
    <row r="1396" spans="1:35">
      <c r="A1396">
        <f t="shared" si="186"/>
        <v>0</v>
      </c>
      <c r="B1396">
        <f t="shared" si="187"/>
        <v>0</v>
      </c>
      <c r="C1396">
        <f t="shared" si="188"/>
        <v>1</v>
      </c>
      <c r="D1396">
        <f t="shared" si="189"/>
        <v>0</v>
      </c>
      <c r="E1396">
        <f t="shared" si="190"/>
        <v>0</v>
      </c>
      <c r="F1396">
        <f t="shared" si="191"/>
        <v>1</v>
      </c>
      <c r="G1396">
        <f t="shared" si="192"/>
        <v>0</v>
      </c>
      <c r="H1396">
        <v>0</v>
      </c>
      <c r="I1396">
        <f t="shared" si="193"/>
        <v>0</v>
      </c>
      <c r="J1396">
        <f t="shared" si="185"/>
        <v>14.724697113037109</v>
      </c>
      <c r="K1396" t="s">
        <v>770</v>
      </c>
      <c r="L1396" t="s">
        <v>771</v>
      </c>
      <c r="M1396" t="s">
        <v>27</v>
      </c>
      <c r="N1396" t="s">
        <v>27</v>
      </c>
      <c r="O1396">
        <v>3.64</v>
      </c>
      <c r="P1396">
        <v>13.6847696304321</v>
      </c>
      <c r="Q1396">
        <v>8.4297332763671893</v>
      </c>
      <c r="R1396">
        <v>16.340000152587901</v>
      </c>
      <c r="S1396">
        <v>16.920000076293899</v>
      </c>
      <c r="T1396">
        <v>0</v>
      </c>
      <c r="U1396">
        <v>61.590286254882798</v>
      </c>
      <c r="V1396">
        <v>5545000</v>
      </c>
      <c r="W1396">
        <v>16.983604431152301</v>
      </c>
      <c r="X1396">
        <v>0.5</v>
      </c>
      <c r="Y1396">
        <v>5.00512790679932</v>
      </c>
      <c r="Z1396">
        <v>6.2949638366699201</v>
      </c>
      <c r="AA1396">
        <v>15589000</v>
      </c>
      <c r="AB1396" t="s">
        <v>27</v>
      </c>
      <c r="AC1396" t="s">
        <v>27</v>
      </c>
      <c r="AD1396">
        <v>-0.109999999403954</v>
      </c>
      <c r="AE1396">
        <v>60.235462188720703</v>
      </c>
      <c r="AF1396" t="s">
        <v>27</v>
      </c>
      <c r="AG1396">
        <v>14718000</v>
      </c>
      <c r="AH1396">
        <v>0</v>
      </c>
      <c r="AI1396">
        <v>11.266674041748001</v>
      </c>
    </row>
    <row r="1397" spans="1:35">
      <c r="A1397">
        <f t="shared" si="186"/>
        <v>0</v>
      </c>
      <c r="B1397">
        <f t="shared" si="187"/>
        <v>0</v>
      </c>
      <c r="C1397">
        <f t="shared" si="188"/>
        <v>1</v>
      </c>
      <c r="D1397">
        <f t="shared" si="189"/>
        <v>0</v>
      </c>
      <c r="E1397">
        <f t="shared" si="190"/>
        <v>0</v>
      </c>
      <c r="F1397">
        <f t="shared" si="191"/>
        <v>1</v>
      </c>
      <c r="G1397">
        <f t="shared" si="192"/>
        <v>0</v>
      </c>
      <c r="H1397">
        <v>0</v>
      </c>
      <c r="I1397">
        <f t="shared" si="193"/>
        <v>1</v>
      </c>
      <c r="J1397">
        <f t="shared" si="185"/>
        <v>14.715785026550289</v>
      </c>
      <c r="K1397" t="s">
        <v>3675</v>
      </c>
      <c r="L1397" t="s">
        <v>3676</v>
      </c>
      <c r="M1397" t="s">
        <v>27</v>
      </c>
      <c r="N1397" t="s">
        <v>27</v>
      </c>
      <c r="O1397">
        <v>20.149999999999999</v>
      </c>
      <c r="P1397">
        <v>7.0746879577636701</v>
      </c>
      <c r="Q1397">
        <v>6.90144920349121</v>
      </c>
      <c r="R1397">
        <v>17.579999923706101</v>
      </c>
      <c r="S1397">
        <v>15</v>
      </c>
      <c r="T1397">
        <v>11.7380666732788</v>
      </c>
      <c r="U1397" t="s">
        <v>27</v>
      </c>
      <c r="V1397">
        <v>7231000</v>
      </c>
      <c r="W1397">
        <v>1.5283219814300499</v>
      </c>
      <c r="X1397">
        <v>0.34999999403953602</v>
      </c>
      <c r="Y1397">
        <v>10.217822074890099</v>
      </c>
      <c r="Z1397">
        <v>7.8143358230590803</v>
      </c>
      <c r="AA1397">
        <v>10442000</v>
      </c>
      <c r="AB1397" t="s">
        <v>27</v>
      </c>
      <c r="AC1397" t="s">
        <v>27</v>
      </c>
      <c r="AD1397">
        <v>0.34999999403953602</v>
      </c>
      <c r="AE1397" t="s">
        <v>27</v>
      </c>
      <c r="AF1397" t="s">
        <v>27</v>
      </c>
      <c r="AG1397">
        <v>10461000</v>
      </c>
      <c r="AH1397">
        <v>17.351535797119102</v>
      </c>
      <c r="AI1397">
        <v>1.4097479581832899</v>
      </c>
    </row>
    <row r="1398" spans="1:35">
      <c r="A1398">
        <f t="shared" si="186"/>
        <v>1</v>
      </c>
      <c r="B1398">
        <f t="shared" si="187"/>
        <v>0</v>
      </c>
      <c r="C1398">
        <f t="shared" si="188"/>
        <v>1</v>
      </c>
      <c r="D1398">
        <f t="shared" si="189"/>
        <v>1</v>
      </c>
      <c r="E1398">
        <f t="shared" si="190"/>
        <v>0</v>
      </c>
      <c r="F1398">
        <f t="shared" si="191"/>
        <v>1</v>
      </c>
      <c r="G1398">
        <f t="shared" si="192"/>
        <v>1</v>
      </c>
      <c r="H1398">
        <v>0</v>
      </c>
      <c r="I1398">
        <f t="shared" si="193"/>
        <v>0</v>
      </c>
      <c r="J1398">
        <f t="shared" si="185"/>
        <v>14.71077823638916</v>
      </c>
      <c r="K1398" t="s">
        <v>1574</v>
      </c>
      <c r="L1398" t="s">
        <v>1575</v>
      </c>
      <c r="M1398" t="s">
        <v>27</v>
      </c>
      <c r="N1398" t="s">
        <v>27</v>
      </c>
      <c r="O1398">
        <v>24.86</v>
      </c>
      <c r="P1398">
        <v>10.1573495864868</v>
      </c>
      <c r="Q1398">
        <v>6.0102128982543901</v>
      </c>
      <c r="R1398">
        <v>28.75</v>
      </c>
      <c r="S1398">
        <v>10.6499996185303</v>
      </c>
      <c r="T1398">
        <v>57.5264701843262</v>
      </c>
      <c r="U1398">
        <v>14.5540571212769</v>
      </c>
      <c r="V1398">
        <v>27334998</v>
      </c>
      <c r="W1398">
        <v>5.0756459236145002</v>
      </c>
      <c r="X1398">
        <v>0.54000002145767201</v>
      </c>
      <c r="Y1398">
        <v>16.827587127685501</v>
      </c>
      <c r="Z1398">
        <v>8.7005653381347692</v>
      </c>
      <c r="AA1398">
        <v>21262000</v>
      </c>
      <c r="AB1398" t="s">
        <v>30</v>
      </c>
      <c r="AC1398" t="s">
        <v>68</v>
      </c>
      <c r="AD1398">
        <v>0.81000000238418601</v>
      </c>
      <c r="AE1398">
        <v>15.520801544189499</v>
      </c>
      <c r="AF1398">
        <v>6.3374260698273801</v>
      </c>
      <c r="AG1398">
        <v>19353000</v>
      </c>
      <c r="AH1398">
        <v>53.619640350341797</v>
      </c>
      <c r="AI1398">
        <v>4.20208787918091</v>
      </c>
    </row>
    <row r="1399" spans="1:35">
      <c r="A1399">
        <f t="shared" si="186"/>
        <v>1</v>
      </c>
      <c r="B1399">
        <f t="shared" si="187"/>
        <v>1</v>
      </c>
      <c r="C1399">
        <f t="shared" si="188"/>
        <v>0</v>
      </c>
      <c r="D1399">
        <f t="shared" si="189"/>
        <v>1</v>
      </c>
      <c r="E1399">
        <f t="shared" si="190"/>
        <v>0</v>
      </c>
      <c r="F1399">
        <f t="shared" si="191"/>
        <v>1</v>
      </c>
      <c r="G1399">
        <f t="shared" si="192"/>
        <v>1</v>
      </c>
      <c r="H1399">
        <v>0</v>
      </c>
      <c r="I1399">
        <f t="shared" si="193"/>
        <v>0</v>
      </c>
      <c r="J1399">
        <f t="shared" si="185"/>
        <v>14.69010591506958</v>
      </c>
      <c r="K1399" t="s">
        <v>3264</v>
      </c>
      <c r="L1399" t="s">
        <v>3265</v>
      </c>
      <c r="M1399" t="s">
        <v>27</v>
      </c>
      <c r="N1399" t="s">
        <v>27</v>
      </c>
      <c r="O1399">
        <v>23.13</v>
      </c>
      <c r="P1399">
        <v>7.8411769866943404</v>
      </c>
      <c r="Q1399">
        <v>8.1005687713622994</v>
      </c>
      <c r="R1399">
        <v>23.209999084472699</v>
      </c>
      <c r="S1399">
        <v>25.399999618530298</v>
      </c>
      <c r="T1399">
        <v>43.1497611999512</v>
      </c>
      <c r="U1399">
        <v>45.236801147460902</v>
      </c>
      <c r="V1399">
        <v>-2288999.5</v>
      </c>
      <c r="W1399">
        <v>4.3604497909545898</v>
      </c>
      <c r="X1399">
        <v>-0.109999999403954</v>
      </c>
      <c r="Y1399">
        <v>5.5735740661621103</v>
      </c>
      <c r="Z1399">
        <v>6.5895371437072798</v>
      </c>
      <c r="AA1399">
        <v>41674000</v>
      </c>
      <c r="AB1399" t="s">
        <v>30</v>
      </c>
      <c r="AC1399" t="s">
        <v>223</v>
      </c>
      <c r="AD1399">
        <v>-5.0000000745058101E-2</v>
      </c>
      <c r="AE1399">
        <v>47.328662872314503</v>
      </c>
      <c r="AF1399">
        <v>7.8016523972054497</v>
      </c>
      <c r="AG1399">
        <v>41767000</v>
      </c>
      <c r="AH1399">
        <v>38.923389434814503</v>
      </c>
      <c r="AI1399">
        <v>4.7159399986267099</v>
      </c>
    </row>
    <row r="1400" spans="1:35">
      <c r="A1400">
        <f t="shared" si="186"/>
        <v>0</v>
      </c>
      <c r="B1400">
        <f t="shared" si="187"/>
        <v>0</v>
      </c>
      <c r="C1400">
        <f t="shared" si="188"/>
        <v>0</v>
      </c>
      <c r="D1400">
        <f t="shared" si="189"/>
        <v>0</v>
      </c>
      <c r="E1400">
        <f t="shared" si="190"/>
        <v>0</v>
      </c>
      <c r="F1400">
        <f t="shared" si="191"/>
        <v>1</v>
      </c>
      <c r="G1400">
        <f t="shared" si="192"/>
        <v>0</v>
      </c>
      <c r="H1400">
        <v>0</v>
      </c>
      <c r="I1400">
        <f t="shared" si="193"/>
        <v>0</v>
      </c>
      <c r="J1400">
        <f t="shared" si="185"/>
        <v>14.68054485321044</v>
      </c>
      <c r="K1400" t="s">
        <v>956</v>
      </c>
      <c r="L1400" t="s">
        <v>957</v>
      </c>
      <c r="M1400" t="s">
        <v>27</v>
      </c>
      <c r="N1400" t="s">
        <v>27</v>
      </c>
      <c r="O1400">
        <v>23.6</v>
      </c>
      <c r="P1400">
        <v>13.278785705566399</v>
      </c>
      <c r="Q1400">
        <v>10.2305450439453</v>
      </c>
      <c r="R1400">
        <v>27</v>
      </c>
      <c r="S1400">
        <v>24.9375</v>
      </c>
      <c r="T1400">
        <v>9.2661647796630895</v>
      </c>
      <c r="U1400">
        <v>34.669765472412102</v>
      </c>
      <c r="V1400">
        <v>-35026000</v>
      </c>
      <c r="W1400">
        <v>10.1510925292969</v>
      </c>
      <c r="X1400">
        <v>9.9999997764825804E-3</v>
      </c>
      <c r="Y1400">
        <v>3.8287150859832799</v>
      </c>
      <c r="Z1400">
        <v>4.4499998092651403</v>
      </c>
      <c r="AA1400">
        <v>20977000</v>
      </c>
      <c r="AB1400" t="s">
        <v>27</v>
      </c>
      <c r="AC1400" t="s">
        <v>27</v>
      </c>
      <c r="AD1400">
        <v>-0.109999999403954</v>
      </c>
      <c r="AE1400">
        <v>31.9647006988525</v>
      </c>
      <c r="AF1400">
        <v>9.7209673398155108</v>
      </c>
      <c r="AG1400">
        <v>21454000</v>
      </c>
      <c r="AH1400">
        <v>12.5663166046143</v>
      </c>
      <c r="AI1400">
        <v>9.2701749801635707</v>
      </c>
    </row>
    <row r="1401" spans="1:35">
      <c r="A1401">
        <f t="shared" si="186"/>
        <v>0</v>
      </c>
      <c r="B1401">
        <f t="shared" si="187"/>
        <v>0</v>
      </c>
      <c r="C1401">
        <f t="shared" si="188"/>
        <v>1</v>
      </c>
      <c r="D1401">
        <f t="shared" si="189"/>
        <v>1</v>
      </c>
      <c r="E1401">
        <f t="shared" si="190"/>
        <v>0</v>
      </c>
      <c r="F1401">
        <f t="shared" si="191"/>
        <v>1</v>
      </c>
      <c r="G1401">
        <f t="shared" si="192"/>
        <v>1</v>
      </c>
      <c r="H1401">
        <v>0</v>
      </c>
      <c r="I1401">
        <f t="shared" si="193"/>
        <v>0</v>
      </c>
      <c r="J1401">
        <f t="shared" si="185"/>
        <v>14.65739607810978</v>
      </c>
      <c r="K1401" t="s">
        <v>1588</v>
      </c>
      <c r="L1401" t="s">
        <v>1589</v>
      </c>
      <c r="M1401" t="s">
        <v>27</v>
      </c>
      <c r="N1401" t="s">
        <v>27</v>
      </c>
      <c r="O1401">
        <v>21.76</v>
      </c>
      <c r="P1401">
        <v>-21.973295211791999</v>
      </c>
      <c r="Q1401">
        <v>10.9879360198975</v>
      </c>
      <c r="R1401">
        <v>28.709999084472699</v>
      </c>
      <c r="S1401">
        <v>27.700000762939499</v>
      </c>
      <c r="T1401">
        <v>18.215381622314499</v>
      </c>
      <c r="U1401">
        <v>47.109653472900398</v>
      </c>
      <c r="V1401">
        <v>6545000.5</v>
      </c>
      <c r="W1401">
        <v>4.4478588104248002</v>
      </c>
      <c r="X1401">
        <v>-0.60000002384185802</v>
      </c>
      <c r="Y1401">
        <v>2.98431396484375</v>
      </c>
      <c r="Z1401">
        <v>3.6694600582122798</v>
      </c>
      <c r="AA1401">
        <v>25199000</v>
      </c>
      <c r="AB1401" t="s">
        <v>73</v>
      </c>
      <c r="AC1401" t="s">
        <v>74</v>
      </c>
      <c r="AD1401">
        <v>0.37999999523162797</v>
      </c>
      <c r="AE1401">
        <v>49.3172607421875</v>
      </c>
      <c r="AF1401">
        <v>9.7822227751853905</v>
      </c>
      <c r="AG1401">
        <v>26396000</v>
      </c>
      <c r="AH1401">
        <v>20.5307502746582</v>
      </c>
      <c r="AI1401">
        <v>2.1280040740966801</v>
      </c>
    </row>
    <row r="1402" spans="1:35">
      <c r="A1402">
        <f t="shared" si="186"/>
        <v>1</v>
      </c>
      <c r="B1402">
        <f t="shared" si="187"/>
        <v>0</v>
      </c>
      <c r="C1402">
        <f t="shared" si="188"/>
        <v>1</v>
      </c>
      <c r="D1402">
        <f t="shared" si="189"/>
        <v>1</v>
      </c>
      <c r="E1402">
        <f t="shared" si="190"/>
        <v>0</v>
      </c>
      <c r="F1402">
        <f t="shared" si="191"/>
        <v>1</v>
      </c>
      <c r="G1402">
        <f t="shared" si="192"/>
        <v>0</v>
      </c>
      <c r="H1402">
        <v>0</v>
      </c>
      <c r="I1402">
        <f t="shared" si="193"/>
        <v>1</v>
      </c>
      <c r="J1402">
        <f t="shared" si="185"/>
        <v>14.656240940093991</v>
      </c>
      <c r="K1402" t="s">
        <v>1374</v>
      </c>
      <c r="L1402" t="s">
        <v>1375</v>
      </c>
      <c r="M1402" t="s">
        <v>27</v>
      </c>
      <c r="N1402" t="s">
        <v>27</v>
      </c>
      <c r="O1402">
        <v>30.84</v>
      </c>
      <c r="P1402">
        <v>4.4129791259765598</v>
      </c>
      <c r="Q1402">
        <v>4.9238810539245597</v>
      </c>
      <c r="R1402">
        <v>26.899999618530298</v>
      </c>
      <c r="S1402">
        <v>20.5</v>
      </c>
      <c r="T1402">
        <v>15.2875728607178</v>
      </c>
      <c r="U1402" t="s">
        <v>27</v>
      </c>
      <c r="V1402">
        <v>7575000.5</v>
      </c>
      <c r="W1402">
        <v>0.97846102714538596</v>
      </c>
      <c r="X1402">
        <v>0.41999998688697798</v>
      </c>
      <c r="Y1402">
        <v>10.473895072936999</v>
      </c>
      <c r="Z1402">
        <v>9.73235988616943</v>
      </c>
      <c r="AA1402">
        <v>6368000</v>
      </c>
      <c r="AB1402" t="s">
        <v>27</v>
      </c>
      <c r="AC1402" t="s">
        <v>27</v>
      </c>
      <c r="AD1402">
        <v>0.56999999284744296</v>
      </c>
      <c r="AE1402" t="s">
        <v>27</v>
      </c>
      <c r="AF1402" t="s">
        <v>27</v>
      </c>
      <c r="AG1402">
        <v>6310000</v>
      </c>
      <c r="AH1402">
        <v>13.891462326049799</v>
      </c>
      <c r="AI1402">
        <v>0.922429978847504</v>
      </c>
    </row>
    <row r="1403" spans="1:35">
      <c r="A1403">
        <f t="shared" si="186"/>
        <v>1</v>
      </c>
      <c r="B1403">
        <f t="shared" si="187"/>
        <v>1</v>
      </c>
      <c r="C1403">
        <f t="shared" si="188"/>
        <v>1</v>
      </c>
      <c r="D1403">
        <f t="shared" si="189"/>
        <v>0</v>
      </c>
      <c r="E1403">
        <f t="shared" si="190"/>
        <v>0</v>
      </c>
      <c r="F1403">
        <f t="shared" si="191"/>
        <v>1</v>
      </c>
      <c r="G1403">
        <f t="shared" si="192"/>
        <v>0</v>
      </c>
      <c r="H1403">
        <v>0</v>
      </c>
      <c r="I1403">
        <f t="shared" si="193"/>
        <v>1</v>
      </c>
      <c r="J1403">
        <f t="shared" si="185"/>
        <v>14.642677783966059</v>
      </c>
      <c r="K1403" t="s">
        <v>707</v>
      </c>
      <c r="L1403" t="s">
        <v>708</v>
      </c>
      <c r="M1403" t="s">
        <v>27</v>
      </c>
      <c r="N1403" t="s">
        <v>27</v>
      </c>
      <c r="O1403">
        <v>41.209000000000003</v>
      </c>
      <c r="P1403">
        <v>1.83562695980072</v>
      </c>
      <c r="Q1403">
        <v>4.6584420204162598</v>
      </c>
      <c r="R1403">
        <v>30.890908674760301</v>
      </c>
      <c r="S1403">
        <v>26.8595041322314</v>
      </c>
      <c r="T1403">
        <v>22.235897064208999</v>
      </c>
      <c r="U1403" t="s">
        <v>27</v>
      </c>
      <c r="V1403">
        <v>603000.0625</v>
      </c>
      <c r="W1403">
        <v>2.00789999216795E-2</v>
      </c>
      <c r="X1403">
        <v>0.76859504723351801</v>
      </c>
      <c r="Y1403">
        <v>11.819820404052701</v>
      </c>
      <c r="Z1403">
        <v>9.9842357635497994</v>
      </c>
      <c r="AA1403">
        <v>3870790</v>
      </c>
      <c r="AB1403" t="s">
        <v>27</v>
      </c>
      <c r="AC1403" t="s">
        <v>27</v>
      </c>
      <c r="AD1403">
        <v>-0.18181818452748399</v>
      </c>
      <c r="AE1403" t="s">
        <v>27</v>
      </c>
      <c r="AF1403" t="s">
        <v>27</v>
      </c>
      <c r="AG1403">
        <v>3856600</v>
      </c>
      <c r="AH1403">
        <v>21.067012786865199</v>
      </c>
      <c r="AI1403">
        <v>0.67154598236083995</v>
      </c>
    </row>
    <row r="1404" spans="1:35">
      <c r="A1404">
        <f t="shared" si="186"/>
        <v>0</v>
      </c>
      <c r="B1404">
        <f t="shared" si="187"/>
        <v>1</v>
      </c>
      <c r="C1404">
        <f t="shared" si="188"/>
        <v>1</v>
      </c>
      <c r="D1404">
        <f t="shared" si="189"/>
        <v>0</v>
      </c>
      <c r="E1404">
        <f t="shared" si="190"/>
        <v>0</v>
      </c>
      <c r="F1404">
        <f t="shared" si="191"/>
        <v>1</v>
      </c>
      <c r="G1404">
        <f t="shared" si="192"/>
        <v>0</v>
      </c>
      <c r="H1404">
        <v>0</v>
      </c>
      <c r="I1404">
        <f t="shared" si="193"/>
        <v>1</v>
      </c>
      <c r="J1404">
        <f t="shared" si="185"/>
        <v>14.641036987304691</v>
      </c>
      <c r="K1404" t="s">
        <v>3176</v>
      </c>
      <c r="L1404" t="s">
        <v>3177</v>
      </c>
      <c r="M1404" t="s">
        <v>27</v>
      </c>
      <c r="N1404" t="s">
        <v>27</v>
      </c>
      <c r="O1404">
        <v>35.01</v>
      </c>
      <c r="P1404">
        <v>8.0374126434326207</v>
      </c>
      <c r="Q1404">
        <v>7.7821340560913104</v>
      </c>
      <c r="R1404">
        <v>31.7700004577637</v>
      </c>
      <c r="S1404">
        <v>24</v>
      </c>
      <c r="T1404">
        <v>7.4628667831420898</v>
      </c>
      <c r="U1404" t="s">
        <v>27</v>
      </c>
      <c r="V1404">
        <v>7638000.5</v>
      </c>
      <c r="W1404">
        <v>1.0145250558853101</v>
      </c>
      <c r="X1404">
        <v>0.68000000715255704</v>
      </c>
      <c r="Y1404">
        <v>12.7801856994629</v>
      </c>
      <c r="Z1404">
        <v>6.8589029312133798</v>
      </c>
      <c r="AA1404">
        <v>7272000</v>
      </c>
      <c r="AB1404" t="s">
        <v>34</v>
      </c>
      <c r="AC1404" t="s">
        <v>35</v>
      </c>
      <c r="AD1404">
        <v>0.5</v>
      </c>
      <c r="AE1404" t="s">
        <v>27</v>
      </c>
      <c r="AF1404" t="s">
        <v>27</v>
      </c>
      <c r="AG1404">
        <v>7090000</v>
      </c>
      <c r="AH1404">
        <v>7.7008748054504403</v>
      </c>
      <c r="AI1404">
        <v>1.0453959703445399</v>
      </c>
    </row>
    <row r="1405" spans="1:35">
      <c r="A1405">
        <f t="shared" si="186"/>
        <v>0</v>
      </c>
      <c r="B1405">
        <f t="shared" si="187"/>
        <v>1</v>
      </c>
      <c r="C1405">
        <f t="shared" si="188"/>
        <v>1</v>
      </c>
      <c r="D1405">
        <f t="shared" si="189"/>
        <v>0</v>
      </c>
      <c r="E1405">
        <f t="shared" si="190"/>
        <v>0</v>
      </c>
      <c r="F1405">
        <f t="shared" si="191"/>
        <v>1</v>
      </c>
      <c r="G1405">
        <f t="shared" si="192"/>
        <v>0</v>
      </c>
      <c r="H1405">
        <v>0</v>
      </c>
      <c r="I1405">
        <f t="shared" si="193"/>
        <v>1</v>
      </c>
      <c r="J1405">
        <f t="shared" si="185"/>
        <v>14.638718783855412</v>
      </c>
      <c r="K1405" t="s">
        <v>445</v>
      </c>
      <c r="L1405" t="s">
        <v>446</v>
      </c>
      <c r="M1405" t="s">
        <v>27</v>
      </c>
      <c r="N1405" t="s">
        <v>27</v>
      </c>
      <c r="O1405">
        <v>24.09</v>
      </c>
      <c r="P1405">
        <v>0.82210099697113004</v>
      </c>
      <c r="Q1405">
        <v>13.968960762023899</v>
      </c>
      <c r="R1405">
        <v>21.180000305175799</v>
      </c>
      <c r="S1405">
        <v>24.8125</v>
      </c>
      <c r="T1405">
        <v>0</v>
      </c>
      <c r="U1405" t="s">
        <v>27</v>
      </c>
      <c r="V1405" t="s">
        <v>27</v>
      </c>
      <c r="W1405">
        <v>3.4632940292358398</v>
      </c>
      <c r="X1405">
        <v>0.270000010728836</v>
      </c>
      <c r="Y1405">
        <v>4.6451611518859899</v>
      </c>
      <c r="Z1405">
        <v>0.66975802183151201</v>
      </c>
      <c r="AA1405">
        <v>12175000</v>
      </c>
      <c r="AB1405" t="s">
        <v>34</v>
      </c>
      <c r="AC1405" t="s">
        <v>447</v>
      </c>
      <c r="AD1405">
        <v>-0.58999997377395597</v>
      </c>
      <c r="AE1405" t="s">
        <v>27</v>
      </c>
      <c r="AF1405" t="s">
        <v>27</v>
      </c>
      <c r="AG1405">
        <v>12164000</v>
      </c>
      <c r="AH1405">
        <v>0</v>
      </c>
      <c r="AI1405">
        <v>3.6478118896484402</v>
      </c>
    </row>
    <row r="1406" spans="1:35">
      <c r="A1406">
        <f t="shared" si="186"/>
        <v>1</v>
      </c>
      <c r="B1406">
        <f t="shared" si="187"/>
        <v>0</v>
      </c>
      <c r="C1406">
        <f t="shared" si="188"/>
        <v>1</v>
      </c>
      <c r="D1406">
        <f t="shared" si="189"/>
        <v>1</v>
      </c>
      <c r="E1406">
        <f t="shared" si="190"/>
        <v>0</v>
      </c>
      <c r="F1406">
        <f t="shared" si="191"/>
        <v>1</v>
      </c>
      <c r="G1406">
        <f t="shared" si="192"/>
        <v>0</v>
      </c>
      <c r="H1406">
        <v>0</v>
      </c>
      <c r="I1406">
        <f t="shared" si="193"/>
        <v>1</v>
      </c>
      <c r="J1406">
        <f t="shared" si="185"/>
        <v>14.62924909591675</v>
      </c>
      <c r="K1406" t="s">
        <v>1610</v>
      </c>
      <c r="L1406" t="s">
        <v>1611</v>
      </c>
      <c r="M1406" t="s">
        <v>27</v>
      </c>
      <c r="N1406" t="s">
        <v>27</v>
      </c>
      <c r="O1406">
        <v>25.58</v>
      </c>
      <c r="P1406">
        <v>6.7298378944396999</v>
      </c>
      <c r="Q1406">
        <v>7.6990170478820801</v>
      </c>
      <c r="R1406">
        <v>22.1428571428571</v>
      </c>
      <c r="S1406">
        <v>18.154761904761902</v>
      </c>
      <c r="T1406">
        <v>11.2778663635254</v>
      </c>
      <c r="U1406" t="s">
        <v>27</v>
      </c>
      <c r="V1406">
        <v>9450000</v>
      </c>
      <c r="W1406">
        <v>1.46162104606628</v>
      </c>
      <c r="X1406">
        <v>0.342857134855794</v>
      </c>
      <c r="Y1406">
        <v>9.2521743774414098</v>
      </c>
      <c r="Z1406">
        <v>6.9302320480346697</v>
      </c>
      <c r="AA1406">
        <v>19434870</v>
      </c>
      <c r="AB1406" t="s">
        <v>27</v>
      </c>
      <c r="AC1406" t="s">
        <v>27</v>
      </c>
      <c r="AD1406">
        <v>0.39999998751140797</v>
      </c>
      <c r="AE1406" t="s">
        <v>27</v>
      </c>
      <c r="AF1406" t="s">
        <v>27</v>
      </c>
      <c r="AG1406">
        <v>19182450</v>
      </c>
      <c r="AH1406">
        <v>10.173826217651399</v>
      </c>
      <c r="AI1406">
        <v>1.38292396068573</v>
      </c>
    </row>
    <row r="1407" spans="1:35">
      <c r="A1407">
        <f t="shared" si="186"/>
        <v>1</v>
      </c>
      <c r="B1407">
        <f t="shared" si="187"/>
        <v>0</v>
      </c>
      <c r="C1407">
        <f t="shared" si="188"/>
        <v>1</v>
      </c>
      <c r="D1407">
        <f t="shared" si="189"/>
        <v>1</v>
      </c>
      <c r="E1407">
        <f t="shared" si="190"/>
        <v>0</v>
      </c>
      <c r="F1407">
        <f t="shared" si="191"/>
        <v>1</v>
      </c>
      <c r="G1407">
        <f t="shared" si="192"/>
        <v>0</v>
      </c>
      <c r="H1407">
        <v>0</v>
      </c>
      <c r="I1407">
        <f t="shared" si="193"/>
        <v>1</v>
      </c>
      <c r="J1407">
        <f t="shared" si="185"/>
        <v>14.62640810012817</v>
      </c>
      <c r="K1407" t="s">
        <v>3330</v>
      </c>
      <c r="L1407" t="s">
        <v>3331</v>
      </c>
      <c r="M1407" t="s">
        <v>27</v>
      </c>
      <c r="N1407" t="s">
        <v>27</v>
      </c>
      <c r="O1407">
        <v>22.9</v>
      </c>
      <c r="P1407">
        <v>9.1478996276855504</v>
      </c>
      <c r="Q1407">
        <v>7.3524031639099103</v>
      </c>
      <c r="R1407">
        <v>19.655999755859401</v>
      </c>
      <c r="S1407">
        <v>14.4</v>
      </c>
      <c r="T1407">
        <v>8.3310251235961896</v>
      </c>
      <c r="U1407" t="s">
        <v>27</v>
      </c>
      <c r="V1407">
        <v>17114000</v>
      </c>
      <c r="W1407">
        <v>1.4082659482955899</v>
      </c>
      <c r="X1407">
        <v>0.151999998092651</v>
      </c>
      <c r="Y1407">
        <v>7.9470200538635298</v>
      </c>
      <c r="Z1407">
        <v>7.2740049362182599</v>
      </c>
      <c r="AA1407">
        <v>15682500</v>
      </c>
      <c r="AB1407" t="s">
        <v>27</v>
      </c>
      <c r="AC1407" t="s">
        <v>27</v>
      </c>
      <c r="AD1407">
        <v>0.32000000476837198</v>
      </c>
      <c r="AE1407" t="s">
        <v>27</v>
      </c>
      <c r="AF1407" t="s">
        <v>27</v>
      </c>
      <c r="AG1407">
        <v>15645000</v>
      </c>
      <c r="AH1407">
        <v>6.6229882240295401</v>
      </c>
      <c r="AI1407">
        <v>1.00942599773407</v>
      </c>
    </row>
    <row r="1408" spans="1:35">
      <c r="A1408">
        <f t="shared" si="186"/>
        <v>0</v>
      </c>
      <c r="B1408">
        <f t="shared" si="187"/>
        <v>0</v>
      </c>
      <c r="C1408">
        <f t="shared" si="188"/>
        <v>0</v>
      </c>
      <c r="D1408">
        <f t="shared" si="189"/>
        <v>1</v>
      </c>
      <c r="E1408">
        <f t="shared" si="190"/>
        <v>0</v>
      </c>
      <c r="F1408">
        <f t="shared" si="191"/>
        <v>1</v>
      </c>
      <c r="G1408">
        <f t="shared" si="192"/>
        <v>0</v>
      </c>
      <c r="H1408">
        <v>0</v>
      </c>
      <c r="I1408">
        <f t="shared" si="193"/>
        <v>0</v>
      </c>
      <c r="J1408">
        <f t="shared" si="185"/>
        <v>14.617814064025881</v>
      </c>
      <c r="K1408" t="s">
        <v>1724</v>
      </c>
      <c r="L1408" t="s">
        <v>1725</v>
      </c>
      <c r="M1408" t="s">
        <v>27</v>
      </c>
      <c r="N1408" t="s">
        <v>27</v>
      </c>
      <c r="O1408">
        <v>16.260000000000002</v>
      </c>
      <c r="P1408">
        <v>8.5302362442016602</v>
      </c>
      <c r="Q1408">
        <v>9.3990879058837908</v>
      </c>
      <c r="R1408">
        <v>15.3699998855591</v>
      </c>
      <c r="S1408">
        <v>15.1875</v>
      </c>
      <c r="T1408">
        <v>24.2796020507813</v>
      </c>
      <c r="U1408">
        <v>42.170478820800803</v>
      </c>
      <c r="V1408">
        <v>-213999.984375</v>
      </c>
      <c r="W1408">
        <v>9.4354352951049805</v>
      </c>
      <c r="X1408">
        <v>0.15000000596046401</v>
      </c>
      <c r="Y1408">
        <v>2.99916291236877</v>
      </c>
      <c r="Z1408">
        <v>5.2187261581420898</v>
      </c>
      <c r="AA1408">
        <v>13749000</v>
      </c>
      <c r="AB1408" t="s">
        <v>38</v>
      </c>
      <c r="AC1408" t="s">
        <v>146</v>
      </c>
      <c r="AD1408">
        <v>0.17000000178813901</v>
      </c>
      <c r="AE1408">
        <v>38.566898345947301</v>
      </c>
      <c r="AF1408">
        <v>12.6172537164022</v>
      </c>
      <c r="AG1408">
        <v>13919000</v>
      </c>
      <c r="AH1408">
        <v>25.804143905639599</v>
      </c>
      <c r="AI1408">
        <v>8.1713647842407209</v>
      </c>
    </row>
    <row r="1409" spans="1:35">
      <c r="A1409">
        <f t="shared" si="186"/>
        <v>1</v>
      </c>
      <c r="B1409">
        <f t="shared" si="187"/>
        <v>1</v>
      </c>
      <c r="C1409">
        <f t="shared" si="188"/>
        <v>0</v>
      </c>
      <c r="D1409">
        <f t="shared" si="189"/>
        <v>1</v>
      </c>
      <c r="E1409">
        <f t="shared" si="190"/>
        <v>0</v>
      </c>
      <c r="F1409">
        <f t="shared" si="191"/>
        <v>1</v>
      </c>
      <c r="G1409">
        <f t="shared" si="192"/>
        <v>1</v>
      </c>
      <c r="H1409">
        <v>0</v>
      </c>
      <c r="I1409">
        <f t="shared" si="193"/>
        <v>0</v>
      </c>
      <c r="J1409">
        <f t="shared" si="185"/>
        <v>14.61402940750126</v>
      </c>
      <c r="K1409" t="s">
        <v>2698</v>
      </c>
      <c r="L1409" t="s">
        <v>2699</v>
      </c>
      <c r="M1409" t="s">
        <v>27</v>
      </c>
      <c r="N1409" t="s">
        <v>27</v>
      </c>
      <c r="O1409">
        <v>12.57</v>
      </c>
      <c r="P1409">
        <v>1.67051494121552</v>
      </c>
      <c r="Q1409">
        <v>10.0796165466309</v>
      </c>
      <c r="R1409">
        <v>12.8999996185303</v>
      </c>
      <c r="S1409">
        <v>10</v>
      </c>
      <c r="T1409">
        <v>1.6751749515533401</v>
      </c>
      <c r="U1409">
        <v>16.123979568481399</v>
      </c>
      <c r="V1409">
        <v>-22979000</v>
      </c>
      <c r="W1409">
        <v>3.50260710716248</v>
      </c>
      <c r="X1409">
        <v>9.9999997764825804E-3</v>
      </c>
      <c r="Y1409">
        <v>2.53584909439087</v>
      </c>
      <c r="Z1409">
        <v>4.5344128608703604</v>
      </c>
      <c r="AA1409">
        <v>73464000</v>
      </c>
      <c r="AB1409" t="s">
        <v>73</v>
      </c>
      <c r="AC1409" t="s">
        <v>413</v>
      </c>
      <c r="AD1409">
        <v>0.20999999344348899</v>
      </c>
      <c r="AE1409">
        <v>27.4182949066162</v>
      </c>
      <c r="AF1409">
        <v>7.3321972161966702</v>
      </c>
      <c r="AG1409">
        <v>73372000</v>
      </c>
      <c r="AH1409">
        <v>1.4465249776840201</v>
      </c>
      <c r="AI1409">
        <v>5.2084040641784703</v>
      </c>
    </row>
    <row r="1410" spans="1:35">
      <c r="A1410">
        <f t="shared" si="186"/>
        <v>1</v>
      </c>
      <c r="B1410">
        <f t="shared" si="187"/>
        <v>0</v>
      </c>
      <c r="C1410">
        <f t="shared" si="188"/>
        <v>0</v>
      </c>
      <c r="D1410">
        <f t="shared" si="189"/>
        <v>1</v>
      </c>
      <c r="E1410">
        <f t="shared" si="190"/>
        <v>0</v>
      </c>
      <c r="F1410">
        <f t="shared" si="191"/>
        <v>1</v>
      </c>
      <c r="G1410">
        <f t="shared" si="192"/>
        <v>0</v>
      </c>
      <c r="H1410">
        <v>0</v>
      </c>
      <c r="I1410">
        <f t="shared" si="193"/>
        <v>1</v>
      </c>
      <c r="J1410">
        <f t="shared" si="185"/>
        <v>14.580769538879391</v>
      </c>
      <c r="K1410" t="s">
        <v>3871</v>
      </c>
      <c r="L1410" t="s">
        <v>3872</v>
      </c>
      <c r="M1410" t="s">
        <v>27</v>
      </c>
      <c r="N1410" t="s">
        <v>27</v>
      </c>
      <c r="O1410">
        <v>29.96</v>
      </c>
      <c r="P1410">
        <v>8.9003324508666992</v>
      </c>
      <c r="Q1410">
        <v>9.1540384292602504</v>
      </c>
      <c r="R1410">
        <v>19.993333180745399</v>
      </c>
      <c r="S1410">
        <v>12.75</v>
      </c>
      <c r="T1410">
        <v>6.3221769332885698</v>
      </c>
      <c r="U1410" t="s">
        <v>27</v>
      </c>
      <c r="V1410">
        <v>-6003000</v>
      </c>
      <c r="W1410">
        <v>0.62277197837829601</v>
      </c>
      <c r="X1410">
        <v>6.6666667660077394E-2</v>
      </c>
      <c r="Y1410">
        <v>8.5294122695922905</v>
      </c>
      <c r="Z1410">
        <v>5.4267311096191397</v>
      </c>
      <c r="AA1410">
        <v>12915000</v>
      </c>
      <c r="AB1410" t="s">
        <v>34</v>
      </c>
      <c r="AC1410" t="s">
        <v>35</v>
      </c>
      <c r="AD1410">
        <v>0.34999998410542799</v>
      </c>
      <c r="AE1410" t="s">
        <v>27</v>
      </c>
      <c r="AF1410" t="s">
        <v>27</v>
      </c>
      <c r="AG1410">
        <v>9676077.75</v>
      </c>
      <c r="AH1410">
        <v>6.0590062141418501</v>
      </c>
      <c r="AI1410">
        <v>0.58986997604370095</v>
      </c>
    </row>
    <row r="1411" spans="1:35">
      <c r="A1411">
        <f t="shared" si="186"/>
        <v>0</v>
      </c>
      <c r="B1411">
        <f t="shared" si="187"/>
        <v>1</v>
      </c>
      <c r="C1411">
        <f t="shared" si="188"/>
        <v>0</v>
      </c>
      <c r="D1411">
        <f t="shared" si="189"/>
        <v>0</v>
      </c>
      <c r="E1411">
        <f t="shared" si="190"/>
        <v>0</v>
      </c>
      <c r="F1411">
        <f t="shared" si="191"/>
        <v>1</v>
      </c>
      <c r="G1411">
        <f t="shared" si="192"/>
        <v>0</v>
      </c>
      <c r="H1411">
        <v>0</v>
      </c>
      <c r="I1411">
        <f t="shared" si="193"/>
        <v>1</v>
      </c>
      <c r="J1411">
        <f t="shared" si="185"/>
        <v>14.57307720184326</v>
      </c>
      <c r="K1411" t="s">
        <v>1205</v>
      </c>
      <c r="L1411" t="s">
        <v>1206</v>
      </c>
      <c r="M1411" t="s">
        <v>27</v>
      </c>
      <c r="N1411" t="s">
        <v>27</v>
      </c>
      <c r="O1411">
        <v>30.37</v>
      </c>
      <c r="P1411">
        <v>8.61798000335693</v>
      </c>
      <c r="Q1411">
        <v>8.4861211776733398</v>
      </c>
      <c r="R1411">
        <v>22.899999618530298</v>
      </c>
      <c r="S1411">
        <v>29.25</v>
      </c>
      <c r="T1411">
        <v>44.716297149658203</v>
      </c>
      <c r="U1411">
        <v>77.659202575683594</v>
      </c>
      <c r="V1411">
        <v>-15515999</v>
      </c>
      <c r="W1411">
        <v>3.8019599914550799</v>
      </c>
      <c r="X1411">
        <v>0.15000000596046401</v>
      </c>
      <c r="Y1411">
        <v>7.0093059539794904</v>
      </c>
      <c r="Z1411">
        <v>6.0869560241699201</v>
      </c>
      <c r="AA1411">
        <v>30273000</v>
      </c>
      <c r="AB1411" t="s">
        <v>328</v>
      </c>
      <c r="AC1411" t="s">
        <v>329</v>
      </c>
      <c r="AD1411">
        <v>-0.10000000149011599</v>
      </c>
      <c r="AE1411">
        <v>74.206848144531307</v>
      </c>
      <c r="AF1411">
        <v>7.7205352595673302</v>
      </c>
      <c r="AG1411">
        <v>30993000</v>
      </c>
      <c r="AH1411">
        <v>45.575874328613303</v>
      </c>
      <c r="AI1411">
        <v>4.4404878616332999</v>
      </c>
    </row>
    <row r="1412" spans="1:35">
      <c r="A1412">
        <f t="shared" si="186"/>
        <v>1</v>
      </c>
      <c r="B1412">
        <f t="shared" si="187"/>
        <v>0</v>
      </c>
      <c r="C1412">
        <f t="shared" si="188"/>
        <v>0</v>
      </c>
      <c r="D1412">
        <f t="shared" si="189"/>
        <v>1</v>
      </c>
      <c r="E1412">
        <f t="shared" si="190"/>
        <v>0</v>
      </c>
      <c r="F1412">
        <f t="shared" si="191"/>
        <v>1</v>
      </c>
      <c r="G1412">
        <f t="shared" si="192"/>
        <v>0</v>
      </c>
      <c r="H1412">
        <v>0</v>
      </c>
      <c r="I1412">
        <f t="shared" si="193"/>
        <v>0</v>
      </c>
      <c r="J1412">
        <f t="shared" si="185"/>
        <v>14.563973903656009</v>
      </c>
      <c r="K1412" t="s">
        <v>881</v>
      </c>
      <c r="L1412" t="s">
        <v>882</v>
      </c>
      <c r="M1412" t="s">
        <v>27</v>
      </c>
      <c r="N1412" t="s">
        <v>27</v>
      </c>
      <c r="O1412">
        <v>32.340000000000003</v>
      </c>
      <c r="P1412">
        <v>8.1003227233886701</v>
      </c>
      <c r="Q1412">
        <v>8.2018756866455096</v>
      </c>
      <c r="R1412">
        <v>31.9899997711182</v>
      </c>
      <c r="S1412">
        <v>27.309999465942401</v>
      </c>
      <c r="T1412">
        <v>59.6093139648438</v>
      </c>
      <c r="U1412" t="s">
        <v>27</v>
      </c>
      <c r="V1412">
        <v>-6569999.5</v>
      </c>
      <c r="W1412">
        <v>3.0824270248413099</v>
      </c>
      <c r="X1412">
        <v>0.40000000596046398</v>
      </c>
      <c r="Y1412">
        <v>6.6180047988891602</v>
      </c>
      <c r="Z1412">
        <v>6.3620982170104998</v>
      </c>
      <c r="AA1412">
        <v>20739000</v>
      </c>
      <c r="AB1412" t="s">
        <v>27</v>
      </c>
      <c r="AC1412" t="s">
        <v>27</v>
      </c>
      <c r="AD1412">
        <v>0.56999999284744296</v>
      </c>
      <c r="AE1412" t="s">
        <v>27</v>
      </c>
      <c r="AF1412">
        <v>10.5935409837604</v>
      </c>
      <c r="AG1412">
        <v>20781000</v>
      </c>
      <c r="AH1412">
        <v>58.860816955566399</v>
      </c>
      <c r="AI1412">
        <v>2.6047790050506601</v>
      </c>
    </row>
    <row r="1413" spans="1:35">
      <c r="A1413">
        <f t="shared" si="186"/>
        <v>1</v>
      </c>
      <c r="B1413">
        <f t="shared" si="187"/>
        <v>1</v>
      </c>
      <c r="C1413">
        <f t="shared" si="188"/>
        <v>1</v>
      </c>
      <c r="D1413">
        <f t="shared" si="189"/>
        <v>1</v>
      </c>
      <c r="E1413">
        <f t="shared" si="190"/>
        <v>0</v>
      </c>
      <c r="F1413">
        <f t="shared" si="191"/>
        <v>1</v>
      </c>
      <c r="G1413">
        <f t="shared" si="192"/>
        <v>0</v>
      </c>
      <c r="H1413">
        <v>0</v>
      </c>
      <c r="I1413">
        <f t="shared" si="193"/>
        <v>1</v>
      </c>
      <c r="J1413">
        <f t="shared" si="185"/>
        <v>14.53717184066773</v>
      </c>
      <c r="K1413" t="s">
        <v>3326</v>
      </c>
      <c r="L1413" t="s">
        <v>3327</v>
      </c>
      <c r="M1413" t="s">
        <v>27</v>
      </c>
      <c r="N1413" t="s">
        <v>27</v>
      </c>
      <c r="O1413">
        <v>26.67</v>
      </c>
      <c r="P1413">
        <v>6.3580918312072798</v>
      </c>
      <c r="Q1413">
        <v>7.8589110374450701</v>
      </c>
      <c r="R1413">
        <v>23.458333015441902</v>
      </c>
      <c r="S1413">
        <v>15.909090909090899</v>
      </c>
      <c r="T1413">
        <v>19.959619522094702</v>
      </c>
      <c r="U1413" t="s">
        <v>27</v>
      </c>
      <c r="V1413">
        <v>14941000</v>
      </c>
      <c r="W1413">
        <v>1.28686499595642</v>
      </c>
      <c r="X1413">
        <v>0.35123966285348301</v>
      </c>
      <c r="Y1413">
        <v>9.4358968734741193</v>
      </c>
      <c r="Z1413">
        <v>6.6782608032226598</v>
      </c>
      <c r="AA1413">
        <v>11996424</v>
      </c>
      <c r="AB1413" t="s">
        <v>27</v>
      </c>
      <c r="AC1413" t="s">
        <v>27</v>
      </c>
      <c r="AD1413">
        <v>0.40909092534672098</v>
      </c>
      <c r="AE1413" t="s">
        <v>27</v>
      </c>
      <c r="AF1413" t="s">
        <v>27</v>
      </c>
      <c r="AG1413">
        <v>12294480</v>
      </c>
      <c r="AH1413">
        <v>10.712832450866699</v>
      </c>
      <c r="AI1413">
        <v>1.3302350044250499</v>
      </c>
    </row>
    <row r="1414" spans="1:35">
      <c r="A1414">
        <f t="shared" si="186"/>
        <v>1</v>
      </c>
      <c r="B1414">
        <f t="shared" si="187"/>
        <v>1</v>
      </c>
      <c r="C1414">
        <f t="shared" si="188"/>
        <v>1</v>
      </c>
      <c r="D1414">
        <f t="shared" si="189"/>
        <v>0</v>
      </c>
      <c r="E1414">
        <f t="shared" si="190"/>
        <v>0</v>
      </c>
      <c r="F1414">
        <f t="shared" si="191"/>
        <v>1</v>
      </c>
      <c r="G1414">
        <f t="shared" si="192"/>
        <v>0</v>
      </c>
      <c r="H1414">
        <v>0</v>
      </c>
      <c r="I1414">
        <f t="shared" si="193"/>
        <v>0</v>
      </c>
      <c r="J1414">
        <f t="shared" si="185"/>
        <v>14.51350212097168</v>
      </c>
      <c r="K1414" t="s">
        <v>2813</v>
      </c>
      <c r="L1414" t="s">
        <v>2814</v>
      </c>
      <c r="M1414" t="s">
        <v>27</v>
      </c>
      <c r="N1414" t="s">
        <v>27</v>
      </c>
      <c r="O1414">
        <v>7.59</v>
      </c>
      <c r="P1414">
        <v>7.1123580932617196</v>
      </c>
      <c r="Q1414">
        <v>5.3089570999145499</v>
      </c>
      <c r="R1414">
        <v>10.8500003814697</v>
      </c>
      <c r="S1414">
        <v>13.25</v>
      </c>
      <c r="T1414">
        <v>31.9051208496094</v>
      </c>
      <c r="U1414">
        <v>51.119251251220703</v>
      </c>
      <c r="V1414">
        <v>19176000</v>
      </c>
      <c r="W1414">
        <v>2.54875707626343</v>
      </c>
      <c r="X1414">
        <v>0.34999999403953602</v>
      </c>
      <c r="Y1414">
        <v>11.358024597168001</v>
      </c>
      <c r="Z1414">
        <v>9.2045450210571307</v>
      </c>
      <c r="AA1414">
        <v>44937000</v>
      </c>
      <c r="AB1414" t="s">
        <v>27</v>
      </c>
      <c r="AC1414" t="s">
        <v>27</v>
      </c>
      <c r="AD1414">
        <v>0.119999997317791</v>
      </c>
      <c r="AE1414">
        <v>46.390869140625</v>
      </c>
      <c r="AF1414">
        <v>7.31032501043431</v>
      </c>
      <c r="AG1414">
        <v>44682000</v>
      </c>
      <c r="AH1414">
        <v>28.1275959014893</v>
      </c>
      <c r="AI1414">
        <v>5.01072120666504</v>
      </c>
    </row>
    <row r="1415" spans="1:35">
      <c r="A1415">
        <f t="shared" si="186"/>
        <v>0</v>
      </c>
      <c r="B1415">
        <f t="shared" si="187"/>
        <v>0</v>
      </c>
      <c r="C1415">
        <f t="shared" si="188"/>
        <v>1</v>
      </c>
      <c r="D1415">
        <f t="shared" si="189"/>
        <v>0</v>
      </c>
      <c r="E1415">
        <f t="shared" si="190"/>
        <v>0</v>
      </c>
      <c r="F1415">
        <f t="shared" si="191"/>
        <v>1</v>
      </c>
      <c r="G1415">
        <f t="shared" si="192"/>
        <v>0</v>
      </c>
      <c r="H1415">
        <v>0</v>
      </c>
      <c r="I1415">
        <f t="shared" si="193"/>
        <v>0</v>
      </c>
      <c r="J1415">
        <f t="shared" si="185"/>
        <v>14.48099422454834</v>
      </c>
      <c r="K1415" t="s">
        <v>994</v>
      </c>
      <c r="L1415" t="s">
        <v>995</v>
      </c>
      <c r="M1415" t="s">
        <v>27</v>
      </c>
      <c r="N1415" t="s">
        <v>27</v>
      </c>
      <c r="O1415">
        <v>15.28</v>
      </c>
      <c r="P1415">
        <v>6.9785408973693803</v>
      </c>
      <c r="Q1415">
        <v>7.3133640289306596</v>
      </c>
      <c r="R1415">
        <v>16.379999160766602</v>
      </c>
      <c r="S1415">
        <v>15.189999580383301</v>
      </c>
      <c r="T1415">
        <v>39.610893249511697</v>
      </c>
      <c r="U1415" t="s">
        <v>27</v>
      </c>
      <c r="V1415">
        <v>15676001</v>
      </c>
      <c r="W1415">
        <v>4.2523708343505904</v>
      </c>
      <c r="X1415">
        <v>0.34999999403953602</v>
      </c>
      <c r="Y1415">
        <v>7.7647061347961399</v>
      </c>
      <c r="Z1415">
        <v>7.1676301956176802</v>
      </c>
      <c r="AA1415">
        <v>26787000</v>
      </c>
      <c r="AB1415" t="s">
        <v>27</v>
      </c>
      <c r="AC1415" t="s">
        <v>27</v>
      </c>
      <c r="AD1415">
        <v>0.30000001192092901</v>
      </c>
      <c r="AE1415" t="s">
        <v>27</v>
      </c>
      <c r="AF1415">
        <v>8.4519126149714694</v>
      </c>
      <c r="AG1415">
        <v>26811000</v>
      </c>
      <c r="AH1415">
        <v>39.996044158935497</v>
      </c>
      <c r="AI1415">
        <v>3.1268548965454102</v>
      </c>
    </row>
    <row r="1416" spans="1:35">
      <c r="A1416">
        <f t="shared" si="186"/>
        <v>0</v>
      </c>
      <c r="B1416">
        <f t="shared" si="187"/>
        <v>1</v>
      </c>
      <c r="C1416">
        <f t="shared" si="188"/>
        <v>0</v>
      </c>
      <c r="D1416">
        <f t="shared" si="189"/>
        <v>0</v>
      </c>
      <c r="E1416">
        <f t="shared" si="190"/>
        <v>0</v>
      </c>
      <c r="F1416">
        <f t="shared" si="191"/>
        <v>1</v>
      </c>
      <c r="G1416">
        <f t="shared" si="192"/>
        <v>0</v>
      </c>
      <c r="H1416">
        <v>0</v>
      </c>
      <c r="I1416">
        <f t="shared" si="193"/>
        <v>0</v>
      </c>
      <c r="J1416">
        <f t="shared" si="185"/>
        <v>14.443191528320341</v>
      </c>
      <c r="K1416" t="s">
        <v>3172</v>
      </c>
      <c r="L1416" t="s">
        <v>3173</v>
      </c>
      <c r="M1416" t="s">
        <v>27</v>
      </c>
      <c r="N1416" t="s">
        <v>27</v>
      </c>
      <c r="O1416">
        <v>2.83</v>
      </c>
      <c r="P1416" t="s">
        <v>27</v>
      </c>
      <c r="Q1416">
        <v>3.4280738830566402</v>
      </c>
      <c r="R1416">
        <v>8.2799997329711896</v>
      </c>
      <c r="S1416">
        <v>14.875</v>
      </c>
      <c r="T1416">
        <v>0</v>
      </c>
      <c r="U1416">
        <v>44.975902557372997</v>
      </c>
      <c r="V1416">
        <v>-21672000</v>
      </c>
      <c r="W1416">
        <v>-5.5414500236511204</v>
      </c>
      <c r="X1416">
        <v>0.40999999642372098</v>
      </c>
      <c r="Y1416">
        <v>2.9057469367981001</v>
      </c>
      <c r="Z1416">
        <v>11.0151176452637</v>
      </c>
      <c r="AA1416">
        <v>89842496</v>
      </c>
      <c r="AB1416" t="s">
        <v>27</v>
      </c>
      <c r="AC1416" t="s">
        <v>27</v>
      </c>
      <c r="AD1416">
        <v>-0.28999999165535001</v>
      </c>
      <c r="AE1416">
        <v>-24.316347122192401</v>
      </c>
      <c r="AF1416" t="s">
        <v>27</v>
      </c>
      <c r="AG1416">
        <v>91372000</v>
      </c>
      <c r="AH1416">
        <v>6.5736003220081302E-2</v>
      </c>
      <c r="AI1416">
        <v>35.167507171630902</v>
      </c>
    </row>
    <row r="1417" spans="1:35">
      <c r="A1417">
        <f t="shared" si="186"/>
        <v>0</v>
      </c>
      <c r="B1417">
        <f t="shared" si="187"/>
        <v>0</v>
      </c>
      <c r="C1417">
        <f t="shared" si="188"/>
        <v>0</v>
      </c>
      <c r="D1417">
        <f t="shared" si="189"/>
        <v>0</v>
      </c>
      <c r="E1417">
        <f t="shared" si="190"/>
        <v>0</v>
      </c>
      <c r="F1417">
        <f t="shared" si="191"/>
        <v>1</v>
      </c>
      <c r="G1417">
        <f t="shared" si="192"/>
        <v>1</v>
      </c>
      <c r="H1417">
        <v>0</v>
      </c>
      <c r="I1417">
        <f t="shared" si="193"/>
        <v>0</v>
      </c>
      <c r="J1417">
        <f t="shared" si="185"/>
        <v>14.44149875640869</v>
      </c>
      <c r="K1417" t="s">
        <v>2480</v>
      </c>
      <c r="L1417" t="s">
        <v>2481</v>
      </c>
      <c r="M1417" t="s">
        <v>27</v>
      </c>
      <c r="N1417" t="s">
        <v>27</v>
      </c>
      <c r="O1417">
        <v>15.95</v>
      </c>
      <c r="P1417">
        <v>5.1830382347106898</v>
      </c>
      <c r="Q1417">
        <v>5.1414499282836896</v>
      </c>
      <c r="R1417">
        <v>22.920000076293899</v>
      </c>
      <c r="S1417">
        <v>26.899999618530298</v>
      </c>
      <c r="T1417">
        <v>40.398017883300803</v>
      </c>
      <c r="U1417">
        <v>19.056505203247099</v>
      </c>
      <c r="V1417">
        <v>-30319000</v>
      </c>
      <c r="W1417">
        <v>2.3294088840484601</v>
      </c>
      <c r="X1417">
        <v>-9.9999997764825804E-3</v>
      </c>
      <c r="Y1417">
        <v>6.4223399162292498</v>
      </c>
      <c r="Z1417">
        <v>9.300048828125</v>
      </c>
      <c r="AA1417">
        <v>12879000</v>
      </c>
      <c r="AB1417" t="s">
        <v>27</v>
      </c>
      <c r="AC1417" t="s">
        <v>27</v>
      </c>
      <c r="AD1417">
        <v>-7.9999998211860698E-2</v>
      </c>
      <c r="AE1417">
        <v>33.887584686279297</v>
      </c>
      <c r="AF1417">
        <v>5.8711475006237999</v>
      </c>
      <c r="AG1417">
        <v>13755000</v>
      </c>
      <c r="AH1417">
        <v>45.510738372802699</v>
      </c>
      <c r="AI1417">
        <v>1.5782330036163299</v>
      </c>
    </row>
    <row r="1418" spans="1:35">
      <c r="A1418">
        <f t="shared" si="186"/>
        <v>0</v>
      </c>
      <c r="B1418">
        <f t="shared" si="187"/>
        <v>0</v>
      </c>
      <c r="C1418">
        <f t="shared" si="188"/>
        <v>0</v>
      </c>
      <c r="D1418">
        <f t="shared" si="189"/>
        <v>0</v>
      </c>
      <c r="E1418">
        <f t="shared" si="190"/>
        <v>0</v>
      </c>
      <c r="F1418">
        <f t="shared" si="191"/>
        <v>1</v>
      </c>
      <c r="G1418">
        <f t="shared" si="192"/>
        <v>0</v>
      </c>
      <c r="H1418">
        <v>0</v>
      </c>
      <c r="I1418">
        <f t="shared" si="193"/>
        <v>0</v>
      </c>
      <c r="J1418">
        <f t="shared" si="185"/>
        <v>14.43067646026611</v>
      </c>
      <c r="K1418" t="s">
        <v>1732</v>
      </c>
      <c r="L1418" t="s">
        <v>1733</v>
      </c>
      <c r="M1418" t="s">
        <v>27</v>
      </c>
      <c r="N1418" t="s">
        <v>27</v>
      </c>
      <c r="O1418">
        <v>2.61</v>
      </c>
      <c r="P1418">
        <v>32.270999908447301</v>
      </c>
      <c r="Q1418">
        <v>9.2398366928100604</v>
      </c>
      <c r="R1418">
        <v>11.1099996566772</v>
      </c>
      <c r="S1418">
        <v>33.8125</v>
      </c>
      <c r="T1418">
        <v>0</v>
      </c>
      <c r="U1418" t="s">
        <v>27</v>
      </c>
      <c r="V1418">
        <v>-8661000</v>
      </c>
      <c r="W1418">
        <v>32.154697418212898</v>
      </c>
      <c r="X1418">
        <v>0.109999999403954</v>
      </c>
      <c r="Y1418">
        <v>1.47826099395752</v>
      </c>
      <c r="Z1418">
        <v>5.1908397674560502</v>
      </c>
      <c r="AA1418">
        <v>38690000</v>
      </c>
      <c r="AB1418" t="s">
        <v>27</v>
      </c>
      <c r="AC1418" t="s">
        <v>27</v>
      </c>
      <c r="AD1418">
        <v>-1.9999999552965199E-2</v>
      </c>
      <c r="AE1418" t="s">
        <v>27</v>
      </c>
      <c r="AF1418" t="s">
        <v>27</v>
      </c>
      <c r="AG1418">
        <v>39045000</v>
      </c>
      <c r="AH1418">
        <v>0</v>
      </c>
      <c r="AI1418">
        <v>15.2688388824463</v>
      </c>
    </row>
    <row r="1419" spans="1:35">
      <c r="A1419">
        <f t="shared" si="186"/>
        <v>1</v>
      </c>
      <c r="B1419">
        <f t="shared" si="187"/>
        <v>1</v>
      </c>
      <c r="C1419">
        <f t="shared" si="188"/>
        <v>1</v>
      </c>
      <c r="D1419">
        <f t="shared" si="189"/>
        <v>1</v>
      </c>
      <c r="E1419">
        <f t="shared" si="190"/>
        <v>0</v>
      </c>
      <c r="F1419">
        <f t="shared" si="191"/>
        <v>1</v>
      </c>
      <c r="G1419">
        <f t="shared" si="192"/>
        <v>0</v>
      </c>
      <c r="H1419">
        <v>0</v>
      </c>
      <c r="I1419">
        <f t="shared" si="193"/>
        <v>0</v>
      </c>
      <c r="J1419">
        <f t="shared" si="185"/>
        <v>14.422883987426751</v>
      </c>
      <c r="K1419" t="s">
        <v>1981</v>
      </c>
      <c r="L1419" t="s">
        <v>1982</v>
      </c>
      <c r="M1419" t="s">
        <v>27</v>
      </c>
      <c r="N1419" t="s">
        <v>27</v>
      </c>
      <c r="O1419">
        <v>25.12</v>
      </c>
      <c r="P1419">
        <v>8.7090501785278303</v>
      </c>
      <c r="Q1419">
        <v>7.4895510673522896</v>
      </c>
      <c r="R1419">
        <v>27.399999618530298</v>
      </c>
      <c r="S1419">
        <v>19.579999923706101</v>
      </c>
      <c r="T1419">
        <v>39.476856231689503</v>
      </c>
      <c r="U1419">
        <v>39.255504608154297</v>
      </c>
      <c r="V1419">
        <v>13042000</v>
      </c>
      <c r="W1419">
        <v>3.7494230270385702</v>
      </c>
      <c r="X1419">
        <v>0.37000000476837203</v>
      </c>
      <c r="Y1419">
        <v>6.82802486419678</v>
      </c>
      <c r="Z1419">
        <v>6.9333329200744602</v>
      </c>
      <c r="AA1419">
        <v>24522000</v>
      </c>
      <c r="AB1419" t="s">
        <v>61</v>
      </c>
      <c r="AC1419" t="s">
        <v>1983</v>
      </c>
      <c r="AD1419">
        <v>0.46999999880790699</v>
      </c>
      <c r="AE1419">
        <v>38.952865600585902</v>
      </c>
      <c r="AF1419">
        <v>6.5642457938928898</v>
      </c>
      <c r="AG1419">
        <v>23975000</v>
      </c>
      <c r="AH1419">
        <v>33.980381011962898</v>
      </c>
      <c r="AI1419">
        <v>4.5403327941894496</v>
      </c>
    </row>
    <row r="1420" spans="1:35">
      <c r="A1420">
        <f t="shared" si="186"/>
        <v>0</v>
      </c>
      <c r="B1420">
        <f t="shared" si="187"/>
        <v>1</v>
      </c>
      <c r="C1420">
        <f t="shared" si="188"/>
        <v>1</v>
      </c>
      <c r="D1420">
        <f t="shared" si="189"/>
        <v>0</v>
      </c>
      <c r="E1420">
        <f t="shared" si="190"/>
        <v>0</v>
      </c>
      <c r="F1420">
        <f t="shared" si="191"/>
        <v>1</v>
      </c>
      <c r="G1420">
        <f t="shared" si="192"/>
        <v>0</v>
      </c>
      <c r="H1420">
        <v>0</v>
      </c>
      <c r="I1420">
        <f t="shared" si="193"/>
        <v>0</v>
      </c>
      <c r="J1420">
        <f t="shared" si="185"/>
        <v>14.41345262527466</v>
      </c>
      <c r="K1420" t="s">
        <v>3372</v>
      </c>
      <c r="L1420" t="s">
        <v>3373</v>
      </c>
      <c r="M1420" t="s">
        <v>27</v>
      </c>
      <c r="N1420" t="s">
        <v>27</v>
      </c>
      <c r="O1420">
        <v>34.75</v>
      </c>
      <c r="P1420" t="s">
        <v>27</v>
      </c>
      <c r="Q1420">
        <v>8.9564266204834002</v>
      </c>
      <c r="R1420">
        <v>38.400001525878899</v>
      </c>
      <c r="S1420">
        <v>33.459999084472699</v>
      </c>
      <c r="T1420">
        <v>47.010292053222699</v>
      </c>
      <c r="U1420" t="s">
        <v>27</v>
      </c>
      <c r="V1420">
        <v>4243001</v>
      </c>
      <c r="W1420">
        <v>3.3581099510192902</v>
      </c>
      <c r="X1420">
        <v>0.63999998569488503</v>
      </c>
      <c r="Y1420">
        <v>6.1343870162963903</v>
      </c>
      <c r="Z1420">
        <v>5.4570260047912598</v>
      </c>
      <c r="AA1420">
        <v>17502000</v>
      </c>
      <c r="AB1420" t="s">
        <v>83</v>
      </c>
      <c r="AC1420" t="s">
        <v>84</v>
      </c>
      <c r="AD1420">
        <v>0.46000000834464999</v>
      </c>
      <c r="AE1420" t="s">
        <v>27</v>
      </c>
      <c r="AF1420">
        <v>12.5140410854679</v>
      </c>
      <c r="AG1420">
        <v>17505000</v>
      </c>
      <c r="AH1420">
        <v>48.646190643310497</v>
      </c>
      <c r="AI1420">
        <v>3.5462329387664799</v>
      </c>
    </row>
    <row r="1421" spans="1:35">
      <c r="A1421">
        <f t="shared" si="186"/>
        <v>0</v>
      </c>
      <c r="B1421">
        <f t="shared" si="187"/>
        <v>1</v>
      </c>
      <c r="C1421">
        <f t="shared" si="188"/>
        <v>1</v>
      </c>
      <c r="D1421">
        <f t="shared" si="189"/>
        <v>1</v>
      </c>
      <c r="E1421">
        <f t="shared" si="190"/>
        <v>0</v>
      </c>
      <c r="F1421">
        <f t="shared" si="191"/>
        <v>1</v>
      </c>
      <c r="G1421">
        <f t="shared" si="192"/>
        <v>1</v>
      </c>
      <c r="H1421">
        <v>0</v>
      </c>
      <c r="I1421">
        <f t="shared" si="193"/>
        <v>0</v>
      </c>
      <c r="J1421">
        <f t="shared" si="185"/>
        <v>14.411637067794791</v>
      </c>
      <c r="K1421" t="s">
        <v>1798</v>
      </c>
      <c r="L1421" t="s">
        <v>1799</v>
      </c>
      <c r="M1421" t="s">
        <v>27</v>
      </c>
      <c r="N1421" t="s">
        <v>27</v>
      </c>
      <c r="O1421">
        <v>5</v>
      </c>
      <c r="P1421">
        <v>12.4525852203369</v>
      </c>
      <c r="Q1421">
        <v>12.1808681488037</v>
      </c>
      <c r="R1421">
        <v>22.610000610351602</v>
      </c>
      <c r="S1421">
        <v>30.2399997711182</v>
      </c>
      <c r="T1421">
        <v>0</v>
      </c>
      <c r="U1421">
        <v>4.1648020744323704</v>
      </c>
      <c r="V1421">
        <v>12479001</v>
      </c>
      <c r="W1421">
        <v>6.4427518844604501</v>
      </c>
      <c r="X1421">
        <v>0.270000010728836</v>
      </c>
      <c r="Y1421">
        <v>1.2285339832305899</v>
      </c>
      <c r="Z1421">
        <v>2.2307689189910902</v>
      </c>
      <c r="AA1421">
        <v>27444000</v>
      </c>
      <c r="AB1421" t="s">
        <v>61</v>
      </c>
      <c r="AC1421" t="s">
        <v>80</v>
      </c>
      <c r="AD1421">
        <v>0.31999999284744302</v>
      </c>
      <c r="AE1421">
        <v>4.5417561531066903</v>
      </c>
      <c r="AF1421">
        <v>6.0285350124665404</v>
      </c>
      <c r="AG1421">
        <v>27596000</v>
      </c>
      <c r="AH1421">
        <v>1.56940305233002</v>
      </c>
      <c r="AI1421">
        <v>8.6552371978759801</v>
      </c>
    </row>
    <row r="1422" spans="1:35">
      <c r="A1422">
        <f t="shared" si="186"/>
        <v>1</v>
      </c>
      <c r="B1422">
        <f t="shared" si="187"/>
        <v>0</v>
      </c>
      <c r="C1422">
        <f t="shared" si="188"/>
        <v>1</v>
      </c>
      <c r="D1422">
        <f t="shared" si="189"/>
        <v>0</v>
      </c>
      <c r="E1422">
        <f t="shared" si="190"/>
        <v>0</v>
      </c>
      <c r="F1422">
        <f t="shared" si="191"/>
        <v>1</v>
      </c>
      <c r="G1422">
        <f t="shared" si="192"/>
        <v>0</v>
      </c>
      <c r="H1422">
        <v>0</v>
      </c>
      <c r="I1422">
        <f t="shared" si="193"/>
        <v>0</v>
      </c>
      <c r="J1422">
        <f t="shared" si="185"/>
        <v>14.403872966766361</v>
      </c>
      <c r="K1422" t="s">
        <v>2590</v>
      </c>
      <c r="L1422" t="s">
        <v>2591</v>
      </c>
      <c r="M1422" t="s">
        <v>27</v>
      </c>
      <c r="N1422" t="s">
        <v>27</v>
      </c>
      <c r="O1422">
        <v>24</v>
      </c>
      <c r="P1422">
        <v>9.3516435623168892</v>
      </c>
      <c r="Q1422">
        <v>7.1581110954284703</v>
      </c>
      <c r="R1422">
        <v>25.25</v>
      </c>
      <c r="S1422">
        <v>18.569999694824201</v>
      </c>
      <c r="T1422">
        <v>19.417970657348601</v>
      </c>
      <c r="U1422">
        <v>18.369266510009801</v>
      </c>
      <c r="V1422">
        <v>2891000</v>
      </c>
      <c r="W1422">
        <v>7.0037951469421396</v>
      </c>
      <c r="X1422">
        <v>0.36000001430511502</v>
      </c>
      <c r="Y1422">
        <v>14.3511447906494</v>
      </c>
      <c r="Z1422">
        <v>7.2457618713378897</v>
      </c>
      <c r="AA1422">
        <v>7377000</v>
      </c>
      <c r="AB1422" t="s">
        <v>30</v>
      </c>
      <c r="AC1422" t="s">
        <v>542</v>
      </c>
      <c r="AD1422">
        <v>5.9999998658895499E-2</v>
      </c>
      <c r="AE1422">
        <v>17.597488403320298</v>
      </c>
      <c r="AF1422">
        <v>4.4748472775564396</v>
      </c>
      <c r="AG1422">
        <v>7513000</v>
      </c>
      <c r="AH1422">
        <v>0.212038993835449</v>
      </c>
      <c r="AI1422">
        <v>5.1384730339050302</v>
      </c>
    </row>
    <row r="1423" spans="1:35">
      <c r="A1423">
        <f t="shared" si="186"/>
        <v>0</v>
      </c>
      <c r="B1423">
        <f t="shared" si="187"/>
        <v>1</v>
      </c>
      <c r="C1423">
        <f t="shared" si="188"/>
        <v>1</v>
      </c>
      <c r="D1423">
        <f t="shared" si="189"/>
        <v>1</v>
      </c>
      <c r="E1423">
        <f t="shared" si="190"/>
        <v>0</v>
      </c>
      <c r="F1423">
        <f t="shared" si="191"/>
        <v>1</v>
      </c>
      <c r="G1423">
        <f t="shared" si="192"/>
        <v>0</v>
      </c>
      <c r="H1423">
        <v>0</v>
      </c>
      <c r="I1423">
        <f t="shared" si="193"/>
        <v>1</v>
      </c>
      <c r="J1423">
        <f t="shared" si="185"/>
        <v>14.359064102172852</v>
      </c>
      <c r="K1423" t="s">
        <v>792</v>
      </c>
      <c r="L1423" t="s">
        <v>793</v>
      </c>
      <c r="M1423" t="s">
        <v>27</v>
      </c>
      <c r="N1423" t="s">
        <v>27</v>
      </c>
      <c r="O1423">
        <v>28.24</v>
      </c>
      <c r="P1423" t="s">
        <v>27</v>
      </c>
      <c r="Q1423">
        <v>6.4290461540222203</v>
      </c>
      <c r="R1423">
        <v>25.952380952380999</v>
      </c>
      <c r="S1423">
        <v>22.732426303854901</v>
      </c>
      <c r="T1423">
        <v>7.3038868904113796</v>
      </c>
      <c r="U1423" t="s">
        <v>27</v>
      </c>
      <c r="V1423">
        <v>21032000</v>
      </c>
      <c r="W1423">
        <v>1.4727079868316699</v>
      </c>
      <c r="X1423">
        <v>0.44444445309455199</v>
      </c>
      <c r="Y1423">
        <v>8.4701108932495099</v>
      </c>
      <c r="Z1423">
        <v>7.9300179481506303</v>
      </c>
      <c r="AA1423">
        <v>23572552.5</v>
      </c>
      <c r="AB1423" t="s">
        <v>34</v>
      </c>
      <c r="AC1423" t="s">
        <v>35</v>
      </c>
      <c r="AD1423">
        <v>0.55328799483457103</v>
      </c>
      <c r="AE1423" t="s">
        <v>27</v>
      </c>
      <c r="AF1423" t="s">
        <v>27</v>
      </c>
      <c r="AG1423">
        <v>23623267.5</v>
      </c>
      <c r="AH1423">
        <v>12.161301612854</v>
      </c>
      <c r="AI1423">
        <v>1.65260994434357</v>
      </c>
    </row>
    <row r="1424" spans="1:35">
      <c r="A1424">
        <f t="shared" si="186"/>
        <v>0</v>
      </c>
      <c r="B1424">
        <f t="shared" si="187"/>
        <v>0</v>
      </c>
      <c r="C1424">
        <f t="shared" si="188"/>
        <v>1</v>
      </c>
      <c r="D1424">
        <f t="shared" si="189"/>
        <v>0</v>
      </c>
      <c r="E1424">
        <f t="shared" si="190"/>
        <v>0</v>
      </c>
      <c r="F1424">
        <f t="shared" si="191"/>
        <v>1</v>
      </c>
      <c r="G1424">
        <f t="shared" si="192"/>
        <v>0</v>
      </c>
      <c r="H1424">
        <v>0</v>
      </c>
      <c r="I1424">
        <f t="shared" si="193"/>
        <v>0</v>
      </c>
      <c r="J1424">
        <f t="shared" si="185"/>
        <v>14.34797143936157</v>
      </c>
      <c r="K1424" t="s">
        <v>2578</v>
      </c>
      <c r="L1424" t="s">
        <v>2579</v>
      </c>
      <c r="M1424" t="s">
        <v>27</v>
      </c>
      <c r="N1424" t="s">
        <v>27</v>
      </c>
      <c r="O1424">
        <v>26.5</v>
      </c>
      <c r="P1424">
        <v>8.4505434036254901</v>
      </c>
      <c r="Q1424">
        <v>8.5278654098510707</v>
      </c>
      <c r="R1424">
        <v>28.600000381469702</v>
      </c>
      <c r="S1424">
        <v>26.625</v>
      </c>
      <c r="T1424">
        <v>29.25439453125</v>
      </c>
      <c r="U1424">
        <v>83.038444519042997</v>
      </c>
      <c r="V1424">
        <v>6095001</v>
      </c>
      <c r="W1424">
        <v>6.7310690879821804</v>
      </c>
      <c r="X1424">
        <v>0.43000000715255698</v>
      </c>
      <c r="Y1424">
        <v>6.9837841987609899</v>
      </c>
      <c r="Z1424">
        <v>5.8201060295104998</v>
      </c>
      <c r="AA1424">
        <v>23850000</v>
      </c>
      <c r="AB1424" t="s">
        <v>254</v>
      </c>
      <c r="AC1424" t="s">
        <v>848</v>
      </c>
      <c r="AD1424">
        <v>0.43000000715255698</v>
      </c>
      <c r="AE1424">
        <v>75.851280212402301</v>
      </c>
      <c r="AF1424">
        <v>7.9133434634189896</v>
      </c>
      <c r="AG1424">
        <v>24619000</v>
      </c>
      <c r="AH1424">
        <v>30.1268825531006</v>
      </c>
      <c r="AI1424">
        <v>5.7866921424865696</v>
      </c>
    </row>
    <row r="1425" spans="1:35">
      <c r="A1425">
        <f t="shared" si="186"/>
        <v>1</v>
      </c>
      <c r="B1425">
        <f t="shared" si="187"/>
        <v>1</v>
      </c>
      <c r="C1425">
        <f t="shared" si="188"/>
        <v>1</v>
      </c>
      <c r="D1425">
        <f t="shared" si="189"/>
        <v>1</v>
      </c>
      <c r="E1425">
        <f t="shared" si="190"/>
        <v>0</v>
      </c>
      <c r="F1425">
        <f t="shared" si="191"/>
        <v>1</v>
      </c>
      <c r="G1425">
        <f t="shared" si="192"/>
        <v>0</v>
      </c>
      <c r="H1425">
        <v>0</v>
      </c>
      <c r="I1425">
        <f t="shared" si="193"/>
        <v>0</v>
      </c>
      <c r="J1425">
        <f t="shared" si="185"/>
        <v>14.33055925369262</v>
      </c>
      <c r="K1425" t="s">
        <v>1862</v>
      </c>
      <c r="L1425" t="s">
        <v>1863</v>
      </c>
      <c r="M1425" t="s">
        <v>27</v>
      </c>
      <c r="N1425" t="s">
        <v>27</v>
      </c>
      <c r="O1425">
        <v>30.34</v>
      </c>
      <c r="P1425">
        <v>8.7797002792358398</v>
      </c>
      <c r="Q1425">
        <v>9.1453742980956996</v>
      </c>
      <c r="R1425">
        <v>33.849998474121101</v>
      </c>
      <c r="S1425">
        <v>33.099998474121101</v>
      </c>
      <c r="T1425">
        <v>43.4052734375</v>
      </c>
      <c r="U1425">
        <v>31.511787414550799</v>
      </c>
      <c r="V1425">
        <v>4871000.5</v>
      </c>
      <c r="W1425">
        <v>4.8988189697265598</v>
      </c>
      <c r="X1425">
        <v>0.57999998331069902</v>
      </c>
      <c r="Y1425">
        <v>5.8210120201110804</v>
      </c>
      <c r="Z1425">
        <v>5.1851849555969203</v>
      </c>
      <c r="AA1425">
        <v>30266000</v>
      </c>
      <c r="AB1425" t="s">
        <v>73</v>
      </c>
      <c r="AC1425" t="s">
        <v>74</v>
      </c>
      <c r="AD1425">
        <v>0.62999999523162797</v>
      </c>
      <c r="AE1425">
        <v>30.799015045166001</v>
      </c>
      <c r="AF1425">
        <v>8.9978827213417993</v>
      </c>
      <c r="AG1425">
        <v>30704000</v>
      </c>
      <c r="AH1425">
        <v>36.855594635009801</v>
      </c>
      <c r="AI1425">
        <v>6.2828111648559597</v>
      </c>
    </row>
    <row r="1426" spans="1:35">
      <c r="A1426">
        <f t="shared" si="186"/>
        <v>1</v>
      </c>
      <c r="B1426">
        <f t="shared" si="187"/>
        <v>0</v>
      </c>
      <c r="C1426">
        <f t="shared" si="188"/>
        <v>1</v>
      </c>
      <c r="D1426">
        <f t="shared" si="189"/>
        <v>1</v>
      </c>
      <c r="E1426">
        <f t="shared" si="190"/>
        <v>0</v>
      </c>
      <c r="F1426">
        <f t="shared" si="191"/>
        <v>1</v>
      </c>
      <c r="G1426">
        <f t="shared" si="192"/>
        <v>0</v>
      </c>
      <c r="H1426">
        <v>0</v>
      </c>
      <c r="I1426">
        <f t="shared" si="193"/>
        <v>0</v>
      </c>
      <c r="J1426">
        <f t="shared" si="185"/>
        <v>14.30256986618042</v>
      </c>
      <c r="K1426" t="s">
        <v>1370</v>
      </c>
      <c r="L1426" t="s">
        <v>1371</v>
      </c>
      <c r="M1426" t="s">
        <v>27</v>
      </c>
      <c r="N1426" t="s">
        <v>27</v>
      </c>
      <c r="O1426">
        <v>23.5</v>
      </c>
      <c r="P1426">
        <v>6.2652521133422896</v>
      </c>
      <c r="Q1426">
        <v>6.7394227981567401</v>
      </c>
      <c r="R1426">
        <v>22.057142711821101</v>
      </c>
      <c r="S1426">
        <v>20.861678004535101</v>
      </c>
      <c r="T1426">
        <v>12.2210845947266</v>
      </c>
      <c r="U1426" t="s">
        <v>27</v>
      </c>
      <c r="V1426">
        <v>8204000</v>
      </c>
      <c r="W1426">
        <v>1.3458479642868</v>
      </c>
      <c r="X1426">
        <v>0.408163254493488</v>
      </c>
      <c r="Y1426">
        <v>8.0949153900146502</v>
      </c>
      <c r="Z1426">
        <v>7.5631470680236799</v>
      </c>
      <c r="AA1426">
        <v>12882712.5</v>
      </c>
      <c r="AB1426" t="s">
        <v>34</v>
      </c>
      <c r="AC1426" t="s">
        <v>35</v>
      </c>
      <c r="AD1426">
        <v>0.45714284692491802</v>
      </c>
      <c r="AE1426" t="s">
        <v>27</v>
      </c>
      <c r="AF1426" t="s">
        <v>27</v>
      </c>
      <c r="AG1426">
        <v>13308963.15</v>
      </c>
      <c r="AH1426">
        <v>10.3569278717041</v>
      </c>
      <c r="AI1426">
        <v>1.2884839773178101</v>
      </c>
    </row>
    <row r="1427" spans="1:35">
      <c r="A1427">
        <f t="shared" si="186"/>
        <v>0</v>
      </c>
      <c r="B1427">
        <f t="shared" si="187"/>
        <v>1</v>
      </c>
      <c r="C1427">
        <f t="shared" si="188"/>
        <v>0</v>
      </c>
      <c r="D1427">
        <f t="shared" si="189"/>
        <v>0</v>
      </c>
      <c r="E1427">
        <f t="shared" si="190"/>
        <v>0</v>
      </c>
      <c r="F1427">
        <f t="shared" si="191"/>
        <v>1</v>
      </c>
      <c r="G1427">
        <f t="shared" si="192"/>
        <v>1</v>
      </c>
      <c r="H1427">
        <v>0</v>
      </c>
      <c r="I1427">
        <f t="shared" si="193"/>
        <v>0</v>
      </c>
      <c r="J1427">
        <f t="shared" si="185"/>
        <v>14.295182466506921</v>
      </c>
      <c r="K1427" t="s">
        <v>1937</v>
      </c>
      <c r="L1427" t="s">
        <v>1938</v>
      </c>
      <c r="M1427" t="s">
        <v>27</v>
      </c>
      <c r="N1427" t="s">
        <v>27</v>
      </c>
      <c r="O1427">
        <v>10.35</v>
      </c>
      <c r="P1427">
        <v>8.3912763595581108</v>
      </c>
      <c r="Q1427">
        <v>3.1169340610504199</v>
      </c>
      <c r="R1427">
        <v>15.6000003814697</v>
      </c>
      <c r="S1427">
        <v>16.125</v>
      </c>
      <c r="T1427">
        <v>5.1916470527648899</v>
      </c>
      <c r="U1427">
        <v>25.013607025146499</v>
      </c>
      <c r="V1427">
        <v>-7363000</v>
      </c>
      <c r="W1427">
        <v>4.2775630950927699</v>
      </c>
      <c r="X1427">
        <v>0.40999999642372098</v>
      </c>
      <c r="Y1427">
        <v>12.1980199813843</v>
      </c>
      <c r="Z1427">
        <v>11.1782484054565</v>
      </c>
      <c r="AA1427">
        <v>22232000</v>
      </c>
      <c r="AB1427" t="s">
        <v>61</v>
      </c>
      <c r="AC1427" t="s">
        <v>315</v>
      </c>
      <c r="AD1427">
        <v>0.37999999523162797</v>
      </c>
      <c r="AE1427">
        <v>25.1464138031006</v>
      </c>
      <c r="AF1427" t="s">
        <v>27</v>
      </c>
      <c r="AG1427">
        <v>22366000</v>
      </c>
      <c r="AH1427">
        <v>5.2487888336181596</v>
      </c>
      <c r="AI1427">
        <v>6.7865581512451199</v>
      </c>
    </row>
    <row r="1428" spans="1:35">
      <c r="A1428">
        <f t="shared" si="186"/>
        <v>1</v>
      </c>
      <c r="B1428">
        <f t="shared" si="187"/>
        <v>1</v>
      </c>
      <c r="C1428">
        <f t="shared" si="188"/>
        <v>1</v>
      </c>
      <c r="D1428">
        <f t="shared" si="189"/>
        <v>0</v>
      </c>
      <c r="E1428">
        <f t="shared" si="190"/>
        <v>0</v>
      </c>
      <c r="F1428">
        <f t="shared" si="191"/>
        <v>1</v>
      </c>
      <c r="G1428">
        <f t="shared" si="192"/>
        <v>0</v>
      </c>
      <c r="H1428">
        <v>0</v>
      </c>
      <c r="I1428">
        <f t="shared" si="193"/>
        <v>1</v>
      </c>
      <c r="J1428">
        <f t="shared" si="185"/>
        <v>14.27932786941529</v>
      </c>
      <c r="K1428" t="s">
        <v>899</v>
      </c>
      <c r="L1428" t="s">
        <v>900</v>
      </c>
      <c r="M1428" t="s">
        <v>27</v>
      </c>
      <c r="N1428" t="s">
        <v>27</v>
      </c>
      <c r="O1428">
        <v>32.57</v>
      </c>
      <c r="P1428">
        <v>5.9380321502685502</v>
      </c>
      <c r="Q1428">
        <v>5.0066008567810103</v>
      </c>
      <c r="R1428">
        <v>28.549999237060501</v>
      </c>
      <c r="S1428">
        <v>28.200000762939499</v>
      </c>
      <c r="T1428">
        <v>18.895702362060501</v>
      </c>
      <c r="U1428" t="s">
        <v>27</v>
      </c>
      <c r="V1428">
        <v>11784388</v>
      </c>
      <c r="W1428">
        <v>1.00164902210236</v>
      </c>
      <c r="X1428">
        <v>0.730000019073486</v>
      </c>
      <c r="Y1428">
        <v>10.909791946411101</v>
      </c>
      <c r="Z1428">
        <v>9.2727270126342791</v>
      </c>
      <c r="AA1428">
        <v>6993000</v>
      </c>
      <c r="AB1428" t="s">
        <v>34</v>
      </c>
      <c r="AC1428" t="s">
        <v>35</v>
      </c>
      <c r="AD1428">
        <v>0.56000000238418601</v>
      </c>
      <c r="AE1428" t="s">
        <v>27</v>
      </c>
      <c r="AF1428" t="s">
        <v>27</v>
      </c>
      <c r="AG1428">
        <v>11579000</v>
      </c>
      <c r="AH1428">
        <v>16.067115783691399</v>
      </c>
      <c r="AI1428">
        <v>1.0518879890441899</v>
      </c>
    </row>
    <row r="1429" spans="1:35">
      <c r="A1429">
        <f t="shared" si="186"/>
        <v>0</v>
      </c>
      <c r="B1429">
        <f t="shared" si="187"/>
        <v>0</v>
      </c>
      <c r="C1429">
        <f t="shared" si="188"/>
        <v>1</v>
      </c>
      <c r="D1429">
        <f t="shared" si="189"/>
        <v>1</v>
      </c>
      <c r="E1429">
        <f t="shared" si="190"/>
        <v>0</v>
      </c>
      <c r="F1429">
        <f t="shared" si="191"/>
        <v>1</v>
      </c>
      <c r="G1429">
        <f t="shared" si="192"/>
        <v>0</v>
      </c>
      <c r="H1429">
        <v>0</v>
      </c>
      <c r="I1429">
        <f t="shared" si="193"/>
        <v>1</v>
      </c>
      <c r="J1429">
        <f t="shared" si="185"/>
        <v>14.26003408432007</v>
      </c>
      <c r="K1429" t="s">
        <v>3823</v>
      </c>
      <c r="L1429" t="s">
        <v>3824</v>
      </c>
      <c r="M1429" t="s">
        <v>27</v>
      </c>
      <c r="N1429" t="s">
        <v>27</v>
      </c>
      <c r="O1429">
        <v>22.86</v>
      </c>
      <c r="P1429">
        <v>6.6351199150085396</v>
      </c>
      <c r="Q1429">
        <v>6.9577078819274902</v>
      </c>
      <c r="R1429">
        <v>20.879999160766602</v>
      </c>
      <c r="S1429">
        <v>22.625</v>
      </c>
      <c r="T1429">
        <v>6.9109477996826199</v>
      </c>
      <c r="U1429" t="s">
        <v>27</v>
      </c>
      <c r="V1429">
        <v>10978000</v>
      </c>
      <c r="W1429">
        <v>1.22496998310089</v>
      </c>
      <c r="X1429">
        <v>0.34000000357627902</v>
      </c>
      <c r="Y1429">
        <v>6.43731784820557</v>
      </c>
      <c r="Z1429">
        <v>7.3023262023925799</v>
      </c>
      <c r="AA1429">
        <v>18728000</v>
      </c>
      <c r="AB1429" t="s">
        <v>34</v>
      </c>
      <c r="AC1429" t="s">
        <v>35</v>
      </c>
      <c r="AD1429">
        <v>0.38999998569488498</v>
      </c>
      <c r="AE1429" t="s">
        <v>27</v>
      </c>
      <c r="AF1429" t="s">
        <v>27</v>
      </c>
      <c r="AG1429">
        <v>17944000</v>
      </c>
      <c r="AH1429">
        <v>11.0409097671509</v>
      </c>
      <c r="AI1429">
        <v>1.1757559776306199</v>
      </c>
    </row>
    <row r="1430" spans="1:35">
      <c r="A1430">
        <f t="shared" si="186"/>
        <v>1</v>
      </c>
      <c r="B1430">
        <f t="shared" si="187"/>
        <v>1</v>
      </c>
      <c r="C1430">
        <f t="shared" si="188"/>
        <v>1</v>
      </c>
      <c r="D1430">
        <f t="shared" si="189"/>
        <v>1</v>
      </c>
      <c r="E1430">
        <f t="shared" si="190"/>
        <v>0</v>
      </c>
      <c r="F1430">
        <f t="shared" si="191"/>
        <v>1</v>
      </c>
      <c r="G1430">
        <f t="shared" si="192"/>
        <v>0</v>
      </c>
      <c r="H1430">
        <v>0</v>
      </c>
      <c r="I1430">
        <f t="shared" si="193"/>
        <v>0</v>
      </c>
      <c r="J1430">
        <f t="shared" si="185"/>
        <v>14.258786201477051</v>
      </c>
      <c r="K1430" t="s">
        <v>2336</v>
      </c>
      <c r="L1430" t="s">
        <v>2337</v>
      </c>
      <c r="M1430" t="s">
        <v>27</v>
      </c>
      <c r="N1430" t="s">
        <v>27</v>
      </c>
      <c r="O1430">
        <v>10.66</v>
      </c>
      <c r="P1430">
        <v>3.4351229667663601</v>
      </c>
      <c r="Q1430">
        <v>8.0848731994628906</v>
      </c>
      <c r="R1430">
        <v>10.050000190734901</v>
      </c>
      <c r="S1430">
        <v>7.75</v>
      </c>
      <c r="T1430">
        <v>22.926771163940401</v>
      </c>
      <c r="U1430">
        <v>36.680103302002003</v>
      </c>
      <c r="V1430">
        <v>417999.96875</v>
      </c>
      <c r="W1430">
        <v>1.0922559499740601</v>
      </c>
      <c r="X1430">
        <v>0.18000000715255701</v>
      </c>
      <c r="Y1430">
        <v>3.1428570747375502</v>
      </c>
      <c r="Z1430">
        <v>6.1739130020141602</v>
      </c>
      <c r="AA1430">
        <v>20748000</v>
      </c>
      <c r="AB1430" t="s">
        <v>38</v>
      </c>
      <c r="AC1430" t="s">
        <v>146</v>
      </c>
      <c r="AD1430">
        <v>0.259999990463257</v>
      </c>
      <c r="AE1430">
        <v>34.019508361816399</v>
      </c>
      <c r="AF1430" t="s">
        <v>27</v>
      </c>
      <c r="AG1430">
        <v>21031000</v>
      </c>
      <c r="AH1430">
        <v>17.866020202636701</v>
      </c>
      <c r="AI1430">
        <v>3.20578908920288</v>
      </c>
    </row>
    <row r="1431" spans="1:35">
      <c r="A1431">
        <f t="shared" si="186"/>
        <v>0</v>
      </c>
      <c r="B1431">
        <f t="shared" si="187"/>
        <v>1</v>
      </c>
      <c r="C1431">
        <f t="shared" si="188"/>
        <v>0</v>
      </c>
      <c r="D1431">
        <f t="shared" si="189"/>
        <v>0</v>
      </c>
      <c r="E1431">
        <f t="shared" si="190"/>
        <v>0</v>
      </c>
      <c r="F1431">
        <f t="shared" si="191"/>
        <v>1</v>
      </c>
      <c r="G1431">
        <f t="shared" si="192"/>
        <v>0</v>
      </c>
      <c r="H1431">
        <v>0</v>
      </c>
      <c r="I1431">
        <f t="shared" si="193"/>
        <v>1</v>
      </c>
      <c r="J1431">
        <f t="shared" si="185"/>
        <v>14.255821704864509</v>
      </c>
      <c r="K1431" t="s">
        <v>3308</v>
      </c>
      <c r="L1431" t="s">
        <v>3309</v>
      </c>
      <c r="M1431" t="s">
        <v>27</v>
      </c>
      <c r="N1431" t="s">
        <v>27</v>
      </c>
      <c r="O1431">
        <v>18.190000000000001</v>
      </c>
      <c r="P1431" t="s">
        <v>27</v>
      </c>
      <c r="Q1431">
        <v>7.2320117950439498</v>
      </c>
      <c r="R1431">
        <v>13.9700002670288</v>
      </c>
      <c r="S1431">
        <v>12.8800001144409</v>
      </c>
      <c r="T1431">
        <v>71.772918701171903</v>
      </c>
      <c r="U1431">
        <v>47.984836578369098</v>
      </c>
      <c r="V1431">
        <v>-24619002</v>
      </c>
      <c r="W1431">
        <v>-3.05868697166443</v>
      </c>
      <c r="X1431">
        <v>0.259999990463257</v>
      </c>
      <c r="Y1431">
        <v>8.5380115509033203</v>
      </c>
      <c r="Z1431">
        <v>7.0238099098205602</v>
      </c>
      <c r="AA1431">
        <v>60227000</v>
      </c>
      <c r="AB1431" t="s">
        <v>27</v>
      </c>
      <c r="AC1431" t="s">
        <v>27</v>
      </c>
      <c r="AD1431">
        <v>7.9999998211860698E-2</v>
      </c>
      <c r="AE1431">
        <v>46.844589233398402</v>
      </c>
      <c r="AF1431">
        <v>9.8677761171490701</v>
      </c>
      <c r="AG1431">
        <v>57047000</v>
      </c>
      <c r="AH1431">
        <v>74.410858154296903</v>
      </c>
      <c r="AI1431">
        <v>6.8837170600891104</v>
      </c>
    </row>
    <row r="1432" spans="1:35">
      <c r="A1432">
        <f t="shared" si="186"/>
        <v>0</v>
      </c>
      <c r="B1432">
        <f t="shared" si="187"/>
        <v>0</v>
      </c>
      <c r="C1432">
        <f t="shared" si="188"/>
        <v>0</v>
      </c>
      <c r="D1432">
        <f t="shared" si="189"/>
        <v>1</v>
      </c>
      <c r="E1432">
        <f t="shared" si="190"/>
        <v>0</v>
      </c>
      <c r="F1432">
        <f t="shared" si="191"/>
        <v>1</v>
      </c>
      <c r="G1432">
        <f t="shared" si="192"/>
        <v>1</v>
      </c>
      <c r="H1432">
        <v>0</v>
      </c>
      <c r="I1432">
        <f t="shared" si="193"/>
        <v>0</v>
      </c>
      <c r="J1432">
        <f t="shared" si="185"/>
        <v>14.25401496887207</v>
      </c>
      <c r="K1432" t="s">
        <v>2426</v>
      </c>
      <c r="L1432" t="s">
        <v>2427</v>
      </c>
      <c r="M1432" t="s">
        <v>27</v>
      </c>
      <c r="N1432" t="s">
        <v>27</v>
      </c>
      <c r="O1432">
        <v>31.81</v>
      </c>
      <c r="P1432">
        <v>7.7061691284179696</v>
      </c>
      <c r="Q1432">
        <v>7.4456000328064</v>
      </c>
      <c r="R1432">
        <v>30.246665954589801</v>
      </c>
      <c r="S1432">
        <v>24.839998881022101</v>
      </c>
      <c r="T1432">
        <v>30.982130050659201</v>
      </c>
      <c r="U1432">
        <v>11.161446571350099</v>
      </c>
      <c r="V1432">
        <v>-35209000</v>
      </c>
      <c r="W1432">
        <v>4.7643098831176802</v>
      </c>
      <c r="X1432">
        <v>-0.120000004768372</v>
      </c>
      <c r="Y1432">
        <v>6.6215381622314498</v>
      </c>
      <c r="Z1432">
        <v>6.8084149360656703</v>
      </c>
      <c r="AA1432">
        <v>26391000</v>
      </c>
      <c r="AB1432" t="s">
        <v>254</v>
      </c>
      <c r="AC1432" t="s">
        <v>400</v>
      </c>
      <c r="AD1432">
        <v>-0.100000003973643</v>
      </c>
      <c r="AE1432">
        <v>14.297568321228001</v>
      </c>
      <c r="AF1432">
        <v>9.6552246217926605</v>
      </c>
      <c r="AG1432">
        <v>26664000</v>
      </c>
      <c r="AH1432">
        <v>36.917545318603501</v>
      </c>
      <c r="AI1432">
        <v>4.5906648635864302</v>
      </c>
    </row>
    <row r="1433" spans="1:35">
      <c r="A1433">
        <f t="shared" si="186"/>
        <v>1</v>
      </c>
      <c r="B1433">
        <f t="shared" si="187"/>
        <v>1</v>
      </c>
      <c r="C1433">
        <f t="shared" si="188"/>
        <v>1</v>
      </c>
      <c r="D1433">
        <f t="shared" si="189"/>
        <v>1</v>
      </c>
      <c r="E1433">
        <f t="shared" si="190"/>
        <v>0</v>
      </c>
      <c r="F1433">
        <f t="shared" si="191"/>
        <v>1</v>
      </c>
      <c r="G1433">
        <f t="shared" si="192"/>
        <v>1</v>
      </c>
      <c r="H1433">
        <v>0</v>
      </c>
      <c r="I1433">
        <f t="shared" si="193"/>
        <v>0</v>
      </c>
      <c r="J1433">
        <f t="shared" si="185"/>
        <v>14.253959655761721</v>
      </c>
      <c r="K1433" t="s">
        <v>1963</v>
      </c>
      <c r="L1433" t="s">
        <v>1964</v>
      </c>
      <c r="M1433" t="s">
        <v>27</v>
      </c>
      <c r="N1433" t="s">
        <v>27</v>
      </c>
      <c r="O1433">
        <v>9.26</v>
      </c>
      <c r="P1433" t="s">
        <v>27</v>
      </c>
      <c r="Q1433">
        <v>8.6266536712646502</v>
      </c>
      <c r="R1433">
        <v>8.6300001144409197</v>
      </c>
      <c r="S1433">
        <v>11.550000190734901</v>
      </c>
      <c r="T1433">
        <v>53.487823486328097</v>
      </c>
      <c r="U1433">
        <v>19.204051971435501</v>
      </c>
      <c r="V1433">
        <v>31253000</v>
      </c>
      <c r="W1433">
        <v>-1.5836100578308101</v>
      </c>
      <c r="X1433">
        <v>0</v>
      </c>
      <c r="Y1433">
        <v>-2.4894649982452401</v>
      </c>
      <c r="Z1433">
        <v>5.6273059844970703</v>
      </c>
      <c r="AA1433">
        <v>96793000</v>
      </c>
      <c r="AB1433" t="s">
        <v>328</v>
      </c>
      <c r="AC1433" t="s">
        <v>403</v>
      </c>
      <c r="AD1433">
        <v>0.25</v>
      </c>
      <c r="AE1433">
        <v>28.8184928894043</v>
      </c>
      <c r="AF1433">
        <v>8.7184651415266803</v>
      </c>
      <c r="AG1433">
        <v>101023504</v>
      </c>
      <c r="AH1433">
        <v>40.211139678955099</v>
      </c>
      <c r="AI1433">
        <v>5.06839799880981</v>
      </c>
    </row>
    <row r="1434" spans="1:35">
      <c r="A1434">
        <f t="shared" si="186"/>
        <v>0</v>
      </c>
      <c r="B1434">
        <f t="shared" si="187"/>
        <v>0</v>
      </c>
      <c r="C1434">
        <f t="shared" si="188"/>
        <v>1</v>
      </c>
      <c r="D1434">
        <f t="shared" si="189"/>
        <v>1</v>
      </c>
      <c r="E1434">
        <f t="shared" si="190"/>
        <v>0</v>
      </c>
      <c r="F1434">
        <f t="shared" si="191"/>
        <v>1</v>
      </c>
      <c r="G1434">
        <f t="shared" si="192"/>
        <v>0</v>
      </c>
      <c r="H1434">
        <v>0</v>
      </c>
      <c r="I1434">
        <f t="shared" si="193"/>
        <v>1</v>
      </c>
      <c r="J1434">
        <f t="shared" si="185"/>
        <v>14.243232727050779</v>
      </c>
      <c r="K1434" t="s">
        <v>1259</v>
      </c>
      <c r="L1434" t="s">
        <v>1260</v>
      </c>
      <c r="M1434" t="s">
        <v>27</v>
      </c>
      <c r="N1434" t="s">
        <v>27</v>
      </c>
      <c r="O1434">
        <v>50.48</v>
      </c>
      <c r="P1434">
        <v>8.7097740173339808</v>
      </c>
      <c r="Q1434">
        <v>9.0293836593627894</v>
      </c>
      <c r="R1434">
        <v>46.340000152587898</v>
      </c>
      <c r="S1434">
        <v>51.75</v>
      </c>
      <c r="T1434">
        <v>44.347873687744098</v>
      </c>
      <c r="U1434" t="s">
        <v>27</v>
      </c>
      <c r="V1434">
        <v>10303000</v>
      </c>
      <c r="W1434">
        <v>4.3692698478698704</v>
      </c>
      <c r="X1434">
        <v>0.56000000238418601</v>
      </c>
      <c r="Y1434">
        <v>4.5146732330322301</v>
      </c>
      <c r="Z1434">
        <v>5.2138490676879901</v>
      </c>
      <c r="AA1434">
        <v>18393000</v>
      </c>
      <c r="AB1434" t="s">
        <v>83</v>
      </c>
      <c r="AC1434" t="s">
        <v>84</v>
      </c>
      <c r="AD1434">
        <v>0.81000000238418601</v>
      </c>
      <c r="AE1434" t="s">
        <v>27</v>
      </c>
      <c r="AF1434" t="s">
        <v>27</v>
      </c>
      <c r="AG1434">
        <v>18513000</v>
      </c>
      <c r="AH1434">
        <v>48.974197387695298</v>
      </c>
      <c r="AI1434">
        <v>3.7841238975524898</v>
      </c>
    </row>
    <row r="1435" spans="1:35">
      <c r="A1435">
        <f t="shared" si="186"/>
        <v>0</v>
      </c>
      <c r="B1435">
        <f t="shared" si="187"/>
        <v>0</v>
      </c>
      <c r="C1435">
        <f t="shared" si="188"/>
        <v>0</v>
      </c>
      <c r="D1435">
        <f t="shared" si="189"/>
        <v>1</v>
      </c>
      <c r="E1435">
        <f t="shared" si="190"/>
        <v>0</v>
      </c>
      <c r="F1435">
        <f t="shared" si="191"/>
        <v>1</v>
      </c>
      <c r="G1435">
        <f t="shared" si="192"/>
        <v>0</v>
      </c>
      <c r="H1435">
        <v>0</v>
      </c>
      <c r="I1435">
        <f t="shared" si="193"/>
        <v>0</v>
      </c>
      <c r="J1435">
        <f t="shared" si="185"/>
        <v>14.2218337059021</v>
      </c>
      <c r="K1435" t="s">
        <v>2020</v>
      </c>
      <c r="L1435" t="s">
        <v>2021</v>
      </c>
      <c r="M1435" t="s">
        <v>27</v>
      </c>
      <c r="N1435" t="s">
        <v>27</v>
      </c>
      <c r="O1435">
        <v>19.28</v>
      </c>
      <c r="P1435">
        <v>5.5028629302978498</v>
      </c>
      <c r="Q1435">
        <v>6.2488608360290501</v>
      </c>
      <c r="R1435">
        <v>23.9799995422363</v>
      </c>
      <c r="S1435">
        <v>10.6499996185303</v>
      </c>
      <c r="T1435">
        <v>15.570829391479499</v>
      </c>
      <c r="U1435">
        <v>20.351146697998001</v>
      </c>
      <c r="V1435">
        <v>-13995001</v>
      </c>
      <c r="W1435">
        <v>3.11672711372375</v>
      </c>
      <c r="X1435">
        <v>0.34000000357627902</v>
      </c>
      <c r="Y1435">
        <v>12.1834859848022</v>
      </c>
      <c r="Z1435">
        <v>7.9729728698730504</v>
      </c>
      <c r="AA1435">
        <v>22283000</v>
      </c>
      <c r="AB1435" t="s">
        <v>27</v>
      </c>
      <c r="AC1435" t="s">
        <v>27</v>
      </c>
      <c r="AD1435">
        <v>0.479999989271164</v>
      </c>
      <c r="AE1435">
        <v>18.071266174316399</v>
      </c>
      <c r="AF1435">
        <v>6.0166029679714397</v>
      </c>
      <c r="AG1435">
        <v>21969000</v>
      </c>
      <c r="AH1435">
        <v>23.151271820068398</v>
      </c>
      <c r="AI1435">
        <v>2.52455401420593</v>
      </c>
    </row>
    <row r="1436" spans="1:35">
      <c r="A1436">
        <f t="shared" si="186"/>
        <v>0</v>
      </c>
      <c r="B1436">
        <f t="shared" si="187"/>
        <v>1</v>
      </c>
      <c r="C1436">
        <f t="shared" si="188"/>
        <v>1</v>
      </c>
      <c r="D1436">
        <f t="shared" si="189"/>
        <v>1</v>
      </c>
      <c r="E1436">
        <f t="shared" si="190"/>
        <v>0</v>
      </c>
      <c r="F1436">
        <f t="shared" si="191"/>
        <v>1</v>
      </c>
      <c r="G1436">
        <f t="shared" si="192"/>
        <v>0</v>
      </c>
      <c r="H1436">
        <v>0</v>
      </c>
      <c r="I1436">
        <f t="shared" si="193"/>
        <v>1</v>
      </c>
      <c r="J1436">
        <f t="shared" si="185"/>
        <v>14.19666767120361</v>
      </c>
      <c r="K1436" t="s">
        <v>2078</v>
      </c>
      <c r="L1436" t="s">
        <v>2079</v>
      </c>
      <c r="M1436" t="s">
        <v>27</v>
      </c>
      <c r="N1436" t="s">
        <v>27</v>
      </c>
      <c r="O1436">
        <v>15.12</v>
      </c>
      <c r="P1436">
        <v>4.74583196640015</v>
      </c>
      <c r="Q1436">
        <v>4.3986129760742196</v>
      </c>
      <c r="R1436">
        <v>13.75</v>
      </c>
      <c r="S1436">
        <v>13.4375</v>
      </c>
      <c r="T1436">
        <v>15.672818183898899</v>
      </c>
      <c r="U1436" t="s">
        <v>27</v>
      </c>
      <c r="V1436">
        <v>10264000</v>
      </c>
      <c r="W1436">
        <v>0.97512799501419101</v>
      </c>
      <c r="X1436">
        <v>0.30000001192092901</v>
      </c>
      <c r="Y1436">
        <v>12.2105264663696</v>
      </c>
      <c r="Z1436">
        <v>9.7980546951293892</v>
      </c>
      <c r="AA1436">
        <v>20537000</v>
      </c>
      <c r="AB1436" t="s">
        <v>27</v>
      </c>
      <c r="AC1436" t="s">
        <v>27</v>
      </c>
      <c r="AD1436">
        <v>0.34999999403953602</v>
      </c>
      <c r="AE1436" t="s">
        <v>27</v>
      </c>
      <c r="AF1436" t="s">
        <v>27</v>
      </c>
      <c r="AG1436">
        <v>20539000</v>
      </c>
      <c r="AH1436">
        <v>26.311723709106399</v>
      </c>
      <c r="AI1436">
        <v>1.0008790493011499</v>
      </c>
    </row>
    <row r="1437" spans="1:35">
      <c r="A1437">
        <f t="shared" si="186"/>
        <v>0</v>
      </c>
      <c r="B1437">
        <f t="shared" si="187"/>
        <v>1</v>
      </c>
      <c r="C1437">
        <f t="shared" si="188"/>
        <v>0</v>
      </c>
      <c r="D1437">
        <f t="shared" si="189"/>
        <v>1</v>
      </c>
      <c r="E1437">
        <f t="shared" si="190"/>
        <v>0</v>
      </c>
      <c r="F1437">
        <f t="shared" si="191"/>
        <v>1</v>
      </c>
      <c r="G1437">
        <f t="shared" si="192"/>
        <v>1</v>
      </c>
      <c r="H1437">
        <v>0</v>
      </c>
      <c r="I1437">
        <f t="shared" si="193"/>
        <v>0</v>
      </c>
      <c r="J1437">
        <f t="shared" si="185"/>
        <v>14.194667339324962</v>
      </c>
      <c r="K1437" t="s">
        <v>2058</v>
      </c>
      <c r="L1437" t="s">
        <v>2059</v>
      </c>
      <c r="M1437" t="s">
        <v>27</v>
      </c>
      <c r="N1437" t="s">
        <v>27</v>
      </c>
      <c r="O1437">
        <v>21.15</v>
      </c>
      <c r="P1437">
        <v>6.0664792060852104</v>
      </c>
      <c r="Q1437">
        <v>9.8044233322143608</v>
      </c>
      <c r="R1437">
        <v>24.75</v>
      </c>
      <c r="S1437">
        <v>12.375</v>
      </c>
      <c r="T1437">
        <v>11.2887306213379</v>
      </c>
      <c r="U1437">
        <v>46.2996215820313</v>
      </c>
      <c r="V1437">
        <v>-975999.9375</v>
      </c>
      <c r="W1437">
        <v>4.5609660148620597</v>
      </c>
      <c r="X1437">
        <v>-3.9999999105930301E-2</v>
      </c>
      <c r="Y1437">
        <v>3.53488397598267</v>
      </c>
      <c r="Z1437">
        <v>4.3902440071106001</v>
      </c>
      <c r="AA1437">
        <v>5997000</v>
      </c>
      <c r="AB1437" t="s">
        <v>27</v>
      </c>
      <c r="AC1437" t="s">
        <v>27</v>
      </c>
      <c r="AD1437">
        <v>0.31999999284744302</v>
      </c>
      <c r="AE1437">
        <v>47.703556060791001</v>
      </c>
      <c r="AF1437">
        <v>5.8061974665348997</v>
      </c>
      <c r="AG1437">
        <v>6176000</v>
      </c>
      <c r="AH1437">
        <v>14.190344810485801</v>
      </c>
      <c r="AI1437">
        <v>5.2250380516052202</v>
      </c>
    </row>
    <row r="1438" spans="1:35">
      <c r="A1438">
        <f t="shared" si="186"/>
        <v>0</v>
      </c>
      <c r="B1438">
        <f t="shared" si="187"/>
        <v>1</v>
      </c>
      <c r="C1438">
        <f t="shared" si="188"/>
        <v>0</v>
      </c>
      <c r="D1438">
        <f t="shared" si="189"/>
        <v>1</v>
      </c>
      <c r="E1438">
        <f t="shared" si="190"/>
        <v>0</v>
      </c>
      <c r="F1438">
        <f t="shared" si="191"/>
        <v>1</v>
      </c>
      <c r="G1438">
        <f t="shared" si="192"/>
        <v>0</v>
      </c>
      <c r="H1438">
        <v>0</v>
      </c>
      <c r="I1438">
        <f t="shared" si="193"/>
        <v>0</v>
      </c>
      <c r="J1438">
        <f t="shared" si="185"/>
        <v>14.19065380096435</v>
      </c>
      <c r="K1438" t="s">
        <v>1670</v>
      </c>
      <c r="L1438" t="s">
        <v>1671</v>
      </c>
      <c r="M1438" t="s">
        <v>27</v>
      </c>
      <c r="N1438" t="s">
        <v>27</v>
      </c>
      <c r="O1438">
        <v>32.69</v>
      </c>
      <c r="P1438">
        <v>7.9546389579772896</v>
      </c>
      <c r="Q1438">
        <v>8.3752298355102504</v>
      </c>
      <c r="R1438">
        <v>33.110000610351598</v>
      </c>
      <c r="S1438">
        <v>27.200000762939499</v>
      </c>
      <c r="T1438">
        <v>43.130950927734403</v>
      </c>
      <c r="U1438" t="s">
        <v>27</v>
      </c>
      <c r="V1438">
        <v>-79335000</v>
      </c>
      <c r="W1438">
        <v>2.0893120765686</v>
      </c>
      <c r="X1438">
        <v>0.40999999642372098</v>
      </c>
      <c r="Y1438">
        <v>5.0543928146362296</v>
      </c>
      <c r="Z1438">
        <v>5.8154239654540998</v>
      </c>
      <c r="AA1438">
        <v>21268000</v>
      </c>
      <c r="AB1438" t="s">
        <v>83</v>
      </c>
      <c r="AC1438" t="s">
        <v>84</v>
      </c>
      <c r="AD1438">
        <v>0.67000001668930098</v>
      </c>
      <c r="AE1438" t="s">
        <v>27</v>
      </c>
      <c r="AF1438">
        <v>12.2685462844555</v>
      </c>
      <c r="AG1438">
        <v>22107000</v>
      </c>
      <c r="AH1438">
        <v>47.902595520019503</v>
      </c>
      <c r="AI1438">
        <v>2.4562840461731001</v>
      </c>
    </row>
    <row r="1439" spans="1:35">
      <c r="A1439">
        <f t="shared" si="186"/>
        <v>0</v>
      </c>
      <c r="B1439">
        <f t="shared" si="187"/>
        <v>1</v>
      </c>
      <c r="C1439">
        <f t="shared" si="188"/>
        <v>1</v>
      </c>
      <c r="D1439">
        <f t="shared" si="189"/>
        <v>1</v>
      </c>
      <c r="E1439">
        <f t="shared" si="190"/>
        <v>0</v>
      </c>
      <c r="F1439">
        <f t="shared" si="191"/>
        <v>1</v>
      </c>
      <c r="G1439">
        <f t="shared" si="192"/>
        <v>0</v>
      </c>
      <c r="H1439">
        <v>0</v>
      </c>
      <c r="I1439">
        <f t="shared" si="193"/>
        <v>0</v>
      </c>
      <c r="J1439">
        <f t="shared" si="185"/>
        <v>14.1818180084229</v>
      </c>
      <c r="K1439" t="s">
        <v>3555</v>
      </c>
      <c r="L1439" t="s">
        <v>3556</v>
      </c>
      <c r="M1439" t="s">
        <v>27</v>
      </c>
      <c r="N1439" t="s">
        <v>27</v>
      </c>
      <c r="O1439">
        <v>27.87</v>
      </c>
      <c r="P1439" t="s">
        <v>27</v>
      </c>
      <c r="Q1439">
        <v>0</v>
      </c>
      <c r="R1439">
        <v>29.5</v>
      </c>
      <c r="S1439">
        <v>35</v>
      </c>
      <c r="T1439">
        <v>0</v>
      </c>
      <c r="U1439" t="s">
        <v>27</v>
      </c>
      <c r="V1439">
        <v>811999</v>
      </c>
      <c r="W1439">
        <v>-10.82346534729</v>
      </c>
      <c r="X1439">
        <v>0.31000000238418601</v>
      </c>
      <c r="Y1439">
        <v>-19.398231506347699</v>
      </c>
      <c r="Z1439">
        <v>14.1818180084229</v>
      </c>
      <c r="AA1439">
        <v>6423000</v>
      </c>
      <c r="AB1439" t="s">
        <v>27</v>
      </c>
      <c r="AC1439" t="s">
        <v>27</v>
      </c>
      <c r="AD1439">
        <v>0.77999997138977095</v>
      </c>
      <c r="AE1439" t="s">
        <v>27</v>
      </c>
      <c r="AF1439" t="s">
        <v>27</v>
      </c>
      <c r="AG1439">
        <v>6425000</v>
      </c>
      <c r="AH1439">
        <v>4.9767560958862296</v>
      </c>
      <c r="AI1439">
        <v>3.98223900794983</v>
      </c>
    </row>
    <row r="1440" spans="1:35">
      <c r="A1440">
        <f t="shared" si="186"/>
        <v>1</v>
      </c>
      <c r="B1440">
        <f t="shared" si="187"/>
        <v>1</v>
      </c>
      <c r="C1440">
        <f t="shared" si="188"/>
        <v>0</v>
      </c>
      <c r="D1440">
        <f t="shared" si="189"/>
        <v>1</v>
      </c>
      <c r="E1440">
        <f t="shared" si="190"/>
        <v>0</v>
      </c>
      <c r="F1440">
        <f t="shared" si="191"/>
        <v>1</v>
      </c>
      <c r="G1440">
        <f t="shared" si="192"/>
        <v>0</v>
      </c>
      <c r="H1440">
        <v>0</v>
      </c>
      <c r="I1440">
        <f t="shared" si="193"/>
        <v>0</v>
      </c>
      <c r="J1440">
        <f t="shared" ref="J1440:J1503" si="194">Z1440+Q1440</f>
        <v>14.178414821624759</v>
      </c>
      <c r="K1440" t="s">
        <v>211</v>
      </c>
      <c r="L1440" t="s">
        <v>212</v>
      </c>
      <c r="M1440" t="s">
        <v>27</v>
      </c>
      <c r="N1440" t="s">
        <v>27</v>
      </c>
      <c r="O1440">
        <v>7.3</v>
      </c>
      <c r="P1440">
        <v>6.0207672119140598</v>
      </c>
      <c r="Q1440">
        <v>7.0479798316955602</v>
      </c>
      <c r="R1440">
        <v>7.6999998092651403</v>
      </c>
      <c r="S1440">
        <v>6</v>
      </c>
      <c r="T1440">
        <v>47.3740234375</v>
      </c>
      <c r="U1440">
        <v>18.516750335693398</v>
      </c>
      <c r="V1440">
        <v>-48069000</v>
      </c>
      <c r="W1440">
        <v>1.3139330148696899</v>
      </c>
      <c r="X1440">
        <v>-5.0000000745058101E-2</v>
      </c>
      <c r="Y1440">
        <v>16.9230766296387</v>
      </c>
      <c r="Z1440">
        <v>7.1304349899292001</v>
      </c>
      <c r="AA1440">
        <v>44575000</v>
      </c>
      <c r="AB1440" t="s">
        <v>194</v>
      </c>
      <c r="AC1440" t="s">
        <v>213</v>
      </c>
      <c r="AD1440">
        <v>9.00000035762787E-2</v>
      </c>
      <c r="AE1440">
        <v>18.222440719604499</v>
      </c>
      <c r="AF1440">
        <v>6.0613798776842103</v>
      </c>
      <c r="AG1440">
        <v>44640000</v>
      </c>
      <c r="AH1440">
        <v>45.2059936523438</v>
      </c>
      <c r="AI1440">
        <v>2.0331270694732702</v>
      </c>
    </row>
    <row r="1441" spans="1:35">
      <c r="A1441">
        <f t="shared" ref="A1441:A1504" si="195">IF(AH1441&lt;T1441,1,0)</f>
        <v>0</v>
      </c>
      <c r="B1441">
        <f t="shared" ref="B1441:B1504" si="196">IF(AI1441&gt;W1441,1,0)</f>
        <v>1</v>
      </c>
      <c r="C1441">
        <f t="shared" ref="C1441:C1504" si="197">IF(V1441&gt;0,1,0)</f>
        <v>1</v>
      </c>
      <c r="D1441">
        <f t="shared" ref="D1441:D1504" si="198">IF(AD1441&gt;X1441,1,0)</f>
        <v>1</v>
      </c>
      <c r="E1441">
        <f t="shared" ref="E1441:E1504" si="199">IF(AA1441=AG1441,1,0)</f>
        <v>0</v>
      </c>
      <c r="F1441">
        <f t="shared" ref="F1441:F1504" si="200">IF(AI1441&gt;0,1,0)</f>
        <v>1</v>
      </c>
      <c r="G1441">
        <f t="shared" ref="G1441:G1504" si="201">IF(AE1441&gt;U1441,1,0)</f>
        <v>1</v>
      </c>
      <c r="H1441">
        <v>0</v>
      </c>
      <c r="I1441">
        <f t="shared" ref="I1441:I1504" si="202">IF(((O1441-R1441)/R1441)&gt;0.075,1,0)</f>
        <v>0</v>
      </c>
      <c r="J1441">
        <f t="shared" si="194"/>
        <v>14.155234336853031</v>
      </c>
      <c r="K1441" t="s">
        <v>78</v>
      </c>
      <c r="L1441" t="s">
        <v>79</v>
      </c>
      <c r="M1441" t="s">
        <v>27</v>
      </c>
      <c r="N1441" t="s">
        <v>27</v>
      </c>
      <c r="O1441">
        <v>13.929</v>
      </c>
      <c r="P1441">
        <v>9.3818063735961896</v>
      </c>
      <c r="Q1441">
        <v>8.7006893157959002</v>
      </c>
      <c r="R1441">
        <v>13.689999580383301</v>
      </c>
      <c r="S1441">
        <v>4.375</v>
      </c>
      <c r="T1441">
        <v>9.2907400131225604</v>
      </c>
      <c r="U1441">
        <v>36.705741882324197</v>
      </c>
      <c r="V1441">
        <v>790000.1875</v>
      </c>
      <c r="W1441">
        <v>6.5489611625671396</v>
      </c>
      <c r="X1441">
        <v>-4.9999998882412902E-3</v>
      </c>
      <c r="Y1441">
        <v>9.3968257904052699</v>
      </c>
      <c r="Z1441">
        <v>5.4545450210571298</v>
      </c>
      <c r="AA1441">
        <v>14810000</v>
      </c>
      <c r="AB1441" t="s">
        <v>27</v>
      </c>
      <c r="AC1441" t="s">
        <v>27</v>
      </c>
      <c r="AD1441">
        <v>1.9999999552965199E-2</v>
      </c>
      <c r="AE1441">
        <v>37.088691711425803</v>
      </c>
      <c r="AF1441">
        <v>8.8522311755893703</v>
      </c>
      <c r="AG1441">
        <v>14910000</v>
      </c>
      <c r="AH1441">
        <v>14.980262756347701</v>
      </c>
      <c r="AI1441">
        <v>6.6229319572448704</v>
      </c>
    </row>
    <row r="1442" spans="1:35">
      <c r="A1442">
        <f t="shared" si="195"/>
        <v>0</v>
      </c>
      <c r="B1442">
        <f t="shared" si="196"/>
        <v>1</v>
      </c>
      <c r="C1442">
        <f t="shared" si="197"/>
        <v>1</v>
      </c>
      <c r="D1442">
        <f t="shared" si="198"/>
        <v>1</v>
      </c>
      <c r="E1442">
        <f t="shared" si="199"/>
        <v>0</v>
      </c>
      <c r="F1442">
        <f t="shared" si="200"/>
        <v>1</v>
      </c>
      <c r="G1442">
        <f t="shared" si="201"/>
        <v>0</v>
      </c>
      <c r="H1442">
        <v>0</v>
      </c>
      <c r="I1442">
        <f t="shared" si="202"/>
        <v>1</v>
      </c>
      <c r="J1442">
        <f t="shared" si="194"/>
        <v>14.152370452880881</v>
      </c>
      <c r="K1442" t="s">
        <v>2352</v>
      </c>
      <c r="L1442" t="s">
        <v>2353</v>
      </c>
      <c r="M1442" t="s">
        <v>27</v>
      </c>
      <c r="N1442" t="s">
        <v>27</v>
      </c>
      <c r="O1442">
        <v>22.51</v>
      </c>
      <c r="P1442">
        <v>4.98421382904053</v>
      </c>
      <c r="Q1442">
        <v>3.8909320831298801</v>
      </c>
      <c r="R1442">
        <v>16.700000762939499</v>
      </c>
      <c r="S1442">
        <v>12.75</v>
      </c>
      <c r="T1442">
        <v>26.8694038391113</v>
      </c>
      <c r="U1442" t="s">
        <v>27</v>
      </c>
      <c r="V1442">
        <v>18541000</v>
      </c>
      <c r="W1442">
        <v>1.6263940334320099</v>
      </c>
      <c r="X1442">
        <v>0.43999999761581399</v>
      </c>
      <c r="Y1442">
        <v>11.2413787841797</v>
      </c>
      <c r="Z1442">
        <v>10.261438369751</v>
      </c>
      <c r="AA1442">
        <v>8500000</v>
      </c>
      <c r="AB1442" t="s">
        <v>34</v>
      </c>
      <c r="AC1442" t="s">
        <v>458</v>
      </c>
      <c r="AD1442">
        <v>0.64999997615814198</v>
      </c>
      <c r="AE1442" t="s">
        <v>27</v>
      </c>
      <c r="AF1442" t="s">
        <v>27</v>
      </c>
      <c r="AG1442">
        <v>8504000</v>
      </c>
      <c r="AH1442">
        <v>28.150459289550799</v>
      </c>
      <c r="AI1442">
        <v>1.67189204692841</v>
      </c>
    </row>
    <row r="1443" spans="1:35">
      <c r="A1443">
        <f t="shared" si="195"/>
        <v>1</v>
      </c>
      <c r="B1443">
        <f t="shared" si="196"/>
        <v>1</v>
      </c>
      <c r="C1443">
        <f t="shared" si="197"/>
        <v>1</v>
      </c>
      <c r="D1443">
        <f t="shared" si="198"/>
        <v>0</v>
      </c>
      <c r="E1443">
        <f t="shared" si="199"/>
        <v>0</v>
      </c>
      <c r="F1443">
        <f t="shared" si="200"/>
        <v>1</v>
      </c>
      <c r="G1443">
        <f t="shared" si="201"/>
        <v>0</v>
      </c>
      <c r="H1443">
        <v>0</v>
      </c>
      <c r="I1443">
        <f t="shared" si="202"/>
        <v>0</v>
      </c>
      <c r="J1443">
        <f t="shared" si="194"/>
        <v>14.1316590309143</v>
      </c>
      <c r="K1443" t="s">
        <v>1628</v>
      </c>
      <c r="L1443" t="s">
        <v>1629</v>
      </c>
      <c r="M1443" t="s">
        <v>27</v>
      </c>
      <c r="N1443" t="s">
        <v>27</v>
      </c>
      <c r="O1443">
        <v>25.35</v>
      </c>
      <c r="P1443">
        <v>9.0742330551147496</v>
      </c>
      <c r="Q1443">
        <v>8.6412000656127894</v>
      </c>
      <c r="R1443">
        <v>27.079999923706101</v>
      </c>
      <c r="S1443">
        <v>19.34375</v>
      </c>
      <c r="T1443">
        <v>28.774368286132798</v>
      </c>
      <c r="U1443">
        <v>30.215061187744102</v>
      </c>
      <c r="V1443">
        <v>28339000</v>
      </c>
      <c r="W1443">
        <v>4.1867299079895002</v>
      </c>
      <c r="X1443">
        <v>0.50999999046325695</v>
      </c>
      <c r="Y1443">
        <v>9.9856109619140607</v>
      </c>
      <c r="Z1443">
        <v>5.4904589653015101</v>
      </c>
      <c r="AA1443">
        <v>28232000</v>
      </c>
      <c r="AB1443" t="s">
        <v>52</v>
      </c>
      <c r="AC1443" t="s">
        <v>53</v>
      </c>
      <c r="AD1443">
        <v>0.46000000834464999</v>
      </c>
      <c r="AE1443">
        <v>27.51296043396</v>
      </c>
      <c r="AF1443">
        <v>8.0093618096625292</v>
      </c>
      <c r="AG1443">
        <v>28281000</v>
      </c>
      <c r="AH1443">
        <v>24.2276496887207</v>
      </c>
      <c r="AI1443">
        <v>4.82942819595337</v>
      </c>
    </row>
    <row r="1444" spans="1:35">
      <c r="A1444">
        <f t="shared" si="195"/>
        <v>1</v>
      </c>
      <c r="B1444">
        <f t="shared" si="196"/>
        <v>0</v>
      </c>
      <c r="C1444">
        <f t="shared" si="197"/>
        <v>1</v>
      </c>
      <c r="D1444">
        <f t="shared" si="198"/>
        <v>0</v>
      </c>
      <c r="E1444">
        <f t="shared" si="199"/>
        <v>0</v>
      </c>
      <c r="F1444">
        <f t="shared" si="200"/>
        <v>1</v>
      </c>
      <c r="G1444">
        <f t="shared" si="201"/>
        <v>0</v>
      </c>
      <c r="H1444">
        <v>0</v>
      </c>
      <c r="I1444">
        <f t="shared" si="202"/>
        <v>0</v>
      </c>
      <c r="J1444">
        <f t="shared" si="194"/>
        <v>14.116150856018049</v>
      </c>
      <c r="K1444" t="s">
        <v>2740</v>
      </c>
      <c r="L1444" t="s">
        <v>2741</v>
      </c>
      <c r="M1444" t="s">
        <v>27</v>
      </c>
      <c r="N1444" t="s">
        <v>27</v>
      </c>
      <c r="O1444">
        <v>8.7810000000000006</v>
      </c>
      <c r="P1444">
        <v>16.3654460906982</v>
      </c>
      <c r="Q1444">
        <v>10.002494812011699</v>
      </c>
      <c r="R1444">
        <v>24.350000381469702</v>
      </c>
      <c r="S1444">
        <v>46.9375</v>
      </c>
      <c r="T1444">
        <v>29.048036575317401</v>
      </c>
      <c r="U1444">
        <v>14.2334079742432</v>
      </c>
      <c r="V1444">
        <v>62199004</v>
      </c>
      <c r="W1444">
        <v>10.787340164184601</v>
      </c>
      <c r="X1444">
        <v>0.34000000357627902</v>
      </c>
      <c r="Y1444">
        <v>1.5177299976348899</v>
      </c>
      <c r="Z1444">
        <v>4.1136560440063503</v>
      </c>
      <c r="AA1444">
        <v>37054000</v>
      </c>
      <c r="AB1444" t="s">
        <v>38</v>
      </c>
      <c r="AC1444" t="s">
        <v>146</v>
      </c>
      <c r="AD1444">
        <v>0.17000000178813901</v>
      </c>
      <c r="AE1444">
        <v>11.701612472534199</v>
      </c>
      <c r="AF1444">
        <v>6.13393209755246</v>
      </c>
      <c r="AG1444">
        <v>41757000</v>
      </c>
      <c r="AH1444">
        <v>12.977219581604</v>
      </c>
      <c r="AI1444">
        <v>7.0027451515197798</v>
      </c>
    </row>
    <row r="1445" spans="1:35">
      <c r="A1445">
        <f t="shared" si="195"/>
        <v>1</v>
      </c>
      <c r="B1445">
        <f t="shared" si="196"/>
        <v>0</v>
      </c>
      <c r="C1445">
        <f t="shared" si="197"/>
        <v>1</v>
      </c>
      <c r="D1445">
        <f t="shared" si="198"/>
        <v>0</v>
      </c>
      <c r="E1445">
        <f t="shared" si="199"/>
        <v>0</v>
      </c>
      <c r="F1445">
        <f t="shared" si="200"/>
        <v>1</v>
      </c>
      <c r="G1445">
        <f t="shared" si="201"/>
        <v>0</v>
      </c>
      <c r="H1445">
        <v>0</v>
      </c>
      <c r="I1445">
        <f t="shared" si="202"/>
        <v>0</v>
      </c>
      <c r="J1445">
        <f t="shared" si="194"/>
        <v>14.11286544799805</v>
      </c>
      <c r="K1445" t="s">
        <v>1462</v>
      </c>
      <c r="L1445" t="s">
        <v>1463</v>
      </c>
      <c r="M1445" t="s">
        <v>27</v>
      </c>
      <c r="N1445" t="s">
        <v>27</v>
      </c>
      <c r="O1445">
        <v>32.71</v>
      </c>
      <c r="P1445">
        <v>9.4851150512695295</v>
      </c>
      <c r="Q1445">
        <v>8.01117038726807</v>
      </c>
      <c r="R1445">
        <v>35.400001525878899</v>
      </c>
      <c r="S1445">
        <v>22.5</v>
      </c>
      <c r="T1445">
        <v>35.989177703857401</v>
      </c>
      <c r="U1445">
        <v>42.056175231933601</v>
      </c>
      <c r="V1445">
        <v>18084000</v>
      </c>
      <c r="W1445" t="s">
        <v>27</v>
      </c>
      <c r="X1445">
        <v>0.479999989271164</v>
      </c>
      <c r="Y1445">
        <v>6.6280617713928196</v>
      </c>
      <c r="Z1445">
        <v>6.1016950607299796</v>
      </c>
      <c r="AA1445">
        <v>20536000</v>
      </c>
      <c r="AB1445" t="s">
        <v>61</v>
      </c>
      <c r="AC1445" t="s">
        <v>77</v>
      </c>
      <c r="AD1445">
        <v>0.44999998807907099</v>
      </c>
      <c r="AE1445">
        <v>37.778312683105497</v>
      </c>
      <c r="AF1445">
        <v>7.8983353861149297</v>
      </c>
      <c r="AG1445">
        <v>20641000</v>
      </c>
      <c r="AH1445">
        <v>34.273857116699197</v>
      </c>
      <c r="AI1445" t="s">
        <v>27</v>
      </c>
    </row>
    <row r="1446" spans="1:35">
      <c r="A1446">
        <f t="shared" si="195"/>
        <v>0</v>
      </c>
      <c r="B1446">
        <f t="shared" si="196"/>
        <v>0</v>
      </c>
      <c r="C1446">
        <f t="shared" si="197"/>
        <v>0</v>
      </c>
      <c r="D1446">
        <f t="shared" si="198"/>
        <v>1</v>
      </c>
      <c r="E1446">
        <f t="shared" si="199"/>
        <v>0</v>
      </c>
      <c r="F1446">
        <f t="shared" si="200"/>
        <v>1</v>
      </c>
      <c r="G1446">
        <f t="shared" si="201"/>
        <v>0</v>
      </c>
      <c r="H1446">
        <v>0</v>
      </c>
      <c r="I1446">
        <f t="shared" si="202"/>
        <v>0</v>
      </c>
      <c r="J1446">
        <f t="shared" si="194"/>
        <v>14.091042041778561</v>
      </c>
      <c r="K1446" t="s">
        <v>2771</v>
      </c>
      <c r="L1446" t="s">
        <v>2772</v>
      </c>
      <c r="M1446" t="s">
        <v>27</v>
      </c>
      <c r="N1446" t="s">
        <v>27</v>
      </c>
      <c r="O1446">
        <v>24.49</v>
      </c>
      <c r="P1446">
        <v>6.8794932365417498</v>
      </c>
      <c r="Q1446">
        <v>7.9152059555053702</v>
      </c>
      <c r="R1446">
        <v>33.650001525878899</v>
      </c>
      <c r="S1446">
        <v>38.240001678466797</v>
      </c>
      <c r="T1446">
        <v>45.678005218505902</v>
      </c>
      <c r="U1446" t="s">
        <v>27</v>
      </c>
      <c r="V1446">
        <v>-339000</v>
      </c>
      <c r="W1446">
        <v>4.7326102256774902</v>
      </c>
      <c r="X1446">
        <v>0.61000001430511497</v>
      </c>
      <c r="Y1446">
        <v>5.6929697990417498</v>
      </c>
      <c r="Z1446">
        <v>6.1758360862731898</v>
      </c>
      <c r="AA1446">
        <v>39607000</v>
      </c>
      <c r="AB1446" t="s">
        <v>83</v>
      </c>
      <c r="AC1446" t="s">
        <v>84</v>
      </c>
      <c r="AD1446">
        <v>0.63999998569488503</v>
      </c>
      <c r="AE1446" t="s">
        <v>27</v>
      </c>
      <c r="AF1446">
        <v>12.9536381473586</v>
      </c>
      <c r="AG1446">
        <v>36861000</v>
      </c>
      <c r="AH1446">
        <v>50.004871368408203</v>
      </c>
      <c r="AI1446">
        <v>4.1016769409179696</v>
      </c>
    </row>
    <row r="1447" spans="1:35">
      <c r="A1447">
        <f t="shared" si="195"/>
        <v>1</v>
      </c>
      <c r="B1447">
        <f t="shared" si="196"/>
        <v>1</v>
      </c>
      <c r="C1447">
        <f t="shared" si="197"/>
        <v>0</v>
      </c>
      <c r="D1447">
        <f t="shared" si="198"/>
        <v>1</v>
      </c>
      <c r="E1447">
        <f t="shared" si="199"/>
        <v>0</v>
      </c>
      <c r="F1447">
        <f t="shared" si="200"/>
        <v>1</v>
      </c>
      <c r="G1447">
        <f t="shared" si="201"/>
        <v>0</v>
      </c>
      <c r="H1447">
        <v>0</v>
      </c>
      <c r="I1447">
        <f t="shared" si="202"/>
        <v>0</v>
      </c>
      <c r="J1447">
        <f t="shared" si="194"/>
        <v>14.08282279968261</v>
      </c>
      <c r="K1447" t="s">
        <v>1892</v>
      </c>
      <c r="L1447" t="s">
        <v>1893</v>
      </c>
      <c r="M1447" t="s">
        <v>27</v>
      </c>
      <c r="N1447" t="s">
        <v>27</v>
      </c>
      <c r="O1447">
        <v>26.53</v>
      </c>
      <c r="P1447">
        <v>5.6974768638610804</v>
      </c>
      <c r="Q1447">
        <v>7.89725589752197</v>
      </c>
      <c r="R1447">
        <v>29.9899997711182</v>
      </c>
      <c r="S1447">
        <v>15.3125</v>
      </c>
      <c r="T1447">
        <v>24.133386611938501</v>
      </c>
      <c r="U1447">
        <v>30.401220321655298</v>
      </c>
      <c r="V1447">
        <v>-496999.96875</v>
      </c>
      <c r="W1447">
        <v>4.5965251922607404</v>
      </c>
      <c r="X1447">
        <v>-7.9999998211860698E-2</v>
      </c>
      <c r="Y1447">
        <v>5.7695169448852504</v>
      </c>
      <c r="Z1447">
        <v>6.1855669021606401</v>
      </c>
      <c r="AA1447">
        <v>8416000</v>
      </c>
      <c r="AB1447" t="s">
        <v>194</v>
      </c>
      <c r="AC1447" t="s">
        <v>195</v>
      </c>
      <c r="AD1447">
        <v>0.10000000149011599</v>
      </c>
      <c r="AE1447">
        <v>29.4717693328857</v>
      </c>
      <c r="AF1447">
        <v>3.75821502321558</v>
      </c>
      <c r="AG1447">
        <v>8654000</v>
      </c>
      <c r="AH1447">
        <v>11.4874563217163</v>
      </c>
      <c r="AI1447">
        <v>5.3432922363281303</v>
      </c>
    </row>
    <row r="1448" spans="1:35">
      <c r="A1448">
        <f t="shared" si="195"/>
        <v>0</v>
      </c>
      <c r="B1448">
        <f t="shared" si="196"/>
        <v>0</v>
      </c>
      <c r="C1448">
        <f t="shared" si="197"/>
        <v>1</v>
      </c>
      <c r="D1448">
        <f t="shared" si="198"/>
        <v>1</v>
      </c>
      <c r="E1448">
        <f t="shared" si="199"/>
        <v>0</v>
      </c>
      <c r="F1448">
        <f t="shared" si="200"/>
        <v>1</v>
      </c>
      <c r="G1448">
        <f t="shared" si="201"/>
        <v>0</v>
      </c>
      <c r="H1448">
        <v>0</v>
      </c>
      <c r="I1448">
        <f t="shared" si="202"/>
        <v>1</v>
      </c>
      <c r="J1448">
        <f t="shared" si="194"/>
        <v>14.07919883728027</v>
      </c>
      <c r="K1448" t="s">
        <v>1338</v>
      </c>
      <c r="L1448" t="s">
        <v>1339</v>
      </c>
      <c r="M1448" t="s">
        <v>27</v>
      </c>
      <c r="N1448" t="s">
        <v>27</v>
      </c>
      <c r="O1448">
        <v>24.75</v>
      </c>
      <c r="P1448">
        <v>4.9387831687927202</v>
      </c>
      <c r="Q1448">
        <v>4.3730888366699201</v>
      </c>
      <c r="R1448">
        <v>19.3333333333333</v>
      </c>
      <c r="S1448">
        <v>16.733333587646499</v>
      </c>
      <c r="T1448">
        <v>36.080486297607401</v>
      </c>
      <c r="U1448" t="s">
        <v>27</v>
      </c>
      <c r="V1448">
        <v>43418000</v>
      </c>
      <c r="W1448">
        <v>1.4206789731979399</v>
      </c>
      <c r="X1448">
        <v>0.37333333492279103</v>
      </c>
      <c r="Y1448">
        <v>8.7979536056518608</v>
      </c>
      <c r="Z1448">
        <v>9.7061100006103498</v>
      </c>
      <c r="AA1448">
        <v>39636000</v>
      </c>
      <c r="AB1448" t="s">
        <v>34</v>
      </c>
      <c r="AC1448" t="s">
        <v>35</v>
      </c>
      <c r="AD1448">
        <v>0.44666667779286701</v>
      </c>
      <c r="AE1448" t="s">
        <v>27</v>
      </c>
      <c r="AF1448" t="s">
        <v>27</v>
      </c>
      <c r="AG1448">
        <v>39858000</v>
      </c>
      <c r="AH1448">
        <v>40.753322601318402</v>
      </c>
      <c r="AI1448">
        <v>1.2644410133361801</v>
      </c>
    </row>
    <row r="1449" spans="1:35">
      <c r="A1449">
        <f t="shared" si="195"/>
        <v>1</v>
      </c>
      <c r="B1449">
        <f t="shared" si="196"/>
        <v>1</v>
      </c>
      <c r="C1449">
        <f t="shared" si="197"/>
        <v>0</v>
      </c>
      <c r="D1449">
        <f t="shared" si="198"/>
        <v>0</v>
      </c>
      <c r="E1449">
        <f t="shared" si="199"/>
        <v>0</v>
      </c>
      <c r="F1449">
        <f t="shared" si="200"/>
        <v>1</v>
      </c>
      <c r="G1449">
        <f t="shared" si="201"/>
        <v>0</v>
      </c>
      <c r="H1449">
        <v>0</v>
      </c>
      <c r="I1449">
        <f t="shared" si="202"/>
        <v>0</v>
      </c>
      <c r="J1449">
        <f t="shared" si="194"/>
        <v>14.051816940307621</v>
      </c>
      <c r="K1449" t="s">
        <v>2867</v>
      </c>
      <c r="L1449" t="s">
        <v>2868</v>
      </c>
      <c r="M1449" t="s">
        <v>27</v>
      </c>
      <c r="N1449" t="s">
        <v>27</v>
      </c>
      <c r="O1449">
        <v>6.66</v>
      </c>
      <c r="P1449">
        <v>5.7931208610534703</v>
      </c>
      <c r="Q1449">
        <v>5.6956529617309597</v>
      </c>
      <c r="R1449">
        <v>9.1899995803833008</v>
      </c>
      <c r="S1449">
        <v>5.8125</v>
      </c>
      <c r="T1449">
        <v>24.7950248718262</v>
      </c>
      <c r="U1449">
        <v>21.5874423980713</v>
      </c>
      <c r="V1449">
        <v>-3058000</v>
      </c>
      <c r="W1449">
        <v>0.87792897224426303</v>
      </c>
      <c r="X1449">
        <v>0.119999997317791</v>
      </c>
      <c r="Y1449">
        <v>10.476189613342299</v>
      </c>
      <c r="Z1449">
        <v>8.3561639785766602</v>
      </c>
      <c r="AA1449">
        <v>15710000</v>
      </c>
      <c r="AB1449" t="s">
        <v>27</v>
      </c>
      <c r="AC1449" t="s">
        <v>27</v>
      </c>
      <c r="AD1449">
        <v>1.9999999552965199E-2</v>
      </c>
      <c r="AE1449">
        <v>19.918563842773398</v>
      </c>
      <c r="AF1449" t="s">
        <v>27</v>
      </c>
      <c r="AG1449">
        <v>15818000</v>
      </c>
      <c r="AH1449">
        <v>22.438957214355501</v>
      </c>
      <c r="AI1449">
        <v>4.5272359848022496</v>
      </c>
    </row>
    <row r="1450" spans="1:35">
      <c r="A1450">
        <f t="shared" si="195"/>
        <v>0</v>
      </c>
      <c r="B1450">
        <f t="shared" si="196"/>
        <v>0</v>
      </c>
      <c r="C1450">
        <f t="shared" si="197"/>
        <v>1</v>
      </c>
      <c r="D1450">
        <f t="shared" si="198"/>
        <v>0</v>
      </c>
      <c r="E1450">
        <f t="shared" si="199"/>
        <v>0</v>
      </c>
      <c r="F1450">
        <f t="shared" si="200"/>
        <v>1</v>
      </c>
      <c r="G1450">
        <f t="shared" si="201"/>
        <v>0</v>
      </c>
      <c r="H1450">
        <v>0</v>
      </c>
      <c r="I1450">
        <f t="shared" si="202"/>
        <v>0</v>
      </c>
      <c r="J1450">
        <f t="shared" si="194"/>
        <v>14.033737182617189</v>
      </c>
      <c r="K1450" t="s">
        <v>970</v>
      </c>
      <c r="L1450" t="s">
        <v>971</v>
      </c>
      <c r="M1450" t="s">
        <v>27</v>
      </c>
      <c r="N1450" t="s">
        <v>27</v>
      </c>
      <c r="O1450">
        <v>14.23</v>
      </c>
      <c r="P1450">
        <v>17.098957061767599</v>
      </c>
      <c r="Q1450">
        <v>9.2212371826171893</v>
      </c>
      <c r="R1450">
        <v>20</v>
      </c>
      <c r="S1450">
        <v>8.1875</v>
      </c>
      <c r="T1450">
        <v>0.34770700335502602</v>
      </c>
      <c r="U1450">
        <v>45.493255615234403</v>
      </c>
      <c r="V1450">
        <v>6152000</v>
      </c>
      <c r="W1450">
        <v>14.2378492355347</v>
      </c>
      <c r="X1450">
        <v>0.34000000357627902</v>
      </c>
      <c r="Y1450">
        <v>10.607734680175801</v>
      </c>
      <c r="Z1450">
        <v>4.8125</v>
      </c>
      <c r="AA1450">
        <v>8686000</v>
      </c>
      <c r="AB1450" t="s">
        <v>61</v>
      </c>
      <c r="AC1450" t="s">
        <v>80</v>
      </c>
      <c r="AD1450">
        <v>0.259999990463257</v>
      </c>
      <c r="AE1450">
        <v>40.064159393310497</v>
      </c>
      <c r="AF1450">
        <v>6.8927046380632797</v>
      </c>
      <c r="AG1450">
        <v>9108000</v>
      </c>
      <c r="AH1450">
        <v>4.0340027809143102</v>
      </c>
      <c r="AI1450">
        <v>11.4948949813843</v>
      </c>
    </row>
    <row r="1451" spans="1:35">
      <c r="A1451">
        <f t="shared" si="195"/>
        <v>0</v>
      </c>
      <c r="B1451">
        <f t="shared" si="196"/>
        <v>1</v>
      </c>
      <c r="C1451">
        <f t="shared" si="197"/>
        <v>1</v>
      </c>
      <c r="D1451">
        <f t="shared" si="198"/>
        <v>1</v>
      </c>
      <c r="E1451">
        <f t="shared" si="199"/>
        <v>0</v>
      </c>
      <c r="F1451">
        <f t="shared" si="200"/>
        <v>1</v>
      </c>
      <c r="G1451">
        <f t="shared" si="201"/>
        <v>0</v>
      </c>
      <c r="H1451">
        <v>0</v>
      </c>
      <c r="I1451">
        <f t="shared" si="202"/>
        <v>1</v>
      </c>
      <c r="J1451">
        <f t="shared" si="194"/>
        <v>14.032559871673591</v>
      </c>
      <c r="K1451" t="s">
        <v>2680</v>
      </c>
      <c r="L1451" t="s">
        <v>2681</v>
      </c>
      <c r="M1451" t="s">
        <v>27</v>
      </c>
      <c r="N1451" t="s">
        <v>27</v>
      </c>
      <c r="O1451">
        <v>24.3</v>
      </c>
      <c r="P1451">
        <v>5.98221683502197</v>
      </c>
      <c r="Q1451">
        <v>5.4480700492858896</v>
      </c>
      <c r="R1451">
        <v>20.263637195933899</v>
      </c>
      <c r="S1451">
        <v>12.6623376623377</v>
      </c>
      <c r="T1451">
        <v>15.936658859252899</v>
      </c>
      <c r="U1451" t="s">
        <v>27</v>
      </c>
      <c r="V1451">
        <v>10519000</v>
      </c>
      <c r="W1451">
        <v>1.0888580083846999</v>
      </c>
      <c r="X1451">
        <v>0.29437229746864002</v>
      </c>
      <c r="Y1451">
        <v>11.5</v>
      </c>
      <c r="Z1451">
        <v>8.5844898223877006</v>
      </c>
      <c r="AA1451">
        <v>7204890</v>
      </c>
      <c r="AB1451" t="s">
        <v>27</v>
      </c>
      <c r="AC1451" t="s">
        <v>27</v>
      </c>
      <c r="AD1451">
        <v>0.43636362661014899</v>
      </c>
      <c r="AE1451" t="s">
        <v>27</v>
      </c>
      <c r="AF1451" t="s">
        <v>27</v>
      </c>
      <c r="AG1451">
        <v>6937700</v>
      </c>
      <c r="AH1451">
        <v>20.839506149291999</v>
      </c>
      <c r="AI1451">
        <v>1.2976050376892101</v>
      </c>
    </row>
    <row r="1452" spans="1:35">
      <c r="A1452">
        <f t="shared" si="195"/>
        <v>0</v>
      </c>
      <c r="B1452">
        <f t="shared" si="196"/>
        <v>0</v>
      </c>
      <c r="C1452">
        <f t="shared" si="197"/>
        <v>1</v>
      </c>
      <c r="D1452">
        <f t="shared" si="198"/>
        <v>1</v>
      </c>
      <c r="E1452">
        <f t="shared" si="199"/>
        <v>0</v>
      </c>
      <c r="F1452">
        <f t="shared" si="200"/>
        <v>1</v>
      </c>
      <c r="G1452">
        <f t="shared" si="201"/>
        <v>0</v>
      </c>
      <c r="H1452">
        <v>0</v>
      </c>
      <c r="I1452">
        <f t="shared" si="202"/>
        <v>0</v>
      </c>
      <c r="J1452">
        <f t="shared" si="194"/>
        <v>14.022902965545661</v>
      </c>
      <c r="K1452" t="s">
        <v>3517</v>
      </c>
      <c r="L1452" t="s">
        <v>3518</v>
      </c>
      <c r="M1452" t="s">
        <v>27</v>
      </c>
      <c r="N1452" t="s">
        <v>27</v>
      </c>
      <c r="O1452">
        <v>43.8</v>
      </c>
      <c r="P1452">
        <v>8.66644191741943</v>
      </c>
      <c r="Q1452">
        <v>7.2334289550781303</v>
      </c>
      <c r="R1452">
        <v>40.950000762939503</v>
      </c>
      <c r="S1452">
        <v>27.4899997711182</v>
      </c>
      <c r="T1452">
        <v>11.254981040954601</v>
      </c>
      <c r="U1452" t="s">
        <v>27</v>
      </c>
      <c r="V1452">
        <v>16705001</v>
      </c>
      <c r="W1452">
        <v>1.41831803321838</v>
      </c>
      <c r="X1452">
        <v>0.63999998569488503</v>
      </c>
      <c r="Y1452">
        <v>8.3793096542358398</v>
      </c>
      <c r="Z1452">
        <v>6.7894740104675302</v>
      </c>
      <c r="AA1452">
        <v>7323000</v>
      </c>
      <c r="AB1452" t="s">
        <v>34</v>
      </c>
      <c r="AC1452" t="s">
        <v>35</v>
      </c>
      <c r="AD1452">
        <v>0.70999997854232799</v>
      </c>
      <c r="AE1452" t="s">
        <v>27</v>
      </c>
      <c r="AF1452" t="s">
        <v>27</v>
      </c>
      <c r="AG1452">
        <v>7389000</v>
      </c>
      <c r="AH1452">
        <v>12.057692527771</v>
      </c>
      <c r="AI1452">
        <v>1.4045710563659699</v>
      </c>
    </row>
    <row r="1453" spans="1:35">
      <c r="A1453">
        <f t="shared" si="195"/>
        <v>1</v>
      </c>
      <c r="B1453">
        <f t="shared" si="196"/>
        <v>0</v>
      </c>
      <c r="C1453">
        <f t="shared" si="197"/>
        <v>1</v>
      </c>
      <c r="D1453">
        <f t="shared" si="198"/>
        <v>0</v>
      </c>
      <c r="E1453">
        <f t="shared" si="199"/>
        <v>0</v>
      </c>
      <c r="F1453">
        <f t="shared" si="200"/>
        <v>1</v>
      </c>
      <c r="G1453">
        <f t="shared" si="201"/>
        <v>0</v>
      </c>
      <c r="H1453">
        <v>0</v>
      </c>
      <c r="I1453">
        <f t="shared" si="202"/>
        <v>0</v>
      </c>
      <c r="J1453">
        <f t="shared" si="194"/>
        <v>13.98558521270752</v>
      </c>
      <c r="K1453" t="s">
        <v>2532</v>
      </c>
      <c r="L1453" t="s">
        <v>2533</v>
      </c>
      <c r="M1453" t="s">
        <v>27</v>
      </c>
      <c r="N1453" t="s">
        <v>27</v>
      </c>
      <c r="O1453">
        <v>33.159999999999997</v>
      </c>
      <c r="P1453">
        <v>8.1698179244995099</v>
      </c>
      <c r="Q1453">
        <v>7.76379299163818</v>
      </c>
      <c r="R1453">
        <v>31.399999618530298</v>
      </c>
      <c r="S1453">
        <v>25.75</v>
      </c>
      <c r="T1453">
        <v>5.1015567779540998</v>
      </c>
      <c r="U1453" t="s">
        <v>27</v>
      </c>
      <c r="V1453">
        <v>3584000</v>
      </c>
      <c r="W1453">
        <v>1.6409389972686801</v>
      </c>
      <c r="X1453">
        <v>0.50999999046325695</v>
      </c>
      <c r="Y1453">
        <v>5.9504132270812997</v>
      </c>
      <c r="Z1453">
        <v>6.2217922210693404</v>
      </c>
      <c r="AA1453">
        <v>8644000</v>
      </c>
      <c r="AB1453" t="s">
        <v>27</v>
      </c>
      <c r="AC1453" t="s">
        <v>27</v>
      </c>
      <c r="AD1453">
        <v>0.490000009536743</v>
      </c>
      <c r="AE1453" t="s">
        <v>27</v>
      </c>
      <c r="AF1453" t="s">
        <v>27</v>
      </c>
      <c r="AG1453">
        <v>8212000</v>
      </c>
      <c r="AH1453">
        <v>5.0778708457946804</v>
      </c>
      <c r="AI1453">
        <v>1.58072102069855</v>
      </c>
    </row>
    <row r="1454" spans="1:35">
      <c r="A1454">
        <f t="shared" si="195"/>
        <v>1</v>
      </c>
      <c r="B1454">
        <f t="shared" si="196"/>
        <v>0</v>
      </c>
      <c r="C1454">
        <f t="shared" si="197"/>
        <v>1</v>
      </c>
      <c r="D1454">
        <f t="shared" si="198"/>
        <v>1</v>
      </c>
      <c r="E1454">
        <f t="shared" si="199"/>
        <v>0</v>
      </c>
      <c r="F1454">
        <f t="shared" si="200"/>
        <v>1</v>
      </c>
      <c r="G1454">
        <f t="shared" si="201"/>
        <v>0</v>
      </c>
      <c r="H1454">
        <v>0</v>
      </c>
      <c r="I1454">
        <f t="shared" si="202"/>
        <v>1</v>
      </c>
      <c r="J1454">
        <f t="shared" si="194"/>
        <v>13.97257566452026</v>
      </c>
      <c r="K1454" t="s">
        <v>3101</v>
      </c>
      <c r="L1454" t="s">
        <v>3102</v>
      </c>
      <c r="M1454" t="s">
        <v>27</v>
      </c>
      <c r="N1454" t="s">
        <v>27</v>
      </c>
      <c r="O1454">
        <v>19.63</v>
      </c>
      <c r="P1454">
        <v>7.0144371986389196</v>
      </c>
      <c r="Q1454">
        <v>7.3359317779540998</v>
      </c>
      <c r="R1454">
        <v>15.25</v>
      </c>
      <c r="S1454">
        <v>9.8333333333333304</v>
      </c>
      <c r="T1454">
        <v>8.7974052429199201</v>
      </c>
      <c r="U1454" t="s">
        <v>27</v>
      </c>
      <c r="V1454">
        <v>3467000</v>
      </c>
      <c r="W1454">
        <v>1.0844529867172199</v>
      </c>
      <c r="X1454">
        <v>0.20999999841054301</v>
      </c>
      <c r="Y1454">
        <v>9.6538457870483398</v>
      </c>
      <c r="Z1454">
        <v>6.6366438865661603</v>
      </c>
      <c r="AA1454">
        <v>14268000</v>
      </c>
      <c r="AB1454" t="s">
        <v>34</v>
      </c>
      <c r="AC1454" t="s">
        <v>35</v>
      </c>
      <c r="AD1454">
        <v>0.240000009536743</v>
      </c>
      <c r="AE1454" t="s">
        <v>27</v>
      </c>
      <c r="AF1454" t="s">
        <v>27</v>
      </c>
      <c r="AG1454">
        <v>14019000</v>
      </c>
      <c r="AH1454">
        <v>6.96805715560913</v>
      </c>
      <c r="AI1454">
        <v>1.08295798301697</v>
      </c>
    </row>
    <row r="1455" spans="1:35">
      <c r="A1455">
        <f t="shared" si="195"/>
        <v>1</v>
      </c>
      <c r="B1455">
        <f t="shared" si="196"/>
        <v>0</v>
      </c>
      <c r="C1455">
        <f t="shared" si="197"/>
        <v>1</v>
      </c>
      <c r="D1455">
        <f t="shared" si="198"/>
        <v>0</v>
      </c>
      <c r="E1455">
        <f t="shared" si="199"/>
        <v>0</v>
      </c>
      <c r="F1455">
        <f t="shared" si="200"/>
        <v>1</v>
      </c>
      <c r="G1455">
        <f t="shared" si="201"/>
        <v>0</v>
      </c>
      <c r="H1455">
        <v>0</v>
      </c>
      <c r="I1455">
        <f t="shared" si="202"/>
        <v>0</v>
      </c>
      <c r="J1455">
        <f t="shared" si="194"/>
        <v>13.969590663909909</v>
      </c>
      <c r="K1455" t="s">
        <v>3699</v>
      </c>
      <c r="L1455" t="s">
        <v>3700</v>
      </c>
      <c r="M1455" t="s">
        <v>27</v>
      </c>
      <c r="N1455" t="s">
        <v>27</v>
      </c>
      <c r="O1455">
        <v>26.29</v>
      </c>
      <c r="P1455">
        <v>14.8526697158813</v>
      </c>
      <c r="Q1455">
        <v>7.1093478202819798</v>
      </c>
      <c r="R1455">
        <v>36.669998168945298</v>
      </c>
      <c r="S1455">
        <v>37</v>
      </c>
      <c r="T1455">
        <v>20.879329681396499</v>
      </c>
      <c r="U1455" t="s">
        <v>27</v>
      </c>
      <c r="V1455">
        <v>43275000</v>
      </c>
      <c r="W1455">
        <v>9.5333909988403303</v>
      </c>
      <c r="X1455">
        <v>0.93000000715255704</v>
      </c>
      <c r="Y1455">
        <v>17.234159469604499</v>
      </c>
      <c r="Z1455">
        <v>6.8602428436279297</v>
      </c>
      <c r="AA1455">
        <v>25865000</v>
      </c>
      <c r="AB1455" t="s">
        <v>27</v>
      </c>
      <c r="AC1455" t="s">
        <v>27</v>
      </c>
      <c r="AD1455">
        <v>0.37000000476837203</v>
      </c>
      <c r="AE1455" t="s">
        <v>27</v>
      </c>
      <c r="AF1455">
        <v>4.7809557758908996</v>
      </c>
      <c r="AG1455">
        <v>26394000</v>
      </c>
      <c r="AH1455">
        <v>18.228340148925799</v>
      </c>
      <c r="AI1455">
        <v>7.5527820587158203</v>
      </c>
    </row>
    <row r="1456" spans="1:35">
      <c r="A1456">
        <f t="shared" si="195"/>
        <v>0</v>
      </c>
      <c r="B1456">
        <f t="shared" si="196"/>
        <v>0</v>
      </c>
      <c r="C1456">
        <f t="shared" si="197"/>
        <v>1</v>
      </c>
      <c r="D1456">
        <f t="shared" si="198"/>
        <v>1</v>
      </c>
      <c r="E1456">
        <f t="shared" si="199"/>
        <v>0</v>
      </c>
      <c r="F1456">
        <f t="shared" si="200"/>
        <v>1</v>
      </c>
      <c r="G1456">
        <f t="shared" si="201"/>
        <v>1</v>
      </c>
      <c r="H1456">
        <v>0</v>
      </c>
      <c r="I1456">
        <f t="shared" si="202"/>
        <v>0</v>
      </c>
      <c r="J1456">
        <f t="shared" si="194"/>
        <v>13.945881366729729</v>
      </c>
      <c r="K1456" t="s">
        <v>1470</v>
      </c>
      <c r="L1456" t="s">
        <v>1471</v>
      </c>
      <c r="M1456" t="s">
        <v>27</v>
      </c>
      <c r="N1456" t="s">
        <v>27</v>
      </c>
      <c r="O1456">
        <v>17.75</v>
      </c>
      <c r="P1456">
        <v>7.3550209999084499</v>
      </c>
      <c r="Q1456">
        <v>7.7747101783752397</v>
      </c>
      <c r="R1456">
        <v>21.200000762939499</v>
      </c>
      <c r="S1456">
        <v>17.409999847412099</v>
      </c>
      <c r="T1456">
        <v>30.9444465637207</v>
      </c>
      <c r="U1456">
        <v>27.907306671142599</v>
      </c>
      <c r="V1456">
        <v>13104000</v>
      </c>
      <c r="W1456">
        <v>5.0025711059570304</v>
      </c>
      <c r="X1456">
        <v>0.259999990463257</v>
      </c>
      <c r="Y1456">
        <v>7.0153851509094203</v>
      </c>
      <c r="Z1456">
        <v>6.1711711883544904</v>
      </c>
      <c r="AA1456">
        <v>15339000</v>
      </c>
      <c r="AB1456" t="s">
        <v>27</v>
      </c>
      <c r="AC1456" t="s">
        <v>27</v>
      </c>
      <c r="AD1456">
        <v>0.36000001430511502</v>
      </c>
      <c r="AE1456">
        <v>29.8590297698975</v>
      </c>
      <c r="AF1456">
        <v>7.5646071877739196</v>
      </c>
      <c r="AG1456">
        <v>15596000</v>
      </c>
      <c r="AH1456">
        <v>35.093067169189503</v>
      </c>
      <c r="AI1456">
        <v>4.7705860137939498</v>
      </c>
    </row>
    <row r="1457" spans="1:35">
      <c r="A1457">
        <f t="shared" si="195"/>
        <v>1</v>
      </c>
      <c r="B1457">
        <f t="shared" si="196"/>
        <v>0</v>
      </c>
      <c r="C1457">
        <f t="shared" si="197"/>
        <v>1</v>
      </c>
      <c r="D1457">
        <f t="shared" si="198"/>
        <v>1</v>
      </c>
      <c r="E1457">
        <f t="shared" si="199"/>
        <v>0</v>
      </c>
      <c r="F1457">
        <f t="shared" si="200"/>
        <v>1</v>
      </c>
      <c r="G1457">
        <f t="shared" si="201"/>
        <v>0</v>
      </c>
      <c r="H1457">
        <v>0</v>
      </c>
      <c r="I1457">
        <f t="shared" si="202"/>
        <v>0</v>
      </c>
      <c r="J1457">
        <f t="shared" si="194"/>
        <v>13.93583297729492</v>
      </c>
      <c r="K1457" t="s">
        <v>2354</v>
      </c>
      <c r="L1457" t="s">
        <v>2355</v>
      </c>
      <c r="M1457" t="s">
        <v>27</v>
      </c>
      <c r="N1457" t="s">
        <v>27</v>
      </c>
      <c r="O1457">
        <v>9.44</v>
      </c>
      <c r="P1457">
        <v>5.7838001251220703</v>
      </c>
      <c r="Q1457">
        <v>6.6977381706237802</v>
      </c>
      <c r="R1457">
        <v>28.680000305175799</v>
      </c>
      <c r="S1457">
        <v>12.625</v>
      </c>
      <c r="T1457">
        <v>46.515094757080099</v>
      </c>
      <c r="U1457">
        <v>11.4281558990479</v>
      </c>
      <c r="V1457">
        <v>62201996</v>
      </c>
      <c r="W1457">
        <v>2.3358960151672399</v>
      </c>
      <c r="X1457">
        <v>0.37999999523162797</v>
      </c>
      <c r="Y1457">
        <v>15.157895088195801</v>
      </c>
      <c r="Z1457">
        <v>7.2380948066711399</v>
      </c>
      <c r="AA1457">
        <v>11413000</v>
      </c>
      <c r="AB1457" t="s">
        <v>27</v>
      </c>
      <c r="AC1457" t="s">
        <v>27</v>
      </c>
      <c r="AD1457">
        <v>0.46000000834464999</v>
      </c>
      <c r="AE1457">
        <v>11.280182838439901</v>
      </c>
      <c r="AF1457">
        <v>3.6550740280845</v>
      </c>
      <c r="AG1457">
        <v>11672000</v>
      </c>
      <c r="AH1457">
        <v>38.916130065917997</v>
      </c>
      <c r="AI1457">
        <v>1.7749389410018901</v>
      </c>
    </row>
    <row r="1458" spans="1:35">
      <c r="A1458">
        <f t="shared" si="195"/>
        <v>0</v>
      </c>
      <c r="B1458">
        <f t="shared" si="196"/>
        <v>0</v>
      </c>
      <c r="C1458">
        <f t="shared" si="197"/>
        <v>1</v>
      </c>
      <c r="D1458">
        <f t="shared" si="198"/>
        <v>0</v>
      </c>
      <c r="E1458">
        <f t="shared" si="199"/>
        <v>1</v>
      </c>
      <c r="F1458">
        <f t="shared" si="200"/>
        <v>1</v>
      </c>
      <c r="G1458">
        <f t="shared" si="201"/>
        <v>0</v>
      </c>
      <c r="H1458">
        <v>0</v>
      </c>
      <c r="I1458">
        <f t="shared" si="202"/>
        <v>0</v>
      </c>
      <c r="J1458">
        <f t="shared" si="194"/>
        <v>13.932295322418211</v>
      </c>
      <c r="K1458" t="s">
        <v>3360</v>
      </c>
      <c r="L1458" t="s">
        <v>3361</v>
      </c>
      <c r="M1458" t="s">
        <v>27</v>
      </c>
      <c r="N1458" t="s">
        <v>27</v>
      </c>
      <c r="O1458">
        <v>9.92</v>
      </c>
      <c r="P1458">
        <v>16.410551071166999</v>
      </c>
      <c r="Q1458">
        <v>8.2482872009277308</v>
      </c>
      <c r="R1458">
        <v>12.3500003814697</v>
      </c>
      <c r="S1458">
        <v>10</v>
      </c>
      <c r="T1458">
        <v>0</v>
      </c>
      <c r="U1458">
        <v>25.758703231811499</v>
      </c>
      <c r="V1458">
        <v>1029000.0625</v>
      </c>
      <c r="W1458">
        <v>16.5233554840088</v>
      </c>
      <c r="X1458">
        <v>0.17000000178813901</v>
      </c>
      <c r="Y1458">
        <v>13.801527023315399</v>
      </c>
      <c r="Z1458">
        <v>5.6840081214904803</v>
      </c>
      <c r="AA1458">
        <v>26911000</v>
      </c>
      <c r="AB1458" t="s">
        <v>30</v>
      </c>
      <c r="AC1458" t="s">
        <v>332</v>
      </c>
      <c r="AD1458">
        <v>0.10000000149011599</v>
      </c>
      <c r="AE1458">
        <v>19.913465499877901</v>
      </c>
      <c r="AF1458" t="s">
        <v>27</v>
      </c>
      <c r="AG1458">
        <v>26911000</v>
      </c>
      <c r="AH1458">
        <v>0</v>
      </c>
      <c r="AI1458">
        <v>12.6576948165894</v>
      </c>
    </row>
    <row r="1459" spans="1:35">
      <c r="A1459">
        <f t="shared" si="195"/>
        <v>0</v>
      </c>
      <c r="B1459">
        <f t="shared" si="196"/>
        <v>0</v>
      </c>
      <c r="C1459">
        <f t="shared" si="197"/>
        <v>1</v>
      </c>
      <c r="D1459">
        <f t="shared" si="198"/>
        <v>1</v>
      </c>
      <c r="E1459">
        <f t="shared" si="199"/>
        <v>0</v>
      </c>
      <c r="F1459">
        <f t="shared" si="200"/>
        <v>1</v>
      </c>
      <c r="G1459">
        <f t="shared" si="201"/>
        <v>0</v>
      </c>
      <c r="H1459">
        <v>0</v>
      </c>
      <c r="I1459">
        <f t="shared" si="202"/>
        <v>1</v>
      </c>
      <c r="J1459">
        <f t="shared" si="194"/>
        <v>13.925943613052381</v>
      </c>
      <c r="K1459" t="s">
        <v>206</v>
      </c>
      <c r="L1459" t="s">
        <v>207</v>
      </c>
      <c r="M1459" t="s">
        <v>27</v>
      </c>
      <c r="N1459" t="s">
        <v>27</v>
      </c>
      <c r="O1459">
        <v>17.48</v>
      </c>
      <c r="P1459">
        <v>5.0719671249389604</v>
      </c>
      <c r="Q1459">
        <v>3.8841030597686799</v>
      </c>
      <c r="R1459">
        <v>14.4700002670288</v>
      </c>
      <c r="S1459">
        <v>10.625</v>
      </c>
      <c r="T1459">
        <v>18.332481384277301</v>
      </c>
      <c r="U1459" t="s">
        <v>27</v>
      </c>
      <c r="V1459">
        <v>3154000</v>
      </c>
      <c r="W1459">
        <v>0.81554001569747903</v>
      </c>
      <c r="X1459">
        <v>0.28000000119209301</v>
      </c>
      <c r="Y1459">
        <v>11.616437911987299</v>
      </c>
      <c r="Z1459">
        <v>10.0418405532837</v>
      </c>
      <c r="AA1459">
        <v>6211000</v>
      </c>
      <c r="AB1459" t="s">
        <v>27</v>
      </c>
      <c r="AC1459" t="s">
        <v>27</v>
      </c>
      <c r="AD1459">
        <v>0.31999999284744302</v>
      </c>
      <c r="AE1459" t="s">
        <v>27</v>
      </c>
      <c r="AF1459" t="s">
        <v>27</v>
      </c>
      <c r="AG1459">
        <v>14882000</v>
      </c>
      <c r="AH1459">
        <v>18.6828937530518</v>
      </c>
      <c r="AI1459">
        <v>0.75474101305007901</v>
      </c>
    </row>
    <row r="1460" spans="1:35">
      <c r="A1460">
        <f t="shared" si="195"/>
        <v>0</v>
      </c>
      <c r="B1460">
        <f t="shared" si="196"/>
        <v>1</v>
      </c>
      <c r="C1460">
        <f t="shared" si="197"/>
        <v>1</v>
      </c>
      <c r="D1460">
        <f t="shared" si="198"/>
        <v>1</v>
      </c>
      <c r="E1460">
        <f t="shared" si="199"/>
        <v>0</v>
      </c>
      <c r="F1460">
        <f t="shared" si="200"/>
        <v>1</v>
      </c>
      <c r="G1460">
        <f t="shared" si="201"/>
        <v>0</v>
      </c>
      <c r="H1460">
        <v>0</v>
      </c>
      <c r="I1460">
        <f t="shared" si="202"/>
        <v>1</v>
      </c>
      <c r="J1460">
        <f t="shared" si="194"/>
        <v>13.92031621932983</v>
      </c>
      <c r="K1460" t="s">
        <v>1756</v>
      </c>
      <c r="L1460" t="s">
        <v>1757</v>
      </c>
      <c r="M1460" t="s">
        <v>27</v>
      </c>
      <c r="N1460" t="s">
        <v>27</v>
      </c>
      <c r="O1460">
        <v>20.87</v>
      </c>
      <c r="P1460">
        <v>5.6994180679321298</v>
      </c>
      <c r="Q1460">
        <v>6.3379402160644496</v>
      </c>
      <c r="R1460">
        <v>19.015873500279</v>
      </c>
      <c r="S1460">
        <v>12.244897959183699</v>
      </c>
      <c r="T1460">
        <v>13.1782169342041</v>
      </c>
      <c r="U1460" t="s">
        <v>27</v>
      </c>
      <c r="V1460">
        <v>13709000</v>
      </c>
      <c r="W1460">
        <v>0.51209402084350597</v>
      </c>
      <c r="X1460">
        <v>0.278155712631177</v>
      </c>
      <c r="Y1460">
        <v>9.4324913024902308</v>
      </c>
      <c r="Z1460">
        <v>7.58237600326538</v>
      </c>
      <c r="AA1460">
        <v>19401216.1875</v>
      </c>
      <c r="AB1460" t="s">
        <v>34</v>
      </c>
      <c r="AC1460" t="s">
        <v>35</v>
      </c>
      <c r="AD1460">
        <v>0.32894937539767399</v>
      </c>
      <c r="AE1460" t="s">
        <v>27</v>
      </c>
      <c r="AF1460" t="s">
        <v>27</v>
      </c>
      <c r="AG1460">
        <v>18804791.25</v>
      </c>
      <c r="AH1460">
        <v>17.5924186706543</v>
      </c>
      <c r="AI1460">
        <v>1.1404399871826201</v>
      </c>
    </row>
    <row r="1461" spans="1:35">
      <c r="A1461">
        <f t="shared" si="195"/>
        <v>0</v>
      </c>
      <c r="B1461">
        <f t="shared" si="196"/>
        <v>1</v>
      </c>
      <c r="C1461">
        <f t="shared" si="197"/>
        <v>1</v>
      </c>
      <c r="D1461">
        <f t="shared" si="198"/>
        <v>0</v>
      </c>
      <c r="E1461">
        <f t="shared" si="199"/>
        <v>0</v>
      </c>
      <c r="F1461">
        <f t="shared" si="200"/>
        <v>1</v>
      </c>
      <c r="G1461">
        <f t="shared" si="201"/>
        <v>0</v>
      </c>
      <c r="H1461">
        <v>0</v>
      </c>
      <c r="I1461">
        <f t="shared" si="202"/>
        <v>0</v>
      </c>
      <c r="J1461">
        <f t="shared" si="194"/>
        <v>13.897584915161129</v>
      </c>
      <c r="K1461" t="s">
        <v>2358</v>
      </c>
      <c r="L1461" t="s">
        <v>2359</v>
      </c>
      <c r="M1461" t="s">
        <v>27</v>
      </c>
      <c r="N1461" t="s">
        <v>27</v>
      </c>
      <c r="O1461">
        <v>6.37</v>
      </c>
      <c r="P1461" t="s">
        <v>27</v>
      </c>
      <c r="Q1461">
        <v>8.0382099151611293</v>
      </c>
      <c r="R1461">
        <v>7.6999998092651403</v>
      </c>
      <c r="S1461">
        <v>9.9300003051757795</v>
      </c>
      <c r="T1461">
        <v>8.1002731323242205</v>
      </c>
      <c r="U1461">
        <v>24.829029083251999</v>
      </c>
      <c r="V1461">
        <v>10242000</v>
      </c>
      <c r="W1461">
        <v>0.56916600465774503</v>
      </c>
      <c r="X1461">
        <v>0.17000000178813901</v>
      </c>
      <c r="Y1461" t="s">
        <v>27</v>
      </c>
      <c r="Z1461">
        <v>5.859375</v>
      </c>
      <c r="AA1461">
        <v>15146000</v>
      </c>
      <c r="AB1461" t="s">
        <v>27</v>
      </c>
      <c r="AC1461" t="s">
        <v>27</v>
      </c>
      <c r="AD1461">
        <v>0.109999999403954</v>
      </c>
      <c r="AE1461">
        <v>24.745714187622099</v>
      </c>
      <c r="AF1461">
        <v>9.3139407372841791</v>
      </c>
      <c r="AG1461">
        <v>15713000</v>
      </c>
      <c r="AH1461">
        <v>22.049118041992202</v>
      </c>
      <c r="AI1461">
        <v>5.9017682075500497</v>
      </c>
    </row>
    <row r="1462" spans="1:35">
      <c r="A1462">
        <f t="shared" si="195"/>
        <v>1</v>
      </c>
      <c r="B1462">
        <f t="shared" si="196"/>
        <v>0</v>
      </c>
      <c r="C1462">
        <f t="shared" si="197"/>
        <v>0</v>
      </c>
      <c r="D1462">
        <f t="shared" si="198"/>
        <v>0</v>
      </c>
      <c r="E1462">
        <f t="shared" si="199"/>
        <v>0</v>
      </c>
      <c r="F1462">
        <f t="shared" si="200"/>
        <v>1</v>
      </c>
      <c r="G1462">
        <f t="shared" si="201"/>
        <v>0</v>
      </c>
      <c r="H1462">
        <v>0</v>
      </c>
      <c r="I1462">
        <f t="shared" si="202"/>
        <v>0</v>
      </c>
      <c r="J1462">
        <f t="shared" si="194"/>
        <v>13.88678503036499</v>
      </c>
      <c r="K1462" t="s">
        <v>2935</v>
      </c>
      <c r="L1462" t="s">
        <v>2936</v>
      </c>
      <c r="M1462" t="s">
        <v>27</v>
      </c>
      <c r="N1462" t="s">
        <v>27</v>
      </c>
      <c r="O1462">
        <v>18.899999999999999</v>
      </c>
      <c r="P1462">
        <v>8.9885425567627006</v>
      </c>
      <c r="Q1462">
        <v>6.6056399345397896</v>
      </c>
      <c r="R1462">
        <v>26</v>
      </c>
      <c r="S1462">
        <v>27.600000381469702</v>
      </c>
      <c r="T1462">
        <v>39.805503845214801</v>
      </c>
      <c r="U1462">
        <v>26.687135696411101</v>
      </c>
      <c r="V1462">
        <v>-95169992</v>
      </c>
      <c r="W1462">
        <v>6.61651515960693</v>
      </c>
      <c r="X1462">
        <v>0.57999998331069902</v>
      </c>
      <c r="Y1462">
        <v>10.8724040985107</v>
      </c>
      <c r="Z1462">
        <v>7.2811450958251998</v>
      </c>
      <c r="AA1462">
        <v>27296000</v>
      </c>
      <c r="AB1462" t="s">
        <v>52</v>
      </c>
      <c r="AC1462" t="s">
        <v>56</v>
      </c>
      <c r="AD1462">
        <v>0.25</v>
      </c>
      <c r="AE1462">
        <v>25.7280368804932</v>
      </c>
      <c r="AF1462">
        <v>9.2781703147961903</v>
      </c>
      <c r="AG1462">
        <v>31558000</v>
      </c>
      <c r="AH1462">
        <v>32.373306274414098</v>
      </c>
      <c r="AI1462">
        <v>6.5694098472595197</v>
      </c>
    </row>
    <row r="1463" spans="1:35">
      <c r="A1463">
        <f t="shared" si="195"/>
        <v>0</v>
      </c>
      <c r="B1463">
        <f t="shared" si="196"/>
        <v>1</v>
      </c>
      <c r="C1463">
        <f t="shared" si="197"/>
        <v>0</v>
      </c>
      <c r="D1463">
        <f t="shared" si="198"/>
        <v>1</v>
      </c>
      <c r="E1463">
        <f t="shared" si="199"/>
        <v>0</v>
      </c>
      <c r="F1463">
        <f t="shared" si="200"/>
        <v>1</v>
      </c>
      <c r="G1463">
        <f t="shared" si="201"/>
        <v>1</v>
      </c>
      <c r="H1463">
        <v>0</v>
      </c>
      <c r="I1463">
        <f t="shared" si="202"/>
        <v>0</v>
      </c>
      <c r="J1463">
        <f t="shared" si="194"/>
        <v>13.877977848052979</v>
      </c>
      <c r="K1463" t="s">
        <v>3234</v>
      </c>
      <c r="L1463" t="s">
        <v>3235</v>
      </c>
      <c r="M1463" t="s">
        <v>27</v>
      </c>
      <c r="N1463" t="s">
        <v>27</v>
      </c>
      <c r="O1463">
        <v>32.1</v>
      </c>
      <c r="P1463">
        <v>6.3694901466369602</v>
      </c>
      <c r="Q1463">
        <v>6.1128878593444798</v>
      </c>
      <c r="R1463">
        <v>31.680000305175799</v>
      </c>
      <c r="S1463">
        <v>29.5</v>
      </c>
      <c r="T1463">
        <v>39.162975311279297</v>
      </c>
      <c r="U1463">
        <v>45.383071899414098</v>
      </c>
      <c r="V1463">
        <v>-32951002</v>
      </c>
      <c r="W1463">
        <v>3.2701880931854199</v>
      </c>
      <c r="X1463">
        <v>-0.36000001430511502</v>
      </c>
      <c r="Y1463">
        <v>7.0920767784118697</v>
      </c>
      <c r="Z1463">
        <v>7.7650899887084996</v>
      </c>
      <c r="AA1463">
        <v>11496340</v>
      </c>
      <c r="AB1463" t="s">
        <v>254</v>
      </c>
      <c r="AC1463" t="s">
        <v>400</v>
      </c>
      <c r="AD1463">
        <v>-0.31999999284744302</v>
      </c>
      <c r="AE1463">
        <v>49.361873626708999</v>
      </c>
      <c r="AF1463">
        <v>10.3322894714402</v>
      </c>
      <c r="AG1463">
        <v>11812000</v>
      </c>
      <c r="AH1463">
        <v>42.3359184265137</v>
      </c>
      <c r="AI1463">
        <v>3.3304328918457</v>
      </c>
    </row>
    <row r="1464" spans="1:35">
      <c r="A1464">
        <f t="shared" si="195"/>
        <v>1</v>
      </c>
      <c r="B1464">
        <f t="shared" si="196"/>
        <v>0</v>
      </c>
      <c r="C1464">
        <f t="shared" si="197"/>
        <v>1</v>
      </c>
      <c r="D1464">
        <f t="shared" si="198"/>
        <v>0</v>
      </c>
      <c r="E1464">
        <f t="shared" si="199"/>
        <v>0</v>
      </c>
      <c r="F1464">
        <f t="shared" si="200"/>
        <v>1</v>
      </c>
      <c r="G1464">
        <f t="shared" si="201"/>
        <v>0</v>
      </c>
      <c r="H1464">
        <v>0</v>
      </c>
      <c r="I1464">
        <f t="shared" si="202"/>
        <v>0</v>
      </c>
      <c r="J1464">
        <f t="shared" si="194"/>
        <v>13.876083850860599</v>
      </c>
      <c r="K1464" t="s">
        <v>3013</v>
      </c>
      <c r="L1464" t="s">
        <v>3014</v>
      </c>
      <c r="M1464" t="s">
        <v>27</v>
      </c>
      <c r="N1464" t="s">
        <v>27</v>
      </c>
      <c r="O1464">
        <v>25.581</v>
      </c>
      <c r="P1464">
        <v>7.2916460037231401</v>
      </c>
      <c r="Q1464">
        <v>6.1513648033142099</v>
      </c>
      <c r="R1464">
        <v>37.25</v>
      </c>
      <c r="S1464">
        <v>45</v>
      </c>
      <c r="T1464">
        <v>38.448402404785199</v>
      </c>
      <c r="U1464">
        <v>44.149410247802699</v>
      </c>
      <c r="V1464">
        <v>13983001</v>
      </c>
      <c r="W1464">
        <v>6.0965771675109899</v>
      </c>
      <c r="X1464">
        <v>0.62999999523162797</v>
      </c>
      <c r="Y1464">
        <v>6.5076451301574698</v>
      </c>
      <c r="Z1464">
        <v>7.7247190475463903</v>
      </c>
      <c r="AA1464">
        <v>15668000</v>
      </c>
      <c r="AB1464" t="s">
        <v>27</v>
      </c>
      <c r="AC1464" t="s">
        <v>27</v>
      </c>
      <c r="AD1464">
        <v>-0.15000000596046401</v>
      </c>
      <c r="AE1464">
        <v>41.405139923095703</v>
      </c>
      <c r="AF1464">
        <v>8.9241580244550303</v>
      </c>
      <c r="AG1464">
        <v>16037001</v>
      </c>
      <c r="AH1464">
        <v>37.58447265625</v>
      </c>
      <c r="AI1464">
        <v>5.4141149520873997</v>
      </c>
    </row>
    <row r="1465" spans="1:35">
      <c r="A1465">
        <f t="shared" si="195"/>
        <v>1</v>
      </c>
      <c r="B1465">
        <f t="shared" si="196"/>
        <v>0</v>
      </c>
      <c r="C1465">
        <f t="shared" si="197"/>
        <v>1</v>
      </c>
      <c r="D1465">
        <f t="shared" si="198"/>
        <v>1</v>
      </c>
      <c r="E1465">
        <f t="shared" si="199"/>
        <v>0</v>
      </c>
      <c r="F1465">
        <f t="shared" si="200"/>
        <v>1</v>
      </c>
      <c r="G1465">
        <f t="shared" si="201"/>
        <v>1</v>
      </c>
      <c r="H1465">
        <v>0</v>
      </c>
      <c r="I1465">
        <f t="shared" si="202"/>
        <v>0</v>
      </c>
      <c r="J1465">
        <f t="shared" si="194"/>
        <v>13.86190128326416</v>
      </c>
      <c r="K1465" t="s">
        <v>3829</v>
      </c>
      <c r="L1465" t="s">
        <v>3830</v>
      </c>
      <c r="M1465" t="s">
        <v>27</v>
      </c>
      <c r="N1465" t="s">
        <v>27</v>
      </c>
      <c r="O1465">
        <v>15.63</v>
      </c>
      <c r="P1465">
        <v>6.0158047676086399</v>
      </c>
      <c r="Q1465">
        <v>5.6340532302856401</v>
      </c>
      <c r="R1465">
        <v>17.7299995422363</v>
      </c>
      <c r="S1465">
        <v>4.6875</v>
      </c>
      <c r="T1465">
        <v>20.98903465271</v>
      </c>
      <c r="U1465">
        <v>27.480674743652301</v>
      </c>
      <c r="V1465">
        <v>8549000</v>
      </c>
      <c r="W1465">
        <v>3.0758910179138201</v>
      </c>
      <c r="X1465">
        <v>0.239999994635582</v>
      </c>
      <c r="Y1465">
        <v>7.5151519775390598</v>
      </c>
      <c r="Z1465">
        <v>8.2278480529785192</v>
      </c>
      <c r="AA1465">
        <v>17267000</v>
      </c>
      <c r="AB1465" t="s">
        <v>30</v>
      </c>
      <c r="AC1465" t="s">
        <v>68</v>
      </c>
      <c r="AD1465">
        <v>0.31000000238418601</v>
      </c>
      <c r="AE1465">
        <v>28.623888015747099</v>
      </c>
      <c r="AF1465">
        <v>6.4035195914612402</v>
      </c>
      <c r="AG1465">
        <v>17747644</v>
      </c>
      <c r="AH1465">
        <v>18.0186653137207</v>
      </c>
      <c r="AI1465">
        <v>2.4858651161193799</v>
      </c>
    </row>
    <row r="1466" spans="1:35">
      <c r="A1466">
        <f t="shared" si="195"/>
        <v>0</v>
      </c>
      <c r="B1466">
        <f t="shared" si="196"/>
        <v>1</v>
      </c>
      <c r="C1466">
        <f t="shared" si="197"/>
        <v>1</v>
      </c>
      <c r="D1466">
        <f t="shared" si="198"/>
        <v>0</v>
      </c>
      <c r="E1466">
        <f t="shared" si="199"/>
        <v>0</v>
      </c>
      <c r="F1466">
        <f t="shared" si="200"/>
        <v>1</v>
      </c>
      <c r="G1466">
        <f t="shared" si="201"/>
        <v>0</v>
      </c>
      <c r="H1466">
        <v>0</v>
      </c>
      <c r="I1466">
        <f t="shared" si="202"/>
        <v>0</v>
      </c>
      <c r="J1466">
        <f t="shared" si="194"/>
        <v>13.83936214447021</v>
      </c>
      <c r="K1466" t="s">
        <v>1714</v>
      </c>
      <c r="L1466" t="s">
        <v>1715</v>
      </c>
      <c r="M1466" t="s">
        <v>27</v>
      </c>
      <c r="N1466" t="s">
        <v>27</v>
      </c>
      <c r="O1466">
        <v>29.16</v>
      </c>
      <c r="P1466">
        <v>12.018429756164601</v>
      </c>
      <c r="Q1466">
        <v>8.5229063034057599</v>
      </c>
      <c r="R1466">
        <v>34</v>
      </c>
      <c r="S1466">
        <v>30.340000152587901</v>
      </c>
      <c r="T1466">
        <v>33.637359619140597</v>
      </c>
      <c r="U1466">
        <v>39.823970794677699</v>
      </c>
      <c r="V1466">
        <v>27260002</v>
      </c>
      <c r="W1466">
        <v>7.5890741348266602</v>
      </c>
      <c r="X1466">
        <v>0.56000000238418601</v>
      </c>
      <c r="Y1466">
        <v>7.4809842109680202</v>
      </c>
      <c r="Z1466">
        <v>5.3164558410644496</v>
      </c>
      <c r="AA1466">
        <v>30102000</v>
      </c>
      <c r="AB1466" t="s">
        <v>61</v>
      </c>
      <c r="AC1466" t="s">
        <v>101</v>
      </c>
      <c r="AD1466">
        <v>0.270000010728836</v>
      </c>
      <c r="AE1466">
        <v>36.296218872070298</v>
      </c>
      <c r="AF1466">
        <v>9.6110204167305806</v>
      </c>
      <c r="AG1466">
        <v>30688000</v>
      </c>
      <c r="AH1466">
        <v>35.5049858093262</v>
      </c>
      <c r="AI1466">
        <v>8.4739027023315394</v>
      </c>
    </row>
    <row r="1467" spans="1:35">
      <c r="A1467">
        <f t="shared" si="195"/>
        <v>0</v>
      </c>
      <c r="B1467">
        <f t="shared" si="196"/>
        <v>0</v>
      </c>
      <c r="C1467">
        <f t="shared" si="197"/>
        <v>1</v>
      </c>
      <c r="D1467">
        <f t="shared" si="198"/>
        <v>0</v>
      </c>
      <c r="E1467">
        <f t="shared" si="199"/>
        <v>0</v>
      </c>
      <c r="F1467">
        <f t="shared" si="200"/>
        <v>1</v>
      </c>
      <c r="G1467">
        <f t="shared" si="201"/>
        <v>0</v>
      </c>
      <c r="H1467">
        <v>0</v>
      </c>
      <c r="I1467">
        <f t="shared" si="202"/>
        <v>0</v>
      </c>
      <c r="J1467">
        <f t="shared" si="194"/>
        <v>13.83105230331423</v>
      </c>
      <c r="K1467" t="s">
        <v>2817</v>
      </c>
      <c r="L1467" t="s">
        <v>2818</v>
      </c>
      <c r="M1467" t="s">
        <v>27</v>
      </c>
      <c r="N1467" t="s">
        <v>27</v>
      </c>
      <c r="O1467">
        <v>23.26</v>
      </c>
      <c r="P1467">
        <v>12.8891744613647</v>
      </c>
      <c r="Q1467">
        <v>10.1810522079468</v>
      </c>
      <c r="R1467">
        <v>29.389999389648398</v>
      </c>
      <c r="S1467">
        <v>34.625</v>
      </c>
      <c r="T1467">
        <v>0</v>
      </c>
      <c r="U1467">
        <v>11.776614189147899</v>
      </c>
      <c r="V1467">
        <v>12194000</v>
      </c>
      <c r="W1467">
        <v>12.726037979126</v>
      </c>
      <c r="X1467">
        <v>0.18000000715255701</v>
      </c>
      <c r="Y1467">
        <v>2.2203390598297101</v>
      </c>
      <c r="Z1467">
        <v>3.6500000953674299</v>
      </c>
      <c r="AA1467">
        <v>42782000</v>
      </c>
      <c r="AB1467" t="s">
        <v>27</v>
      </c>
      <c r="AC1467" t="s">
        <v>27</v>
      </c>
      <c r="AD1467">
        <v>0.18000000715255701</v>
      </c>
      <c r="AE1467">
        <v>11.053570747375501</v>
      </c>
      <c r="AF1467">
        <v>14.562828144244699</v>
      </c>
      <c r="AG1467">
        <v>43564500</v>
      </c>
      <c r="AH1467">
        <v>0</v>
      </c>
      <c r="AI1467">
        <v>10.9085960388184</v>
      </c>
    </row>
    <row r="1468" spans="1:35">
      <c r="A1468">
        <f t="shared" si="195"/>
        <v>1</v>
      </c>
      <c r="B1468">
        <f t="shared" si="196"/>
        <v>1</v>
      </c>
      <c r="C1468">
        <f t="shared" si="197"/>
        <v>0</v>
      </c>
      <c r="D1468">
        <f t="shared" si="198"/>
        <v>0</v>
      </c>
      <c r="E1468">
        <f t="shared" si="199"/>
        <v>0</v>
      </c>
      <c r="F1468">
        <f t="shared" si="200"/>
        <v>1</v>
      </c>
      <c r="G1468">
        <f t="shared" si="201"/>
        <v>0</v>
      </c>
      <c r="H1468">
        <v>0</v>
      </c>
      <c r="I1468">
        <f t="shared" si="202"/>
        <v>1</v>
      </c>
      <c r="J1468">
        <f t="shared" si="194"/>
        <v>13.82379102706909</v>
      </c>
      <c r="K1468" t="s">
        <v>3915</v>
      </c>
      <c r="L1468" t="s">
        <v>3916</v>
      </c>
      <c r="M1468" t="s">
        <v>27</v>
      </c>
      <c r="N1468" t="s">
        <v>27</v>
      </c>
      <c r="O1468">
        <v>23.361999999999998</v>
      </c>
      <c r="P1468">
        <v>11.6002197265625</v>
      </c>
      <c r="Q1468">
        <v>6.1050100326538104</v>
      </c>
      <c r="R1468">
        <v>21.637476825900301</v>
      </c>
      <c r="S1468">
        <v>20.398459732875001</v>
      </c>
      <c r="T1468">
        <v>19.341991424560501</v>
      </c>
      <c r="U1468">
        <v>9.9255838394165004</v>
      </c>
      <c r="V1468">
        <v>-33363998</v>
      </c>
      <c r="W1468">
        <v>4.1883487701415998</v>
      </c>
      <c r="X1468">
        <v>0.80000001192092896</v>
      </c>
      <c r="Y1468">
        <v>16.264463424682599</v>
      </c>
      <c r="Z1468">
        <v>7.7187809944152797</v>
      </c>
      <c r="AA1468">
        <v>23725000</v>
      </c>
      <c r="AB1468" t="s">
        <v>61</v>
      </c>
      <c r="AC1468" t="s">
        <v>234</v>
      </c>
      <c r="AD1468">
        <v>0.259999990463257</v>
      </c>
      <c r="AE1468">
        <v>7.7221341133117702</v>
      </c>
      <c r="AF1468" t="s">
        <v>27</v>
      </c>
      <c r="AG1468">
        <v>24789288</v>
      </c>
      <c r="AH1468">
        <v>18.031509399414102</v>
      </c>
      <c r="AI1468">
        <v>5.1644988059997603</v>
      </c>
    </row>
    <row r="1469" spans="1:35">
      <c r="A1469">
        <f t="shared" si="195"/>
        <v>0</v>
      </c>
      <c r="B1469">
        <f t="shared" si="196"/>
        <v>1</v>
      </c>
      <c r="C1469">
        <f t="shared" si="197"/>
        <v>1</v>
      </c>
      <c r="D1469">
        <f t="shared" si="198"/>
        <v>1</v>
      </c>
      <c r="E1469">
        <f t="shared" si="199"/>
        <v>0</v>
      </c>
      <c r="F1469">
        <f t="shared" si="200"/>
        <v>1</v>
      </c>
      <c r="G1469">
        <f t="shared" si="201"/>
        <v>1</v>
      </c>
      <c r="H1469">
        <v>0</v>
      </c>
      <c r="I1469">
        <f t="shared" si="202"/>
        <v>0</v>
      </c>
      <c r="J1469">
        <f t="shared" si="194"/>
        <v>13.7836241722107</v>
      </c>
      <c r="K1469" t="s">
        <v>3617</v>
      </c>
      <c r="L1469" t="s">
        <v>3618</v>
      </c>
      <c r="M1469" t="s">
        <v>27</v>
      </c>
      <c r="N1469" t="s">
        <v>27</v>
      </c>
      <c r="O1469">
        <v>31.99</v>
      </c>
      <c r="P1469">
        <v>5.640625</v>
      </c>
      <c r="Q1469">
        <v>5.4590277671814</v>
      </c>
      <c r="R1469">
        <v>53.110000610351598</v>
      </c>
      <c r="S1469">
        <v>48.709999084472699</v>
      </c>
      <c r="T1469">
        <v>33.3903999328613</v>
      </c>
      <c r="U1469">
        <v>69.704193115234403</v>
      </c>
      <c r="V1469">
        <v>37299000</v>
      </c>
      <c r="W1469">
        <v>3.0918169021606401</v>
      </c>
      <c r="X1469">
        <v>1.3999999761581401</v>
      </c>
      <c r="Y1469">
        <v>8.2624540328979492</v>
      </c>
      <c r="Z1469">
        <v>8.3245964050293004</v>
      </c>
      <c r="AA1469">
        <v>14321000</v>
      </c>
      <c r="AB1469" t="s">
        <v>254</v>
      </c>
      <c r="AC1469" t="s">
        <v>848</v>
      </c>
      <c r="AD1469">
        <v>1.7699999809265099</v>
      </c>
      <c r="AE1469">
        <v>75.396423339843807</v>
      </c>
      <c r="AF1469">
        <v>4.8594610197383998</v>
      </c>
      <c r="AG1469">
        <v>14325000</v>
      </c>
      <c r="AH1469">
        <v>34.156356811523402</v>
      </c>
      <c r="AI1469">
        <v>3.5064160823821999</v>
      </c>
    </row>
    <row r="1470" spans="1:35">
      <c r="A1470">
        <f t="shared" si="195"/>
        <v>0</v>
      </c>
      <c r="B1470">
        <f t="shared" si="196"/>
        <v>1</v>
      </c>
      <c r="C1470">
        <f t="shared" si="197"/>
        <v>1</v>
      </c>
      <c r="D1470">
        <f t="shared" si="198"/>
        <v>1</v>
      </c>
      <c r="E1470">
        <f t="shared" si="199"/>
        <v>0</v>
      </c>
      <c r="F1470">
        <f t="shared" si="200"/>
        <v>1</v>
      </c>
      <c r="G1470">
        <f t="shared" si="201"/>
        <v>0</v>
      </c>
      <c r="H1470">
        <v>0</v>
      </c>
      <c r="I1470">
        <f t="shared" si="202"/>
        <v>1</v>
      </c>
      <c r="J1470">
        <f t="shared" si="194"/>
        <v>13.773650169372559</v>
      </c>
      <c r="K1470" t="s">
        <v>2014</v>
      </c>
      <c r="L1470" t="s">
        <v>2015</v>
      </c>
      <c r="M1470" t="s">
        <v>27</v>
      </c>
      <c r="N1470" t="s">
        <v>27</v>
      </c>
      <c r="O1470">
        <v>24.3</v>
      </c>
      <c r="P1470">
        <v>3.5463778972625701</v>
      </c>
      <c r="Q1470">
        <v>3.7800559997558598</v>
      </c>
      <c r="R1470">
        <v>19.2299995422363</v>
      </c>
      <c r="S1470">
        <v>14.625</v>
      </c>
      <c r="T1470">
        <v>19.3109645843506</v>
      </c>
      <c r="U1470" t="s">
        <v>27</v>
      </c>
      <c r="V1470">
        <v>3193000</v>
      </c>
      <c r="W1470">
        <v>0.82417297363281306</v>
      </c>
      <c r="X1470">
        <v>0.40000000596046398</v>
      </c>
      <c r="Y1470">
        <v>14.6745557785034</v>
      </c>
      <c r="Z1470">
        <v>9.9935941696166992</v>
      </c>
      <c r="AA1470">
        <v>5789000</v>
      </c>
      <c r="AB1470" t="s">
        <v>34</v>
      </c>
      <c r="AC1470" t="s">
        <v>35</v>
      </c>
      <c r="AD1470">
        <v>0.479999989271164</v>
      </c>
      <c r="AE1470" t="s">
        <v>27</v>
      </c>
      <c r="AF1470" t="s">
        <v>27</v>
      </c>
      <c r="AG1470">
        <v>5776000</v>
      </c>
      <c r="AH1470">
        <v>20.254634857177699</v>
      </c>
      <c r="AI1470">
        <v>0.85171300172805797</v>
      </c>
    </row>
    <row r="1471" spans="1:35">
      <c r="A1471">
        <f t="shared" si="195"/>
        <v>1</v>
      </c>
      <c r="B1471">
        <f t="shared" si="196"/>
        <v>0</v>
      </c>
      <c r="C1471">
        <f t="shared" si="197"/>
        <v>0</v>
      </c>
      <c r="D1471">
        <f t="shared" si="198"/>
        <v>1</v>
      </c>
      <c r="E1471">
        <f t="shared" si="199"/>
        <v>0</v>
      </c>
      <c r="F1471">
        <f t="shared" si="200"/>
        <v>1</v>
      </c>
      <c r="G1471">
        <f t="shared" si="201"/>
        <v>1</v>
      </c>
      <c r="H1471">
        <v>0</v>
      </c>
      <c r="I1471">
        <f t="shared" si="202"/>
        <v>0</v>
      </c>
      <c r="J1471">
        <f t="shared" si="194"/>
        <v>13.768670082092289</v>
      </c>
      <c r="K1471" t="s">
        <v>893</v>
      </c>
      <c r="L1471" t="s">
        <v>894</v>
      </c>
      <c r="M1471" t="s">
        <v>27</v>
      </c>
      <c r="N1471" t="s">
        <v>27</v>
      </c>
      <c r="O1471">
        <v>14.55</v>
      </c>
      <c r="P1471">
        <v>7.2293238639831499</v>
      </c>
      <c r="Q1471">
        <v>6.1020030975341797</v>
      </c>
      <c r="R1471">
        <v>18.190000534057599</v>
      </c>
      <c r="S1471">
        <v>11.5</v>
      </c>
      <c r="T1471">
        <v>36.520751953125</v>
      </c>
      <c r="U1471">
        <v>11.9157657623291</v>
      </c>
      <c r="V1471">
        <v>-4053000</v>
      </c>
      <c r="W1471">
        <v>4.1081781387329102</v>
      </c>
      <c r="X1471">
        <v>-8.5000000894069699E-2</v>
      </c>
      <c r="Y1471">
        <v>11.5510196685791</v>
      </c>
      <c r="Z1471">
        <v>7.6666669845581099</v>
      </c>
      <c r="AA1471">
        <v>25906000</v>
      </c>
      <c r="AB1471" t="s">
        <v>52</v>
      </c>
      <c r="AC1471" t="s">
        <v>56</v>
      </c>
      <c r="AD1471">
        <v>0.31999999284744302</v>
      </c>
      <c r="AE1471">
        <v>13.825059890747101</v>
      </c>
      <c r="AF1471">
        <v>4.6137651807146796</v>
      </c>
      <c r="AG1471">
        <v>26274000</v>
      </c>
      <c r="AH1471">
        <v>24.025518417358398</v>
      </c>
      <c r="AI1471">
        <v>2.1088180541992201</v>
      </c>
    </row>
    <row r="1472" spans="1:35">
      <c r="A1472">
        <f t="shared" si="195"/>
        <v>1</v>
      </c>
      <c r="B1472">
        <f t="shared" si="196"/>
        <v>0</v>
      </c>
      <c r="C1472">
        <f t="shared" si="197"/>
        <v>1</v>
      </c>
      <c r="D1472">
        <f t="shared" si="198"/>
        <v>1</v>
      </c>
      <c r="E1472">
        <f t="shared" si="199"/>
        <v>0</v>
      </c>
      <c r="F1472">
        <f t="shared" si="200"/>
        <v>1</v>
      </c>
      <c r="G1472">
        <f t="shared" si="201"/>
        <v>0</v>
      </c>
      <c r="H1472">
        <v>0</v>
      </c>
      <c r="I1472">
        <f t="shared" si="202"/>
        <v>1</v>
      </c>
      <c r="J1472">
        <f t="shared" si="194"/>
        <v>13.74571466445923</v>
      </c>
      <c r="K1472" t="s">
        <v>3827</v>
      </c>
      <c r="L1472" t="s">
        <v>3828</v>
      </c>
      <c r="M1472" t="s">
        <v>27</v>
      </c>
      <c r="N1472" t="s">
        <v>27</v>
      </c>
      <c r="O1472">
        <v>15.73</v>
      </c>
      <c r="P1472">
        <v>8.0092487335205096</v>
      </c>
      <c r="Q1472">
        <v>7.0049738883972203</v>
      </c>
      <c r="R1472">
        <v>14.199999809265099</v>
      </c>
      <c r="S1472">
        <v>10.3125</v>
      </c>
      <c r="T1472">
        <v>10.097612380981399</v>
      </c>
      <c r="U1472" t="s">
        <v>27</v>
      </c>
      <c r="V1472">
        <v>7278000</v>
      </c>
      <c r="W1472">
        <v>1.3280669450759901</v>
      </c>
      <c r="X1472">
        <v>0.23999999869953501</v>
      </c>
      <c r="Y1472">
        <v>9.08062839508057</v>
      </c>
      <c r="Z1472">
        <v>6.7407407760620099</v>
      </c>
      <c r="AA1472">
        <v>16643000</v>
      </c>
      <c r="AB1472" t="s">
        <v>27</v>
      </c>
      <c r="AC1472" t="s">
        <v>27</v>
      </c>
      <c r="AD1472">
        <v>0.25</v>
      </c>
      <c r="AE1472" t="s">
        <v>27</v>
      </c>
      <c r="AF1472" t="s">
        <v>27</v>
      </c>
      <c r="AG1472">
        <v>16179000</v>
      </c>
      <c r="AH1472">
        <v>6.8231258392334002</v>
      </c>
      <c r="AI1472">
        <v>0.85767602920532204</v>
      </c>
    </row>
    <row r="1473" spans="1:35">
      <c r="A1473">
        <f t="shared" si="195"/>
        <v>1</v>
      </c>
      <c r="B1473">
        <f t="shared" si="196"/>
        <v>0</v>
      </c>
      <c r="C1473">
        <f t="shared" si="197"/>
        <v>1</v>
      </c>
      <c r="D1473">
        <f t="shared" si="198"/>
        <v>0</v>
      </c>
      <c r="E1473">
        <f t="shared" si="199"/>
        <v>0</v>
      </c>
      <c r="F1473">
        <f t="shared" si="200"/>
        <v>1</v>
      </c>
      <c r="G1473">
        <f t="shared" si="201"/>
        <v>0</v>
      </c>
      <c r="H1473">
        <v>0</v>
      </c>
      <c r="I1473">
        <f t="shared" si="202"/>
        <v>1</v>
      </c>
      <c r="J1473">
        <f t="shared" si="194"/>
        <v>13.725975036621101</v>
      </c>
      <c r="K1473" t="s">
        <v>2390</v>
      </c>
      <c r="L1473" t="s">
        <v>2391</v>
      </c>
      <c r="M1473" t="s">
        <v>27</v>
      </c>
      <c r="N1473" t="s">
        <v>27</v>
      </c>
      <c r="O1473">
        <v>17.45</v>
      </c>
      <c r="P1473">
        <v>7.1540379524231001</v>
      </c>
      <c r="Q1473">
        <v>7.0126881599426296</v>
      </c>
      <c r="R1473">
        <v>13.6000003814697</v>
      </c>
      <c r="S1473">
        <v>17</v>
      </c>
      <c r="T1473">
        <v>15.262612342834499</v>
      </c>
      <c r="U1473" t="s">
        <v>27</v>
      </c>
      <c r="V1473">
        <v>18549000</v>
      </c>
      <c r="W1473">
        <v>1.4306329488754299</v>
      </c>
      <c r="X1473">
        <v>0.21999999880790699</v>
      </c>
      <c r="Y1473">
        <v>8</v>
      </c>
      <c r="Z1473">
        <v>6.7132868766784703</v>
      </c>
      <c r="AA1473">
        <v>23693000</v>
      </c>
      <c r="AB1473" t="s">
        <v>34</v>
      </c>
      <c r="AC1473" t="s">
        <v>35</v>
      </c>
      <c r="AD1473">
        <v>3.9999999105930301E-2</v>
      </c>
      <c r="AE1473" t="s">
        <v>27</v>
      </c>
      <c r="AF1473" t="s">
        <v>27</v>
      </c>
      <c r="AG1473">
        <v>24336000</v>
      </c>
      <c r="AH1473">
        <v>12.7472219467163</v>
      </c>
      <c r="AI1473">
        <v>0.47288900613784801</v>
      </c>
    </row>
    <row r="1474" spans="1:35">
      <c r="A1474">
        <f t="shared" si="195"/>
        <v>0</v>
      </c>
      <c r="B1474">
        <f t="shared" si="196"/>
        <v>0</v>
      </c>
      <c r="C1474">
        <f t="shared" si="197"/>
        <v>1</v>
      </c>
      <c r="D1474">
        <f t="shared" si="198"/>
        <v>1</v>
      </c>
      <c r="E1474">
        <f t="shared" si="199"/>
        <v>0</v>
      </c>
      <c r="F1474">
        <f t="shared" si="200"/>
        <v>1</v>
      </c>
      <c r="G1474">
        <f t="shared" si="201"/>
        <v>0</v>
      </c>
      <c r="H1474">
        <v>0</v>
      </c>
      <c r="I1474">
        <f t="shared" si="202"/>
        <v>1</v>
      </c>
      <c r="J1474">
        <f t="shared" si="194"/>
        <v>13.69975757598877</v>
      </c>
      <c r="K1474" t="s">
        <v>1350</v>
      </c>
      <c r="L1474" t="s">
        <v>1351</v>
      </c>
      <c r="M1474" t="s">
        <v>27</v>
      </c>
      <c r="N1474" t="s">
        <v>27</v>
      </c>
      <c r="O1474">
        <v>29.140999999999998</v>
      </c>
      <c r="P1474">
        <v>8.6584157943725604</v>
      </c>
      <c r="Q1474">
        <v>7.0889987945556596</v>
      </c>
      <c r="R1474">
        <v>26.727272380482098</v>
      </c>
      <c r="S1474">
        <v>16.931818181818201</v>
      </c>
      <c r="T1474">
        <v>15.137199401855501</v>
      </c>
      <c r="U1474" t="s">
        <v>27</v>
      </c>
      <c r="V1474">
        <v>430000</v>
      </c>
      <c r="W1474" t="s">
        <v>27</v>
      </c>
      <c r="X1474">
        <v>0.459999983960932</v>
      </c>
      <c r="Y1474">
        <v>12.3500003814697</v>
      </c>
      <c r="Z1474">
        <v>6.6107587814331099</v>
      </c>
      <c r="AA1474">
        <v>9498500</v>
      </c>
      <c r="AB1474" t="s">
        <v>34</v>
      </c>
      <c r="AC1474" t="s">
        <v>35</v>
      </c>
      <c r="AD1474">
        <v>0.50909091125835104</v>
      </c>
      <c r="AE1474" t="s">
        <v>27</v>
      </c>
      <c r="AF1474" t="s">
        <v>27</v>
      </c>
      <c r="AG1474">
        <v>9942900</v>
      </c>
      <c r="AH1474">
        <v>16.2532348632813</v>
      </c>
      <c r="AI1474">
        <v>1.47976398468018</v>
      </c>
    </row>
    <row r="1475" spans="1:35">
      <c r="A1475">
        <f t="shared" si="195"/>
        <v>0</v>
      </c>
      <c r="B1475">
        <f t="shared" si="196"/>
        <v>1</v>
      </c>
      <c r="C1475">
        <f t="shared" si="197"/>
        <v>1</v>
      </c>
      <c r="D1475">
        <f t="shared" si="198"/>
        <v>0</v>
      </c>
      <c r="E1475">
        <f t="shared" si="199"/>
        <v>0</v>
      </c>
      <c r="F1475">
        <f t="shared" si="200"/>
        <v>1</v>
      </c>
      <c r="G1475">
        <f t="shared" si="201"/>
        <v>0</v>
      </c>
      <c r="H1475">
        <v>0</v>
      </c>
      <c r="I1475">
        <f t="shared" si="202"/>
        <v>0</v>
      </c>
      <c r="J1475">
        <f t="shared" si="194"/>
        <v>13.698904037475589</v>
      </c>
      <c r="K1475" t="s">
        <v>645</v>
      </c>
      <c r="L1475" t="s">
        <v>646</v>
      </c>
      <c r="M1475" t="s">
        <v>27</v>
      </c>
      <c r="N1475" t="s">
        <v>27</v>
      </c>
      <c r="O1475">
        <v>25.7</v>
      </c>
      <c r="P1475">
        <v>9.0839471817016602</v>
      </c>
      <c r="Q1475">
        <v>8.1516332626342791</v>
      </c>
      <c r="R1475">
        <v>43.950000762939503</v>
      </c>
      <c r="S1475">
        <v>44.75</v>
      </c>
      <c r="T1475">
        <v>32.0542182922363</v>
      </c>
      <c r="U1475">
        <v>36.263858795166001</v>
      </c>
      <c r="V1475">
        <v>7613001</v>
      </c>
      <c r="W1475">
        <v>5.9087271690368697</v>
      </c>
      <c r="X1475">
        <v>0.44999998807907099</v>
      </c>
      <c r="Y1475">
        <v>5.2432432174682599</v>
      </c>
      <c r="Z1475">
        <v>5.5472707748413104</v>
      </c>
      <c r="AA1475">
        <v>25193000</v>
      </c>
      <c r="AB1475" t="s">
        <v>73</v>
      </c>
      <c r="AC1475" t="s">
        <v>177</v>
      </c>
      <c r="AD1475">
        <v>0.31000000238418601</v>
      </c>
      <c r="AE1475">
        <v>34.038131713867202</v>
      </c>
      <c r="AF1475">
        <v>7.9550637432742697</v>
      </c>
      <c r="AG1475">
        <v>25757000</v>
      </c>
      <c r="AH1475">
        <v>36.569953918457003</v>
      </c>
      <c r="AI1475">
        <v>7.3231391906738299</v>
      </c>
    </row>
    <row r="1476" spans="1:35">
      <c r="A1476">
        <f t="shared" si="195"/>
        <v>1</v>
      </c>
      <c r="B1476">
        <f t="shared" si="196"/>
        <v>0</v>
      </c>
      <c r="C1476">
        <f t="shared" si="197"/>
        <v>0</v>
      </c>
      <c r="D1476">
        <f t="shared" si="198"/>
        <v>1</v>
      </c>
      <c r="E1476">
        <f t="shared" si="199"/>
        <v>0</v>
      </c>
      <c r="F1476">
        <f t="shared" si="200"/>
        <v>1</v>
      </c>
      <c r="G1476">
        <f t="shared" si="201"/>
        <v>0</v>
      </c>
      <c r="H1476">
        <v>0</v>
      </c>
      <c r="I1476">
        <f t="shared" si="202"/>
        <v>1</v>
      </c>
      <c r="J1476">
        <f t="shared" si="194"/>
        <v>13.65308284759522</v>
      </c>
      <c r="K1476" t="s">
        <v>1071</v>
      </c>
      <c r="L1476" t="s">
        <v>1072</v>
      </c>
      <c r="M1476" t="s">
        <v>27</v>
      </c>
      <c r="N1476" t="s">
        <v>27</v>
      </c>
      <c r="O1476">
        <v>31.55</v>
      </c>
      <c r="P1476">
        <v>10.332055091857899</v>
      </c>
      <c r="Q1476">
        <v>7.7610030174255398</v>
      </c>
      <c r="R1476">
        <v>11.920000076293899</v>
      </c>
      <c r="S1476">
        <v>8.125</v>
      </c>
      <c r="T1476">
        <v>70.817878723144503</v>
      </c>
      <c r="U1476">
        <v>50.539356231689503</v>
      </c>
      <c r="V1476">
        <v>-5928000</v>
      </c>
      <c r="W1476">
        <v>2.8264720439910902</v>
      </c>
      <c r="X1476">
        <v>-5.9000000357627903E-2</v>
      </c>
      <c r="Y1476">
        <v>10.3480520248413</v>
      </c>
      <c r="Z1476">
        <v>5.8920798301696804</v>
      </c>
      <c r="AA1476">
        <v>3452000</v>
      </c>
      <c r="AB1476" t="s">
        <v>30</v>
      </c>
      <c r="AC1476" t="s">
        <v>68</v>
      </c>
      <c r="AD1476">
        <v>-5.0000000745058101E-2</v>
      </c>
      <c r="AE1476">
        <v>50.508975982666001</v>
      </c>
      <c r="AF1476">
        <v>5.5316837378592796</v>
      </c>
      <c r="AG1476">
        <v>3480000</v>
      </c>
      <c r="AH1476">
        <v>69.577751159667997</v>
      </c>
      <c r="AI1476">
        <v>1.8982189893722501</v>
      </c>
    </row>
    <row r="1477" spans="1:35">
      <c r="A1477">
        <f t="shared" si="195"/>
        <v>1</v>
      </c>
      <c r="B1477">
        <f t="shared" si="196"/>
        <v>0</v>
      </c>
      <c r="C1477">
        <f t="shared" si="197"/>
        <v>1</v>
      </c>
      <c r="D1477">
        <f t="shared" si="198"/>
        <v>0</v>
      </c>
      <c r="E1477">
        <f t="shared" si="199"/>
        <v>0</v>
      </c>
      <c r="F1477">
        <f t="shared" si="200"/>
        <v>1</v>
      </c>
      <c r="G1477">
        <f t="shared" si="201"/>
        <v>0</v>
      </c>
      <c r="H1477">
        <v>0</v>
      </c>
      <c r="I1477">
        <f t="shared" si="202"/>
        <v>0</v>
      </c>
      <c r="J1477">
        <f t="shared" si="194"/>
        <v>13.64593505859375</v>
      </c>
      <c r="K1477" t="s">
        <v>568</v>
      </c>
      <c r="L1477" t="s">
        <v>569</v>
      </c>
      <c r="M1477" t="s">
        <v>27</v>
      </c>
      <c r="N1477" t="s">
        <v>27</v>
      </c>
      <c r="O1477">
        <v>26.56</v>
      </c>
      <c r="P1477">
        <v>14.690192222595201</v>
      </c>
      <c r="Q1477">
        <v>9.5649480819702095</v>
      </c>
      <c r="R1477">
        <v>36.799999237060497</v>
      </c>
      <c r="S1477">
        <v>37.099998474121101</v>
      </c>
      <c r="T1477">
        <v>2.0840699672699001</v>
      </c>
      <c r="U1477">
        <v>54.878143310546903</v>
      </c>
      <c r="V1477">
        <v>15608001</v>
      </c>
      <c r="W1477">
        <v>12.5994663238525</v>
      </c>
      <c r="X1477">
        <v>0.5</v>
      </c>
      <c r="Y1477">
        <v>6.0645160675048801</v>
      </c>
      <c r="Z1477">
        <v>4.0809869766235396</v>
      </c>
      <c r="AA1477">
        <v>22744000</v>
      </c>
      <c r="AB1477" t="s">
        <v>61</v>
      </c>
      <c r="AC1477" t="s">
        <v>77</v>
      </c>
      <c r="AD1477">
        <v>0.34999999403953602</v>
      </c>
      <c r="AE1477">
        <v>51.444221496582003</v>
      </c>
      <c r="AF1477">
        <v>8.6949412733525993</v>
      </c>
      <c r="AG1477">
        <v>22943000</v>
      </c>
      <c r="AH1477">
        <v>1.4358830451965301</v>
      </c>
      <c r="AI1477">
        <v>6.9584679603576696</v>
      </c>
    </row>
    <row r="1478" spans="1:35">
      <c r="A1478">
        <f t="shared" si="195"/>
        <v>1</v>
      </c>
      <c r="B1478">
        <f t="shared" si="196"/>
        <v>0</v>
      </c>
      <c r="C1478">
        <f t="shared" si="197"/>
        <v>1</v>
      </c>
      <c r="D1478">
        <f t="shared" si="198"/>
        <v>1</v>
      </c>
      <c r="E1478">
        <f t="shared" si="199"/>
        <v>0</v>
      </c>
      <c r="F1478">
        <f t="shared" si="200"/>
        <v>1</v>
      </c>
      <c r="G1478">
        <f t="shared" si="201"/>
        <v>0</v>
      </c>
      <c r="H1478">
        <v>0</v>
      </c>
      <c r="I1478">
        <f t="shared" si="202"/>
        <v>0</v>
      </c>
      <c r="J1478">
        <f t="shared" si="194"/>
        <v>13.641923904418951</v>
      </c>
      <c r="K1478" t="s">
        <v>3553</v>
      </c>
      <c r="L1478" t="s">
        <v>3554</v>
      </c>
      <c r="M1478" t="s">
        <v>27</v>
      </c>
      <c r="N1478" t="s">
        <v>27</v>
      </c>
      <c r="O1478">
        <v>24.76</v>
      </c>
      <c r="P1478">
        <v>8.5156307220459002</v>
      </c>
      <c r="Q1478">
        <v>7.1671037673950204</v>
      </c>
      <c r="R1478">
        <v>25.090000152587901</v>
      </c>
      <c r="S1478">
        <v>16.680000305175799</v>
      </c>
      <c r="T1478">
        <v>32.856964111328097</v>
      </c>
      <c r="U1478">
        <v>19.7120685577393</v>
      </c>
      <c r="V1478">
        <v>56100000</v>
      </c>
      <c r="W1478">
        <v>5.6499810218811</v>
      </c>
      <c r="X1478">
        <v>0.18000000715255701</v>
      </c>
      <c r="Y1478">
        <v>8.7787609100341797</v>
      </c>
      <c r="Z1478">
        <v>6.4748201370239302</v>
      </c>
      <c r="AA1478">
        <v>29860000</v>
      </c>
      <c r="AB1478" t="s">
        <v>27</v>
      </c>
      <c r="AC1478" t="s">
        <v>27</v>
      </c>
      <c r="AD1478">
        <v>0.30000001192092901</v>
      </c>
      <c r="AE1478">
        <v>12.9367570877075</v>
      </c>
      <c r="AF1478">
        <v>7.2389583622047198</v>
      </c>
      <c r="AG1478">
        <v>29909000</v>
      </c>
      <c r="AH1478">
        <v>27.277172088623001</v>
      </c>
      <c r="AI1478">
        <v>4.9180331230163601</v>
      </c>
    </row>
    <row r="1479" spans="1:35">
      <c r="A1479">
        <f t="shared" si="195"/>
        <v>1</v>
      </c>
      <c r="B1479">
        <f t="shared" si="196"/>
        <v>1</v>
      </c>
      <c r="C1479">
        <f t="shared" si="197"/>
        <v>0</v>
      </c>
      <c r="D1479">
        <f t="shared" si="198"/>
        <v>0</v>
      </c>
      <c r="E1479">
        <f t="shared" si="199"/>
        <v>0</v>
      </c>
      <c r="F1479">
        <f t="shared" si="200"/>
        <v>1</v>
      </c>
      <c r="G1479">
        <f t="shared" si="201"/>
        <v>0</v>
      </c>
      <c r="H1479">
        <v>0</v>
      </c>
      <c r="I1479">
        <f t="shared" si="202"/>
        <v>0</v>
      </c>
      <c r="J1479">
        <f t="shared" si="194"/>
        <v>13.6302547454834</v>
      </c>
      <c r="K1479" t="s">
        <v>2454</v>
      </c>
      <c r="L1479" t="s">
        <v>2455</v>
      </c>
      <c r="M1479" t="s">
        <v>27</v>
      </c>
      <c r="N1479" t="s">
        <v>27</v>
      </c>
      <c r="O1479">
        <v>26.02</v>
      </c>
      <c r="P1479">
        <v>5.4695777893066397</v>
      </c>
      <c r="Q1479">
        <v>6.1911778450012198</v>
      </c>
      <c r="R1479">
        <v>26.149999618530298</v>
      </c>
      <c r="S1479">
        <v>24.0100002288818</v>
      </c>
      <c r="T1479">
        <v>40.100631713867202</v>
      </c>
      <c r="U1479">
        <v>58.062198638916001</v>
      </c>
      <c r="V1479">
        <v>-42205000</v>
      </c>
      <c r="W1479">
        <v>3.7186410427093501</v>
      </c>
      <c r="X1479">
        <v>-0.21999999880790699</v>
      </c>
      <c r="Y1479">
        <v>6.54382419586182</v>
      </c>
      <c r="Z1479">
        <v>7.4390769004821804</v>
      </c>
      <c r="AA1479">
        <v>25175000</v>
      </c>
      <c r="AB1479" t="s">
        <v>254</v>
      </c>
      <c r="AC1479" t="s">
        <v>400</v>
      </c>
      <c r="AD1479">
        <v>-0.21999999880790699</v>
      </c>
      <c r="AE1479">
        <v>47.304073333740199</v>
      </c>
      <c r="AF1479">
        <v>6.7075895148696896</v>
      </c>
      <c r="AG1479">
        <v>25173000</v>
      </c>
      <c r="AH1479">
        <v>36.700210571289098</v>
      </c>
      <c r="AI1479">
        <v>3.9810779094696001</v>
      </c>
    </row>
    <row r="1480" spans="1:35">
      <c r="A1480">
        <f t="shared" si="195"/>
        <v>1</v>
      </c>
      <c r="B1480">
        <f t="shared" si="196"/>
        <v>0</v>
      </c>
      <c r="C1480">
        <f t="shared" si="197"/>
        <v>0</v>
      </c>
      <c r="D1480">
        <f t="shared" si="198"/>
        <v>1</v>
      </c>
      <c r="E1480">
        <f t="shared" si="199"/>
        <v>0</v>
      </c>
      <c r="F1480">
        <f t="shared" si="200"/>
        <v>1</v>
      </c>
      <c r="G1480">
        <f t="shared" si="201"/>
        <v>0</v>
      </c>
      <c r="H1480">
        <v>0</v>
      </c>
      <c r="I1480">
        <f t="shared" si="202"/>
        <v>1</v>
      </c>
      <c r="J1480">
        <f t="shared" si="194"/>
        <v>13.61934757232666</v>
      </c>
      <c r="K1480" t="s">
        <v>1358</v>
      </c>
      <c r="L1480" t="s">
        <v>1359</v>
      </c>
      <c r="M1480" t="s">
        <v>27</v>
      </c>
      <c r="N1480" t="s">
        <v>27</v>
      </c>
      <c r="O1480">
        <v>20.23</v>
      </c>
      <c r="P1480">
        <v>4.2566399574279803</v>
      </c>
      <c r="Q1480">
        <v>4.4918308258056596</v>
      </c>
      <c r="R1480">
        <v>15.5</v>
      </c>
      <c r="S1480">
        <v>14.5</v>
      </c>
      <c r="T1480">
        <v>20.410690307617202</v>
      </c>
      <c r="U1480" t="s">
        <v>27</v>
      </c>
      <c r="V1480">
        <v>-83999.9921875</v>
      </c>
      <c r="W1480">
        <v>1.1594250202178999</v>
      </c>
      <c r="X1480">
        <v>0.31999999284744302</v>
      </c>
      <c r="Y1480">
        <v>9.8274106979370099</v>
      </c>
      <c r="Z1480">
        <v>9.1275167465209996</v>
      </c>
      <c r="AA1480">
        <v>18324000</v>
      </c>
      <c r="AB1480" t="s">
        <v>27</v>
      </c>
      <c r="AC1480" t="s">
        <v>27</v>
      </c>
      <c r="AD1480">
        <v>0.36000001430511502</v>
      </c>
      <c r="AE1480" t="s">
        <v>27</v>
      </c>
      <c r="AF1480" t="s">
        <v>27</v>
      </c>
      <c r="AG1480">
        <v>18257000</v>
      </c>
      <c r="AH1480">
        <v>15.961092948913601</v>
      </c>
      <c r="AI1480">
        <v>1.0431159734726001</v>
      </c>
    </row>
    <row r="1481" spans="1:35">
      <c r="A1481">
        <f t="shared" si="195"/>
        <v>1</v>
      </c>
      <c r="B1481">
        <f t="shared" si="196"/>
        <v>0</v>
      </c>
      <c r="C1481">
        <f t="shared" si="197"/>
        <v>1</v>
      </c>
      <c r="D1481">
        <f t="shared" si="198"/>
        <v>1</v>
      </c>
      <c r="E1481">
        <f t="shared" si="199"/>
        <v>0</v>
      </c>
      <c r="F1481">
        <f t="shared" si="200"/>
        <v>1</v>
      </c>
      <c r="G1481">
        <f t="shared" si="201"/>
        <v>0</v>
      </c>
      <c r="H1481">
        <v>0</v>
      </c>
      <c r="I1481">
        <f t="shared" si="202"/>
        <v>1</v>
      </c>
      <c r="J1481">
        <f t="shared" si="194"/>
        <v>13.61415004730225</v>
      </c>
      <c r="K1481" t="s">
        <v>1342</v>
      </c>
      <c r="L1481" t="s">
        <v>1343</v>
      </c>
      <c r="M1481" t="s">
        <v>27</v>
      </c>
      <c r="N1481" t="s">
        <v>27</v>
      </c>
      <c r="O1481">
        <v>23.7</v>
      </c>
      <c r="P1481">
        <v>9.0172863006591797</v>
      </c>
      <c r="Q1481">
        <v>8.0417079925537092</v>
      </c>
      <c r="R1481">
        <v>20.450000762939499</v>
      </c>
      <c r="S1481">
        <v>20.171875</v>
      </c>
      <c r="T1481">
        <v>8.7847938537597692</v>
      </c>
      <c r="U1481" t="s">
        <v>27</v>
      </c>
      <c r="V1481">
        <v>15295000</v>
      </c>
      <c r="W1481">
        <v>1.1414259672164899</v>
      </c>
      <c r="X1481">
        <v>0.270000010728836</v>
      </c>
      <c r="Y1481">
        <v>5.4594588279724103</v>
      </c>
      <c r="Z1481">
        <v>5.5724420547485396</v>
      </c>
      <c r="AA1481">
        <v>13462000</v>
      </c>
      <c r="AB1481" t="s">
        <v>34</v>
      </c>
      <c r="AC1481" t="s">
        <v>35</v>
      </c>
      <c r="AD1481">
        <v>0.28999999165535001</v>
      </c>
      <c r="AE1481" t="s">
        <v>27</v>
      </c>
      <c r="AF1481" t="s">
        <v>27</v>
      </c>
      <c r="AG1481">
        <v>13660000</v>
      </c>
      <c r="AH1481">
        <v>6.6730718612670898</v>
      </c>
      <c r="AI1481">
        <v>1.08010005950928</v>
      </c>
    </row>
    <row r="1482" spans="1:35">
      <c r="A1482">
        <f t="shared" si="195"/>
        <v>0</v>
      </c>
      <c r="B1482">
        <f t="shared" si="196"/>
        <v>1</v>
      </c>
      <c r="C1482">
        <f t="shared" si="197"/>
        <v>0</v>
      </c>
      <c r="D1482">
        <f t="shared" si="198"/>
        <v>1</v>
      </c>
      <c r="E1482">
        <f t="shared" si="199"/>
        <v>0</v>
      </c>
      <c r="F1482">
        <f t="shared" si="200"/>
        <v>1</v>
      </c>
      <c r="G1482">
        <f t="shared" si="201"/>
        <v>0</v>
      </c>
      <c r="H1482">
        <v>0</v>
      </c>
      <c r="I1482">
        <f t="shared" si="202"/>
        <v>0</v>
      </c>
      <c r="J1482">
        <f t="shared" si="194"/>
        <v>13.595897197723389</v>
      </c>
      <c r="K1482" t="s">
        <v>713</v>
      </c>
      <c r="L1482" t="s">
        <v>714</v>
      </c>
      <c r="M1482" t="s">
        <v>27</v>
      </c>
      <c r="N1482" t="s">
        <v>27</v>
      </c>
      <c r="O1482">
        <v>24.11</v>
      </c>
      <c r="P1482">
        <v>3.9409821033477801</v>
      </c>
      <c r="Q1482">
        <v>4.0196261405944798</v>
      </c>
      <c r="R1482">
        <v>24.549999237060501</v>
      </c>
      <c r="S1482">
        <v>21.625</v>
      </c>
      <c r="T1482">
        <v>22.494657516479499</v>
      </c>
      <c r="U1482" t="s">
        <v>27</v>
      </c>
      <c r="V1482">
        <v>-14167000</v>
      </c>
      <c r="W1482">
        <v>1.3076870441436801</v>
      </c>
      <c r="X1482">
        <v>0.50999999046325695</v>
      </c>
      <c r="Y1482">
        <v>10.737541198730501</v>
      </c>
      <c r="Z1482">
        <v>9.5762710571289098</v>
      </c>
      <c r="AA1482">
        <v>8608000</v>
      </c>
      <c r="AB1482" t="s">
        <v>27</v>
      </c>
      <c r="AC1482" t="s">
        <v>27</v>
      </c>
      <c r="AD1482">
        <v>0.61000001430511497</v>
      </c>
      <c r="AE1482" t="s">
        <v>27</v>
      </c>
      <c r="AF1482" t="s">
        <v>27</v>
      </c>
      <c r="AG1482">
        <v>8620000</v>
      </c>
      <c r="AH1482">
        <v>28.875955581665</v>
      </c>
      <c r="AI1482">
        <v>1.3617919683456401</v>
      </c>
    </row>
    <row r="1483" spans="1:35">
      <c r="A1483">
        <f t="shared" si="195"/>
        <v>0</v>
      </c>
      <c r="B1483">
        <f t="shared" si="196"/>
        <v>0</v>
      </c>
      <c r="C1483">
        <f t="shared" si="197"/>
        <v>0</v>
      </c>
      <c r="D1483">
        <f t="shared" si="198"/>
        <v>0</v>
      </c>
      <c r="E1483">
        <f t="shared" si="199"/>
        <v>0</v>
      </c>
      <c r="F1483">
        <f t="shared" si="200"/>
        <v>1</v>
      </c>
      <c r="G1483">
        <f t="shared" si="201"/>
        <v>0</v>
      </c>
      <c r="H1483">
        <v>0</v>
      </c>
      <c r="I1483">
        <f t="shared" si="202"/>
        <v>0</v>
      </c>
      <c r="J1483">
        <f t="shared" si="194"/>
        <v>13.59309101104736</v>
      </c>
      <c r="K1483" t="s">
        <v>1211</v>
      </c>
      <c r="L1483" t="s">
        <v>1212</v>
      </c>
      <c r="M1483" t="s">
        <v>27</v>
      </c>
      <c r="N1483" t="s">
        <v>27</v>
      </c>
      <c r="O1483">
        <v>26.21</v>
      </c>
      <c r="P1483">
        <v>8.1353502273559606</v>
      </c>
      <c r="Q1483">
        <v>6.6045851707458496</v>
      </c>
      <c r="R1483">
        <v>27.25</v>
      </c>
      <c r="S1483">
        <v>21</v>
      </c>
      <c r="T1483">
        <v>38.443660736083999</v>
      </c>
      <c r="U1483">
        <v>77.283287048339801</v>
      </c>
      <c r="V1483">
        <v>-4653002.5</v>
      </c>
      <c r="W1483">
        <v>5.15637111663818</v>
      </c>
      <c r="X1483">
        <v>0.18000000715255701</v>
      </c>
      <c r="Y1483">
        <v>8.8500003814697301</v>
      </c>
      <c r="Z1483">
        <v>6.9885058403015101</v>
      </c>
      <c r="AA1483">
        <v>4912000</v>
      </c>
      <c r="AB1483" t="s">
        <v>27</v>
      </c>
      <c r="AC1483" t="s">
        <v>27</v>
      </c>
      <c r="AD1483">
        <v>0.140000000596046</v>
      </c>
      <c r="AE1483">
        <v>72.348167419433594</v>
      </c>
      <c r="AF1483">
        <v>7.24670411794611</v>
      </c>
      <c r="AG1483">
        <v>4937000</v>
      </c>
      <c r="AH1483">
        <v>48.291084289550803</v>
      </c>
      <c r="AI1483">
        <v>3.1784000396728498</v>
      </c>
    </row>
    <row r="1484" spans="1:35">
      <c r="A1484">
        <f t="shared" si="195"/>
        <v>0</v>
      </c>
      <c r="B1484">
        <f t="shared" si="196"/>
        <v>1</v>
      </c>
      <c r="C1484">
        <f t="shared" si="197"/>
        <v>1</v>
      </c>
      <c r="D1484">
        <f t="shared" si="198"/>
        <v>0</v>
      </c>
      <c r="E1484">
        <f t="shared" si="199"/>
        <v>0</v>
      </c>
      <c r="F1484">
        <f t="shared" si="200"/>
        <v>1</v>
      </c>
      <c r="G1484">
        <f t="shared" si="201"/>
        <v>0</v>
      </c>
      <c r="H1484">
        <v>0</v>
      </c>
      <c r="I1484">
        <f t="shared" si="202"/>
        <v>0</v>
      </c>
      <c r="J1484">
        <f t="shared" si="194"/>
        <v>13.56273412704468</v>
      </c>
      <c r="K1484" t="s">
        <v>1166</v>
      </c>
      <c r="L1484" t="s">
        <v>1167</v>
      </c>
      <c r="M1484" t="s">
        <v>27</v>
      </c>
      <c r="N1484" t="s">
        <v>27</v>
      </c>
      <c r="O1484">
        <v>11.25</v>
      </c>
      <c r="P1484">
        <v>11.581647872924799</v>
      </c>
      <c r="Q1484">
        <v>7.1263132095336896</v>
      </c>
      <c r="R1484">
        <v>12.930000305175801</v>
      </c>
      <c r="S1484">
        <v>16.1875</v>
      </c>
      <c r="T1484">
        <v>0</v>
      </c>
      <c r="U1484">
        <v>89.102478027343807</v>
      </c>
      <c r="V1484">
        <v>8750000</v>
      </c>
      <c r="W1484">
        <v>7.3649578094482404</v>
      </c>
      <c r="X1484">
        <v>0.36000001430511502</v>
      </c>
      <c r="Y1484">
        <v>10.5217390060425</v>
      </c>
      <c r="Z1484">
        <v>6.4364209175109899</v>
      </c>
      <c r="AA1484">
        <v>24385000</v>
      </c>
      <c r="AB1484" t="s">
        <v>38</v>
      </c>
      <c r="AC1484" t="s">
        <v>146</v>
      </c>
      <c r="AD1484">
        <v>0.129999995231628</v>
      </c>
      <c r="AE1484">
        <v>84.7445068359375</v>
      </c>
      <c r="AF1484">
        <v>2.1138172288128998</v>
      </c>
      <c r="AG1484">
        <v>24590000</v>
      </c>
      <c r="AH1484">
        <v>0</v>
      </c>
      <c r="AI1484">
        <v>9.9249801635742205</v>
      </c>
    </row>
    <row r="1485" spans="1:35">
      <c r="A1485">
        <f t="shared" si="195"/>
        <v>0</v>
      </c>
      <c r="B1485">
        <f t="shared" si="196"/>
        <v>0</v>
      </c>
      <c r="C1485">
        <f t="shared" si="197"/>
        <v>1</v>
      </c>
      <c r="D1485">
        <f t="shared" si="198"/>
        <v>0</v>
      </c>
      <c r="E1485">
        <f t="shared" si="199"/>
        <v>0</v>
      </c>
      <c r="F1485">
        <f t="shared" si="200"/>
        <v>1</v>
      </c>
      <c r="G1485">
        <f t="shared" si="201"/>
        <v>1</v>
      </c>
      <c r="H1485">
        <v>0</v>
      </c>
      <c r="I1485">
        <f t="shared" si="202"/>
        <v>0</v>
      </c>
      <c r="J1485">
        <f t="shared" si="194"/>
        <v>13.5439100265503</v>
      </c>
      <c r="K1485" t="s">
        <v>3452</v>
      </c>
      <c r="L1485" t="s">
        <v>3453</v>
      </c>
      <c r="M1485" t="s">
        <v>27</v>
      </c>
      <c r="N1485" t="s">
        <v>27</v>
      </c>
      <c r="O1485">
        <v>42.6</v>
      </c>
      <c r="P1485">
        <v>8.0630874633789098</v>
      </c>
      <c r="Q1485">
        <v>5.8786339759826696</v>
      </c>
      <c r="R1485">
        <v>48.450000762939503</v>
      </c>
      <c r="S1485">
        <v>49.4375</v>
      </c>
      <c r="T1485">
        <v>1.2724449634552</v>
      </c>
      <c r="U1485">
        <v>12.3853158950806</v>
      </c>
      <c r="V1485">
        <v>32700000</v>
      </c>
      <c r="W1485">
        <v>9.13330078125</v>
      </c>
      <c r="X1485">
        <v>0.730000019073486</v>
      </c>
      <c r="Y1485">
        <v>12.2985067367554</v>
      </c>
      <c r="Z1485">
        <v>7.6652760505676296</v>
      </c>
      <c r="AA1485">
        <v>18920000</v>
      </c>
      <c r="AB1485" t="s">
        <v>61</v>
      </c>
      <c r="AC1485" t="s">
        <v>101</v>
      </c>
      <c r="AD1485">
        <v>0.28000000119209301</v>
      </c>
      <c r="AE1485">
        <v>15.8735256195068</v>
      </c>
      <c r="AF1485">
        <v>3.1276682208589</v>
      </c>
      <c r="AG1485">
        <v>18483000</v>
      </c>
      <c r="AH1485">
        <v>1.39952504634857</v>
      </c>
      <c r="AI1485">
        <v>4.2557301521301296</v>
      </c>
    </row>
    <row r="1486" spans="1:35">
      <c r="A1486">
        <f t="shared" si="195"/>
        <v>1</v>
      </c>
      <c r="B1486">
        <f t="shared" si="196"/>
        <v>1</v>
      </c>
      <c r="C1486">
        <f t="shared" si="197"/>
        <v>1</v>
      </c>
      <c r="D1486">
        <f t="shared" si="198"/>
        <v>1</v>
      </c>
      <c r="E1486">
        <f t="shared" si="199"/>
        <v>0</v>
      </c>
      <c r="F1486">
        <f t="shared" si="200"/>
        <v>1</v>
      </c>
      <c r="G1486">
        <f t="shared" si="201"/>
        <v>0</v>
      </c>
      <c r="H1486">
        <v>0</v>
      </c>
      <c r="I1486">
        <f t="shared" si="202"/>
        <v>0</v>
      </c>
      <c r="J1486">
        <f t="shared" si="194"/>
        <v>13.52710103988648</v>
      </c>
      <c r="K1486" t="s">
        <v>846</v>
      </c>
      <c r="L1486" t="s">
        <v>847</v>
      </c>
      <c r="M1486" t="s">
        <v>27</v>
      </c>
      <c r="N1486" t="s">
        <v>27</v>
      </c>
      <c r="O1486">
        <v>13.5</v>
      </c>
      <c r="P1486">
        <v>6.52817583084106</v>
      </c>
      <c r="Q1486">
        <v>6.87984323501587</v>
      </c>
      <c r="R1486">
        <v>20.7299995422363</v>
      </c>
      <c r="S1486">
        <v>23.3950004577637</v>
      </c>
      <c r="T1486">
        <v>43.317203521728501</v>
      </c>
      <c r="U1486">
        <v>60.5412406921387</v>
      </c>
      <c r="V1486">
        <v>53846996</v>
      </c>
      <c r="W1486">
        <v>3.62299609184265</v>
      </c>
      <c r="X1486">
        <v>0.66000002622604403</v>
      </c>
      <c r="Y1486">
        <v>5.6019339561462402</v>
      </c>
      <c r="Z1486">
        <v>6.6472578048706099</v>
      </c>
      <c r="AA1486">
        <v>44990000</v>
      </c>
      <c r="AB1486" t="s">
        <v>254</v>
      </c>
      <c r="AC1486" t="s">
        <v>848</v>
      </c>
      <c r="AD1486">
        <v>0.68000000715255704</v>
      </c>
      <c r="AE1486">
        <v>54.2864990234375</v>
      </c>
      <c r="AF1486">
        <v>6.2173669458187897</v>
      </c>
      <c r="AG1486">
        <v>44989000</v>
      </c>
      <c r="AH1486">
        <v>42.725505828857401</v>
      </c>
      <c r="AI1486">
        <v>3.75838994979858</v>
      </c>
    </row>
    <row r="1487" spans="1:35">
      <c r="A1487">
        <f t="shared" si="195"/>
        <v>0</v>
      </c>
      <c r="B1487">
        <f t="shared" si="196"/>
        <v>0</v>
      </c>
      <c r="C1487">
        <f t="shared" si="197"/>
        <v>1</v>
      </c>
      <c r="D1487">
        <f t="shared" si="198"/>
        <v>1</v>
      </c>
      <c r="E1487">
        <f t="shared" si="199"/>
        <v>0</v>
      </c>
      <c r="F1487">
        <f t="shared" si="200"/>
        <v>1</v>
      </c>
      <c r="G1487">
        <f t="shared" si="201"/>
        <v>0</v>
      </c>
      <c r="H1487">
        <v>0</v>
      </c>
      <c r="I1487">
        <f t="shared" si="202"/>
        <v>0</v>
      </c>
      <c r="J1487">
        <f t="shared" si="194"/>
        <v>13.52676486968994</v>
      </c>
      <c r="K1487" t="s">
        <v>558</v>
      </c>
      <c r="L1487" t="s">
        <v>559</v>
      </c>
      <c r="M1487" t="s">
        <v>27</v>
      </c>
      <c r="N1487" t="s">
        <v>27</v>
      </c>
      <c r="O1487">
        <v>18.010000000000002</v>
      </c>
      <c r="P1487">
        <v>5.3475098609924299</v>
      </c>
      <c r="Q1487">
        <v>8.9650020599365199</v>
      </c>
      <c r="R1487">
        <v>21.280000686645501</v>
      </c>
      <c r="S1487">
        <v>17</v>
      </c>
      <c r="T1487">
        <v>11.031084060668899</v>
      </c>
      <c r="U1487" t="s">
        <v>27</v>
      </c>
      <c r="V1487">
        <v>7556000.5</v>
      </c>
      <c r="W1487">
        <v>1.4038399457931501</v>
      </c>
      <c r="X1487">
        <v>0.20999999344348899</v>
      </c>
      <c r="Y1487">
        <v>4.6666669845581099</v>
      </c>
      <c r="Z1487">
        <v>4.5617628097534197</v>
      </c>
      <c r="AA1487">
        <v>15551000</v>
      </c>
      <c r="AB1487" t="s">
        <v>34</v>
      </c>
      <c r="AC1487" t="s">
        <v>35</v>
      </c>
      <c r="AD1487">
        <v>0.25</v>
      </c>
      <c r="AE1487" t="s">
        <v>27</v>
      </c>
      <c r="AF1487" t="s">
        <v>27</v>
      </c>
      <c r="AG1487">
        <v>16441999</v>
      </c>
      <c r="AH1487">
        <v>15.7502584457397</v>
      </c>
      <c r="AI1487">
        <v>1.30675101280212</v>
      </c>
    </row>
    <row r="1488" spans="1:35">
      <c r="A1488">
        <f t="shared" si="195"/>
        <v>0</v>
      </c>
      <c r="B1488">
        <f t="shared" si="196"/>
        <v>1</v>
      </c>
      <c r="C1488">
        <f t="shared" si="197"/>
        <v>1</v>
      </c>
      <c r="D1488">
        <f t="shared" si="198"/>
        <v>0</v>
      </c>
      <c r="E1488">
        <f t="shared" si="199"/>
        <v>0</v>
      </c>
      <c r="F1488">
        <f t="shared" si="200"/>
        <v>1</v>
      </c>
      <c r="G1488">
        <f t="shared" si="201"/>
        <v>0</v>
      </c>
      <c r="H1488">
        <v>0</v>
      </c>
      <c r="I1488">
        <f t="shared" si="202"/>
        <v>0</v>
      </c>
      <c r="J1488">
        <f t="shared" si="194"/>
        <v>13.514675140380849</v>
      </c>
      <c r="K1488" t="s">
        <v>1975</v>
      </c>
      <c r="L1488" t="s">
        <v>1976</v>
      </c>
      <c r="M1488" t="s">
        <v>27</v>
      </c>
      <c r="N1488" t="s">
        <v>27</v>
      </c>
      <c r="O1488">
        <v>21.85</v>
      </c>
      <c r="P1488">
        <v>8.0123996734619105</v>
      </c>
      <c r="Q1488">
        <v>7.7030520439147896</v>
      </c>
      <c r="R1488">
        <v>25.399999618530298</v>
      </c>
      <c r="S1488">
        <v>26.600000381469702</v>
      </c>
      <c r="T1488">
        <v>47.633041381835902</v>
      </c>
      <c r="U1488" t="s">
        <v>27</v>
      </c>
      <c r="V1488">
        <v>658000</v>
      </c>
      <c r="W1488">
        <v>3.2839200496673602</v>
      </c>
      <c r="X1488">
        <v>0.58999997377395597</v>
      </c>
      <c r="Y1488">
        <v>6.4824361801147496</v>
      </c>
      <c r="Z1488">
        <v>5.81162309646606</v>
      </c>
      <c r="AA1488">
        <v>26455000</v>
      </c>
      <c r="AB1488" t="s">
        <v>83</v>
      </c>
      <c r="AC1488" t="s">
        <v>84</v>
      </c>
      <c r="AD1488">
        <v>0.34000000357627902</v>
      </c>
      <c r="AE1488" t="s">
        <v>27</v>
      </c>
      <c r="AF1488">
        <v>11.181054438367701</v>
      </c>
      <c r="AG1488">
        <v>27426000</v>
      </c>
      <c r="AH1488">
        <v>49.474708557128899</v>
      </c>
      <c r="AI1488">
        <v>3.3730430603027299</v>
      </c>
    </row>
    <row r="1489" spans="1:35">
      <c r="A1489">
        <f t="shared" si="195"/>
        <v>1</v>
      </c>
      <c r="B1489">
        <f t="shared" si="196"/>
        <v>1</v>
      </c>
      <c r="C1489">
        <f t="shared" si="197"/>
        <v>1</v>
      </c>
      <c r="D1489">
        <f t="shared" si="198"/>
        <v>1</v>
      </c>
      <c r="E1489">
        <f t="shared" si="199"/>
        <v>0</v>
      </c>
      <c r="F1489">
        <f t="shared" si="200"/>
        <v>1</v>
      </c>
      <c r="G1489">
        <f t="shared" si="201"/>
        <v>0</v>
      </c>
      <c r="H1489">
        <v>0</v>
      </c>
      <c r="I1489">
        <f t="shared" si="202"/>
        <v>1</v>
      </c>
      <c r="J1489">
        <f t="shared" si="194"/>
        <v>13.500593185424801</v>
      </c>
      <c r="K1489" t="s">
        <v>1356</v>
      </c>
      <c r="L1489" t="s">
        <v>1357</v>
      </c>
      <c r="M1489" t="s">
        <v>27</v>
      </c>
      <c r="N1489" t="s">
        <v>27</v>
      </c>
      <c r="O1489">
        <v>33.17</v>
      </c>
      <c r="P1489">
        <v>4.9308748245239302</v>
      </c>
      <c r="Q1489">
        <v>5.3863067626953098</v>
      </c>
      <c r="R1489">
        <v>25.899999618530298</v>
      </c>
      <c r="S1489">
        <v>21</v>
      </c>
      <c r="T1489">
        <v>17.653701782226602</v>
      </c>
      <c r="U1489" t="s">
        <v>27</v>
      </c>
      <c r="V1489">
        <v>6049000</v>
      </c>
      <c r="W1489">
        <v>0.96688699722289995</v>
      </c>
      <c r="X1489">
        <v>0.50999999046325695</v>
      </c>
      <c r="Y1489">
        <v>8.8520708084106392</v>
      </c>
      <c r="Z1489">
        <v>8.1142864227294904</v>
      </c>
      <c r="AA1489">
        <v>7325000</v>
      </c>
      <c r="AB1489" t="s">
        <v>27</v>
      </c>
      <c r="AC1489" t="s">
        <v>27</v>
      </c>
      <c r="AD1489">
        <v>0.60000002384185802</v>
      </c>
      <c r="AE1489" t="s">
        <v>27</v>
      </c>
      <c r="AF1489" t="s">
        <v>27</v>
      </c>
      <c r="AG1489">
        <v>7494000</v>
      </c>
      <c r="AH1489">
        <v>15.853234291076699</v>
      </c>
      <c r="AI1489">
        <v>0.99838399887085005</v>
      </c>
    </row>
    <row r="1490" spans="1:35">
      <c r="A1490">
        <f t="shared" si="195"/>
        <v>1</v>
      </c>
      <c r="B1490">
        <f t="shared" si="196"/>
        <v>1</v>
      </c>
      <c r="C1490">
        <f t="shared" si="197"/>
        <v>1</v>
      </c>
      <c r="D1490">
        <f t="shared" si="198"/>
        <v>1</v>
      </c>
      <c r="E1490">
        <f t="shared" si="199"/>
        <v>0</v>
      </c>
      <c r="F1490">
        <f t="shared" si="200"/>
        <v>1</v>
      </c>
      <c r="G1490">
        <f t="shared" si="201"/>
        <v>1</v>
      </c>
      <c r="H1490">
        <v>0</v>
      </c>
      <c r="I1490">
        <f t="shared" si="202"/>
        <v>0</v>
      </c>
      <c r="J1490">
        <f t="shared" si="194"/>
        <v>13.492616653442379</v>
      </c>
      <c r="K1490" t="s">
        <v>3105</v>
      </c>
      <c r="L1490" t="s">
        <v>3106</v>
      </c>
      <c r="M1490" t="s">
        <v>27</v>
      </c>
      <c r="N1490" t="s">
        <v>27</v>
      </c>
      <c r="O1490">
        <v>39.729999999999997</v>
      </c>
      <c r="P1490">
        <v>2.5742969512939502</v>
      </c>
      <c r="Q1490">
        <v>4.8931770324706996</v>
      </c>
      <c r="R1490">
        <v>43</v>
      </c>
      <c r="S1490">
        <v>48.340000152587898</v>
      </c>
      <c r="T1490">
        <v>33.963882446289098</v>
      </c>
      <c r="U1490">
        <v>24.4324035644531</v>
      </c>
      <c r="V1490">
        <v>21735000</v>
      </c>
      <c r="W1490">
        <v>2.5202789306640598</v>
      </c>
      <c r="X1490">
        <v>0.68000000715255704</v>
      </c>
      <c r="Y1490">
        <v>3.73905301094055</v>
      </c>
      <c r="Z1490">
        <v>8.5994396209716797</v>
      </c>
      <c r="AA1490">
        <v>16995000</v>
      </c>
      <c r="AB1490" t="s">
        <v>328</v>
      </c>
      <c r="AC1490" t="s">
        <v>403</v>
      </c>
      <c r="AD1490">
        <v>1.12999999523163</v>
      </c>
      <c r="AE1490">
        <v>36.306739807128899</v>
      </c>
      <c r="AF1490">
        <v>6.6977291205190097</v>
      </c>
      <c r="AG1490">
        <v>20083000</v>
      </c>
      <c r="AH1490">
        <v>26.0159206390381</v>
      </c>
      <c r="AI1490">
        <v>2.92910599708557</v>
      </c>
    </row>
    <row r="1491" spans="1:35">
      <c r="A1491">
        <f t="shared" si="195"/>
        <v>1</v>
      </c>
      <c r="B1491">
        <f t="shared" si="196"/>
        <v>0</v>
      </c>
      <c r="C1491">
        <f t="shared" si="197"/>
        <v>1</v>
      </c>
      <c r="D1491">
        <f t="shared" si="198"/>
        <v>0</v>
      </c>
      <c r="E1491">
        <f t="shared" si="199"/>
        <v>0</v>
      </c>
      <c r="F1491">
        <f t="shared" si="200"/>
        <v>1</v>
      </c>
      <c r="G1491">
        <f t="shared" si="201"/>
        <v>0</v>
      </c>
      <c r="H1491">
        <v>0</v>
      </c>
      <c r="I1491">
        <f t="shared" si="202"/>
        <v>1</v>
      </c>
      <c r="J1491">
        <f t="shared" si="194"/>
        <v>13.488625049591061</v>
      </c>
      <c r="K1491" t="s">
        <v>933</v>
      </c>
      <c r="L1491" t="s">
        <v>934</v>
      </c>
      <c r="M1491" t="s">
        <v>27</v>
      </c>
      <c r="N1491" t="s">
        <v>27</v>
      </c>
      <c r="O1491">
        <v>23.61</v>
      </c>
      <c r="P1491">
        <v>7.6877131462097203</v>
      </c>
      <c r="Q1491">
        <v>4.8235201835632298</v>
      </c>
      <c r="R1491">
        <v>20.200000762939499</v>
      </c>
      <c r="S1491">
        <v>11.8699998855591</v>
      </c>
      <c r="T1491">
        <v>40.630340576171903</v>
      </c>
      <c r="U1491">
        <v>28.555446624755898</v>
      </c>
      <c r="V1491">
        <v>11710001</v>
      </c>
      <c r="W1491">
        <v>6.5949058532714799</v>
      </c>
      <c r="X1491">
        <v>0.61000001430511497</v>
      </c>
      <c r="Y1491">
        <v>19.914892196655298</v>
      </c>
      <c r="Z1491">
        <v>8.6651048660278303</v>
      </c>
      <c r="AA1491">
        <v>13036000</v>
      </c>
      <c r="AB1491" t="s">
        <v>27</v>
      </c>
      <c r="AC1491" t="s">
        <v>27</v>
      </c>
      <c r="AD1491">
        <v>0.33000001311302202</v>
      </c>
      <c r="AE1491">
        <v>26.1480922698975</v>
      </c>
      <c r="AF1491">
        <v>6.3053684568577797</v>
      </c>
      <c r="AG1491">
        <v>13134000</v>
      </c>
      <c r="AH1491">
        <v>36.889225006103501</v>
      </c>
      <c r="AI1491">
        <v>3.2709939479827899</v>
      </c>
    </row>
    <row r="1492" spans="1:35">
      <c r="A1492">
        <f t="shared" si="195"/>
        <v>1</v>
      </c>
      <c r="B1492">
        <f t="shared" si="196"/>
        <v>0</v>
      </c>
      <c r="C1492">
        <f t="shared" si="197"/>
        <v>1</v>
      </c>
      <c r="D1492">
        <f t="shared" si="198"/>
        <v>1</v>
      </c>
      <c r="E1492">
        <f t="shared" si="199"/>
        <v>0</v>
      </c>
      <c r="F1492">
        <f t="shared" si="200"/>
        <v>1</v>
      </c>
      <c r="G1492">
        <f t="shared" si="201"/>
        <v>0</v>
      </c>
      <c r="H1492">
        <v>0</v>
      </c>
      <c r="I1492">
        <f t="shared" si="202"/>
        <v>1</v>
      </c>
      <c r="J1492">
        <f t="shared" si="194"/>
        <v>13.48663377761841</v>
      </c>
      <c r="K1492" t="s">
        <v>752</v>
      </c>
      <c r="L1492" t="s">
        <v>753</v>
      </c>
      <c r="M1492" t="s">
        <v>27</v>
      </c>
      <c r="N1492" t="s">
        <v>27</v>
      </c>
      <c r="O1492">
        <v>27.402000000000001</v>
      </c>
      <c r="P1492">
        <v>4.2108798027038601</v>
      </c>
      <c r="Q1492">
        <v>4.2327580451965297</v>
      </c>
      <c r="R1492">
        <v>21.700000762939499</v>
      </c>
      <c r="S1492">
        <v>18</v>
      </c>
      <c r="T1492">
        <v>21.620964050293001</v>
      </c>
      <c r="U1492" t="s">
        <v>27</v>
      </c>
      <c r="V1492">
        <v>3184999.75</v>
      </c>
      <c r="W1492" t="s">
        <v>27</v>
      </c>
      <c r="X1492">
        <v>0.44999998807907099</v>
      </c>
      <c r="Y1492">
        <v>11.931034088134799</v>
      </c>
      <c r="Z1492">
        <v>9.2538757324218803</v>
      </c>
      <c r="AA1492">
        <v>5560000</v>
      </c>
      <c r="AB1492" t="s">
        <v>34</v>
      </c>
      <c r="AC1492" t="s">
        <v>35</v>
      </c>
      <c r="AD1492">
        <v>0.5</v>
      </c>
      <c r="AE1492" t="s">
        <v>27</v>
      </c>
      <c r="AF1492" t="s">
        <v>27</v>
      </c>
      <c r="AG1492">
        <v>5515000</v>
      </c>
      <c r="AH1492">
        <v>17.804643630981399</v>
      </c>
      <c r="AI1492">
        <v>1.0157450437545801</v>
      </c>
    </row>
    <row r="1493" spans="1:35">
      <c r="A1493">
        <f t="shared" si="195"/>
        <v>0</v>
      </c>
      <c r="B1493">
        <f t="shared" si="196"/>
        <v>0</v>
      </c>
      <c r="C1493">
        <f t="shared" si="197"/>
        <v>0</v>
      </c>
      <c r="D1493">
        <f t="shared" si="198"/>
        <v>1</v>
      </c>
      <c r="E1493">
        <f t="shared" si="199"/>
        <v>0</v>
      </c>
      <c r="F1493">
        <f t="shared" si="200"/>
        <v>1</v>
      </c>
      <c r="G1493">
        <f t="shared" si="201"/>
        <v>1</v>
      </c>
      <c r="H1493">
        <v>0</v>
      </c>
      <c r="I1493">
        <f t="shared" si="202"/>
        <v>0</v>
      </c>
      <c r="J1493">
        <f t="shared" si="194"/>
        <v>13.47707986831665</v>
      </c>
      <c r="K1493" t="s">
        <v>2150</v>
      </c>
      <c r="L1493" t="s">
        <v>2151</v>
      </c>
      <c r="M1493" t="s">
        <v>27</v>
      </c>
      <c r="N1493" t="s">
        <v>27</v>
      </c>
      <c r="O1493">
        <v>9.35</v>
      </c>
      <c r="P1493" t="s">
        <v>27</v>
      </c>
      <c r="Q1493">
        <v>10.2556037902832</v>
      </c>
      <c r="R1493">
        <v>15.75</v>
      </c>
      <c r="S1493">
        <v>26.75</v>
      </c>
      <c r="T1493">
        <v>0</v>
      </c>
      <c r="U1493">
        <v>44.423080444335902</v>
      </c>
      <c r="V1493">
        <v>-4487000</v>
      </c>
      <c r="W1493">
        <v>12.560206413269</v>
      </c>
      <c r="X1493">
        <v>7.9999998211860698E-2</v>
      </c>
      <c r="Y1493" t="s">
        <v>27</v>
      </c>
      <c r="Z1493">
        <v>3.2214760780334499</v>
      </c>
      <c r="AA1493">
        <v>48479000</v>
      </c>
      <c r="AB1493" t="s">
        <v>30</v>
      </c>
      <c r="AC1493" t="s">
        <v>92</v>
      </c>
      <c r="AD1493">
        <v>0.10000000149011599</v>
      </c>
      <c r="AE1493">
        <v>47.633743286132798</v>
      </c>
      <c r="AF1493">
        <v>6.53941388360938</v>
      </c>
      <c r="AG1493">
        <v>48694000</v>
      </c>
      <c r="AH1493">
        <v>0</v>
      </c>
      <c r="AI1493">
        <v>7.3475661277770996</v>
      </c>
    </row>
    <row r="1494" spans="1:35">
      <c r="A1494">
        <f t="shared" si="195"/>
        <v>1</v>
      </c>
      <c r="B1494">
        <f t="shared" si="196"/>
        <v>1</v>
      </c>
      <c r="C1494">
        <f t="shared" si="197"/>
        <v>1</v>
      </c>
      <c r="D1494">
        <f t="shared" si="198"/>
        <v>1</v>
      </c>
      <c r="E1494">
        <f t="shared" si="199"/>
        <v>0</v>
      </c>
      <c r="F1494">
        <f t="shared" si="200"/>
        <v>1</v>
      </c>
      <c r="G1494">
        <f t="shared" si="201"/>
        <v>0</v>
      </c>
      <c r="H1494">
        <v>0</v>
      </c>
      <c r="I1494">
        <f t="shared" si="202"/>
        <v>1</v>
      </c>
      <c r="J1494">
        <f t="shared" si="194"/>
        <v>13.472480773925781</v>
      </c>
      <c r="K1494" t="s">
        <v>1022</v>
      </c>
      <c r="L1494" t="s">
        <v>1023</v>
      </c>
      <c r="M1494" t="s">
        <v>27</v>
      </c>
      <c r="N1494" t="s">
        <v>27</v>
      </c>
      <c r="O1494">
        <v>20.268999999999998</v>
      </c>
      <c r="P1494">
        <v>7.9915790557861301</v>
      </c>
      <c r="Q1494">
        <v>7.15958499908447</v>
      </c>
      <c r="R1494">
        <v>15.4720001220703</v>
      </c>
      <c r="S1494">
        <v>10.0032000732422</v>
      </c>
      <c r="T1494">
        <v>16.445549011230501</v>
      </c>
      <c r="U1494" t="s">
        <v>27</v>
      </c>
      <c r="V1494">
        <v>23109000</v>
      </c>
      <c r="W1494">
        <v>1.3479319810867301</v>
      </c>
      <c r="X1494">
        <v>0.21760000749067801</v>
      </c>
      <c r="Y1494">
        <v>8.6495170593261701</v>
      </c>
      <c r="Z1494">
        <v>6.3128957748413104</v>
      </c>
      <c r="AA1494">
        <v>43193906.25</v>
      </c>
      <c r="AB1494" t="s">
        <v>34</v>
      </c>
      <c r="AC1494" t="s">
        <v>35</v>
      </c>
      <c r="AD1494">
        <v>0.24319999694824199</v>
      </c>
      <c r="AE1494" t="s">
        <v>27</v>
      </c>
      <c r="AF1494" t="s">
        <v>27</v>
      </c>
      <c r="AG1494">
        <v>43468750</v>
      </c>
      <c r="AH1494">
        <v>14.2845916748047</v>
      </c>
      <c r="AI1494">
        <v>1.60615801811218</v>
      </c>
    </row>
    <row r="1495" spans="1:35">
      <c r="A1495">
        <f t="shared" si="195"/>
        <v>1</v>
      </c>
      <c r="B1495">
        <f t="shared" si="196"/>
        <v>1</v>
      </c>
      <c r="C1495">
        <f t="shared" si="197"/>
        <v>1</v>
      </c>
      <c r="D1495">
        <f t="shared" si="198"/>
        <v>0</v>
      </c>
      <c r="E1495">
        <f t="shared" si="199"/>
        <v>0</v>
      </c>
      <c r="F1495">
        <f t="shared" si="200"/>
        <v>1</v>
      </c>
      <c r="G1495">
        <f t="shared" si="201"/>
        <v>0</v>
      </c>
      <c r="H1495">
        <v>0</v>
      </c>
      <c r="I1495">
        <f t="shared" si="202"/>
        <v>0</v>
      </c>
      <c r="J1495">
        <f t="shared" si="194"/>
        <v>13.46790933609009</v>
      </c>
      <c r="K1495" t="s">
        <v>1949</v>
      </c>
      <c r="L1495" t="s">
        <v>1950</v>
      </c>
      <c r="M1495" t="s">
        <v>27</v>
      </c>
      <c r="N1495" t="s">
        <v>27</v>
      </c>
      <c r="O1495">
        <v>23.73</v>
      </c>
      <c r="P1495" t="s">
        <v>27</v>
      </c>
      <c r="Q1495">
        <v>5.9768881797790501</v>
      </c>
      <c r="R1495">
        <v>24.100000381469702</v>
      </c>
      <c r="S1495">
        <v>22.389999389648398</v>
      </c>
      <c r="T1495">
        <v>39.021350860595703</v>
      </c>
      <c r="U1495">
        <v>20.637571334838899</v>
      </c>
      <c r="V1495">
        <v>125470008</v>
      </c>
      <c r="W1495">
        <v>0.92831802368164096</v>
      </c>
      <c r="X1495">
        <v>1.1499999761581401</v>
      </c>
      <c r="Y1495">
        <v>14.6109323501587</v>
      </c>
      <c r="Z1495">
        <v>7.4910211563110396</v>
      </c>
      <c r="AA1495">
        <v>22663000</v>
      </c>
      <c r="AB1495" t="s">
        <v>27</v>
      </c>
      <c r="AC1495" t="s">
        <v>27</v>
      </c>
      <c r="AD1495">
        <v>0.61000001430511497</v>
      </c>
      <c r="AE1495">
        <v>19.560361862182599</v>
      </c>
      <c r="AF1495">
        <v>6.4580872347826102</v>
      </c>
      <c r="AG1495">
        <v>22748000</v>
      </c>
      <c r="AH1495">
        <v>33.5617065429688</v>
      </c>
      <c r="AI1495">
        <v>5.1416120529174796</v>
      </c>
    </row>
    <row r="1496" spans="1:35">
      <c r="A1496">
        <f t="shared" si="195"/>
        <v>1</v>
      </c>
      <c r="B1496">
        <f t="shared" si="196"/>
        <v>1</v>
      </c>
      <c r="C1496">
        <f t="shared" si="197"/>
        <v>0</v>
      </c>
      <c r="D1496">
        <f t="shared" si="198"/>
        <v>1</v>
      </c>
      <c r="E1496">
        <f t="shared" si="199"/>
        <v>0</v>
      </c>
      <c r="F1496">
        <f t="shared" si="200"/>
        <v>1</v>
      </c>
      <c r="G1496">
        <f t="shared" si="201"/>
        <v>0</v>
      </c>
      <c r="H1496">
        <v>0</v>
      </c>
      <c r="I1496">
        <f t="shared" si="202"/>
        <v>0</v>
      </c>
      <c r="J1496">
        <f t="shared" si="194"/>
        <v>13.461609840393059</v>
      </c>
      <c r="K1496" t="s">
        <v>1955</v>
      </c>
      <c r="L1496" t="s">
        <v>1956</v>
      </c>
      <c r="M1496" t="s">
        <v>27</v>
      </c>
      <c r="N1496" t="s">
        <v>27</v>
      </c>
      <c r="O1496">
        <v>31.66</v>
      </c>
      <c r="P1496">
        <v>6.3371958732604998</v>
      </c>
      <c r="Q1496">
        <v>6.4127378463745099</v>
      </c>
      <c r="R1496">
        <v>38.029998779296903</v>
      </c>
      <c r="S1496">
        <v>27.350000381469702</v>
      </c>
      <c r="T1496">
        <v>35.383262634277301</v>
      </c>
      <c r="U1496">
        <v>33.642906188964801</v>
      </c>
      <c r="V1496">
        <v>-1200000</v>
      </c>
      <c r="W1496">
        <v>2.5953829288482702</v>
      </c>
      <c r="X1496">
        <v>0.30000001192092901</v>
      </c>
      <c r="Y1496">
        <v>8.4660186767578107</v>
      </c>
      <c r="Z1496">
        <v>7.0488719940185502</v>
      </c>
      <c r="AA1496">
        <v>30818000</v>
      </c>
      <c r="AB1496" t="s">
        <v>61</v>
      </c>
      <c r="AC1496" t="s">
        <v>101</v>
      </c>
      <c r="AD1496">
        <v>0.40000000596046398</v>
      </c>
      <c r="AE1496">
        <v>31.928617477416999</v>
      </c>
      <c r="AF1496">
        <v>9.1311022554398207</v>
      </c>
      <c r="AG1496">
        <v>30836000</v>
      </c>
      <c r="AH1496">
        <v>34.459827423095703</v>
      </c>
      <c r="AI1496">
        <v>2.82952904701233</v>
      </c>
    </row>
    <row r="1497" spans="1:35">
      <c r="A1497">
        <f t="shared" si="195"/>
        <v>0</v>
      </c>
      <c r="B1497">
        <f t="shared" si="196"/>
        <v>0</v>
      </c>
      <c r="C1497">
        <f t="shared" si="197"/>
        <v>0</v>
      </c>
      <c r="D1497">
        <f t="shared" si="198"/>
        <v>0</v>
      </c>
      <c r="E1497">
        <f t="shared" si="199"/>
        <v>0</v>
      </c>
      <c r="F1497">
        <f t="shared" si="200"/>
        <v>1</v>
      </c>
      <c r="G1497">
        <f t="shared" si="201"/>
        <v>0</v>
      </c>
      <c r="H1497">
        <v>0</v>
      </c>
      <c r="I1497">
        <f t="shared" si="202"/>
        <v>1</v>
      </c>
      <c r="J1497">
        <f t="shared" si="194"/>
        <v>13.46065211296086</v>
      </c>
      <c r="K1497" t="s">
        <v>3909</v>
      </c>
      <c r="L1497" t="s">
        <v>3910</v>
      </c>
      <c r="M1497" t="s">
        <v>27</v>
      </c>
      <c r="N1497" t="s">
        <v>27</v>
      </c>
      <c r="O1497">
        <v>16.559999999999999</v>
      </c>
      <c r="P1497">
        <v>3.2295150756835902</v>
      </c>
      <c r="Q1497">
        <v>2.0913569927215598</v>
      </c>
      <c r="R1497">
        <v>12.699999809265099</v>
      </c>
      <c r="S1497">
        <v>13.3125</v>
      </c>
      <c r="T1497">
        <v>30.128465652465799</v>
      </c>
      <c r="U1497" t="s">
        <v>27</v>
      </c>
      <c r="V1497">
        <v>-2516000</v>
      </c>
      <c r="W1497">
        <v>0.85261899232864402</v>
      </c>
      <c r="X1497">
        <v>0.37000000476837203</v>
      </c>
      <c r="Y1497">
        <v>11.9183673858643</v>
      </c>
      <c r="Z1497">
        <v>11.3692951202393</v>
      </c>
      <c r="AA1497">
        <v>7298000</v>
      </c>
      <c r="AB1497" t="s">
        <v>27</v>
      </c>
      <c r="AC1497" t="s">
        <v>27</v>
      </c>
      <c r="AD1497">
        <v>0.33000001311302202</v>
      </c>
      <c r="AE1497" t="s">
        <v>27</v>
      </c>
      <c r="AF1497" t="s">
        <v>27</v>
      </c>
      <c r="AG1497">
        <v>7972000</v>
      </c>
      <c r="AH1497">
        <v>37.307426452636697</v>
      </c>
      <c r="AI1497">
        <v>0.75401699542999301</v>
      </c>
    </row>
    <row r="1498" spans="1:35">
      <c r="A1498">
        <f t="shared" si="195"/>
        <v>0</v>
      </c>
      <c r="B1498">
        <f t="shared" si="196"/>
        <v>0</v>
      </c>
      <c r="C1498">
        <f t="shared" si="197"/>
        <v>1</v>
      </c>
      <c r="D1498">
        <f t="shared" si="198"/>
        <v>0</v>
      </c>
      <c r="E1498">
        <f t="shared" si="199"/>
        <v>0</v>
      </c>
      <c r="F1498">
        <f t="shared" si="200"/>
        <v>1</v>
      </c>
      <c r="G1498">
        <f t="shared" si="201"/>
        <v>0</v>
      </c>
      <c r="H1498">
        <v>0</v>
      </c>
      <c r="I1498">
        <f t="shared" si="202"/>
        <v>0</v>
      </c>
      <c r="J1498">
        <f t="shared" si="194"/>
        <v>13.46001672744751</v>
      </c>
      <c r="K1498" t="s">
        <v>913</v>
      </c>
      <c r="L1498" t="s">
        <v>914</v>
      </c>
      <c r="M1498" t="s">
        <v>27</v>
      </c>
      <c r="N1498" t="s">
        <v>27</v>
      </c>
      <c r="O1498">
        <v>7.69</v>
      </c>
      <c r="P1498">
        <v>15.149852752685501</v>
      </c>
      <c r="Q1498">
        <v>6.3786768913268999</v>
      </c>
      <c r="R1498">
        <v>12.7600002288818</v>
      </c>
      <c r="S1498">
        <v>9.8500003814697301</v>
      </c>
      <c r="T1498">
        <v>14.353544235229499</v>
      </c>
      <c r="U1498">
        <v>25.245454788208001</v>
      </c>
      <c r="V1498">
        <v>6003000</v>
      </c>
      <c r="W1498">
        <v>14.1646070480347</v>
      </c>
      <c r="X1498">
        <v>0.34000000357627902</v>
      </c>
      <c r="Y1498">
        <v>8.0476188659668004</v>
      </c>
      <c r="Z1498">
        <v>7.0813398361206099</v>
      </c>
      <c r="AA1498">
        <v>16187000</v>
      </c>
      <c r="AB1498" t="s">
        <v>61</v>
      </c>
      <c r="AC1498" t="s">
        <v>77</v>
      </c>
      <c r="AD1498">
        <v>0.140000000596046</v>
      </c>
      <c r="AE1498">
        <v>21.8106594085693</v>
      </c>
      <c r="AF1498">
        <v>7.2345482544035402</v>
      </c>
      <c r="AG1498">
        <v>15103000</v>
      </c>
      <c r="AH1498">
        <v>21.791244506835898</v>
      </c>
      <c r="AI1498">
        <v>10.2969913482666</v>
      </c>
    </row>
    <row r="1499" spans="1:35">
      <c r="A1499">
        <f t="shared" si="195"/>
        <v>1</v>
      </c>
      <c r="B1499">
        <f t="shared" si="196"/>
        <v>0</v>
      </c>
      <c r="C1499">
        <f t="shared" si="197"/>
        <v>0</v>
      </c>
      <c r="D1499">
        <f t="shared" si="198"/>
        <v>0</v>
      </c>
      <c r="E1499">
        <f t="shared" si="199"/>
        <v>0</v>
      </c>
      <c r="F1499">
        <f t="shared" si="200"/>
        <v>1</v>
      </c>
      <c r="G1499">
        <f t="shared" si="201"/>
        <v>1</v>
      </c>
      <c r="H1499">
        <v>0</v>
      </c>
      <c r="I1499">
        <f t="shared" si="202"/>
        <v>0</v>
      </c>
      <c r="J1499">
        <f t="shared" si="194"/>
        <v>13.454522132873539</v>
      </c>
      <c r="K1499" t="s">
        <v>3853</v>
      </c>
      <c r="L1499" t="s">
        <v>3854</v>
      </c>
      <c r="M1499" t="s">
        <v>27</v>
      </c>
      <c r="N1499" t="s">
        <v>27</v>
      </c>
      <c r="O1499">
        <v>25.33</v>
      </c>
      <c r="P1499">
        <v>6.8849220275878897</v>
      </c>
      <c r="Q1499">
        <v>6.5374522209167498</v>
      </c>
      <c r="R1499">
        <v>26.2700004577637</v>
      </c>
      <c r="S1499">
        <v>27.799999237060501</v>
      </c>
      <c r="T1499">
        <v>37.253898620605497</v>
      </c>
      <c r="U1499">
        <v>53.194530487060497</v>
      </c>
      <c r="V1499">
        <v>-66635000</v>
      </c>
      <c r="W1499">
        <v>4.5526928901672399</v>
      </c>
      <c r="X1499">
        <v>-0.33000001311302202</v>
      </c>
      <c r="Y1499">
        <v>6.5860471725463903</v>
      </c>
      <c r="Z1499">
        <v>6.9170699119567898</v>
      </c>
      <c r="AA1499">
        <v>46470000</v>
      </c>
      <c r="AB1499" t="s">
        <v>254</v>
      </c>
      <c r="AC1499" t="s">
        <v>400</v>
      </c>
      <c r="AD1499">
        <v>-0.479999989271164</v>
      </c>
      <c r="AE1499">
        <v>71.714790344238295</v>
      </c>
      <c r="AF1499">
        <v>8.6921378831864704</v>
      </c>
      <c r="AG1499">
        <v>48543000</v>
      </c>
      <c r="AH1499">
        <v>36.836105346679702</v>
      </c>
      <c r="AI1499">
        <v>4.1664252281189</v>
      </c>
    </row>
    <row r="1500" spans="1:35">
      <c r="A1500">
        <f t="shared" si="195"/>
        <v>0</v>
      </c>
      <c r="B1500">
        <f t="shared" si="196"/>
        <v>0</v>
      </c>
      <c r="C1500">
        <f t="shared" si="197"/>
        <v>1</v>
      </c>
      <c r="D1500">
        <f t="shared" si="198"/>
        <v>0</v>
      </c>
      <c r="E1500">
        <f t="shared" si="199"/>
        <v>0</v>
      </c>
      <c r="F1500">
        <f t="shared" si="200"/>
        <v>1</v>
      </c>
      <c r="G1500">
        <f t="shared" si="201"/>
        <v>0</v>
      </c>
      <c r="H1500">
        <v>0</v>
      </c>
      <c r="I1500">
        <f t="shared" si="202"/>
        <v>0</v>
      </c>
      <c r="J1500">
        <f t="shared" si="194"/>
        <v>13.44813919067383</v>
      </c>
      <c r="K1500" t="s">
        <v>1137</v>
      </c>
      <c r="L1500" t="s">
        <v>1138</v>
      </c>
      <c r="M1500" t="s">
        <v>27</v>
      </c>
      <c r="N1500" t="s">
        <v>27</v>
      </c>
      <c r="O1500">
        <v>33.9</v>
      </c>
      <c r="P1500">
        <v>24.9772052764893</v>
      </c>
      <c r="Q1500">
        <v>7.45829105377197</v>
      </c>
      <c r="R1500">
        <v>34.400001525878899</v>
      </c>
      <c r="S1500">
        <v>27.700000762939499</v>
      </c>
      <c r="T1500">
        <v>8.2442000508308397E-2</v>
      </c>
      <c r="U1500">
        <v>27.941432952880898</v>
      </c>
      <c r="V1500">
        <v>24237000</v>
      </c>
      <c r="W1500">
        <v>26.962888717651399</v>
      </c>
      <c r="X1500">
        <v>1.1399999856948899</v>
      </c>
      <c r="Y1500">
        <v>20.7556667327881</v>
      </c>
      <c r="Z1500">
        <v>5.9898481369018599</v>
      </c>
      <c r="AA1500">
        <v>18325000</v>
      </c>
      <c r="AB1500" t="s">
        <v>52</v>
      </c>
      <c r="AC1500" t="s">
        <v>1139</v>
      </c>
      <c r="AD1500">
        <v>0.64999997615814198</v>
      </c>
      <c r="AE1500">
        <v>17.5838508605957</v>
      </c>
      <c r="AF1500">
        <v>6.4007170421557404</v>
      </c>
      <c r="AG1500">
        <v>18354000</v>
      </c>
      <c r="AH1500">
        <v>31.516159057617202</v>
      </c>
      <c r="AI1500">
        <v>9.6416091918945295</v>
      </c>
    </row>
    <row r="1501" spans="1:35">
      <c r="A1501">
        <f t="shared" si="195"/>
        <v>0</v>
      </c>
      <c r="B1501">
        <f t="shared" si="196"/>
        <v>1</v>
      </c>
      <c r="C1501">
        <f t="shared" si="197"/>
        <v>1</v>
      </c>
      <c r="D1501">
        <f t="shared" si="198"/>
        <v>1</v>
      </c>
      <c r="E1501">
        <f t="shared" si="199"/>
        <v>0</v>
      </c>
      <c r="F1501">
        <f t="shared" si="200"/>
        <v>1</v>
      </c>
      <c r="G1501">
        <f t="shared" si="201"/>
        <v>0</v>
      </c>
      <c r="H1501">
        <v>0</v>
      </c>
      <c r="I1501">
        <f t="shared" si="202"/>
        <v>1</v>
      </c>
      <c r="J1501">
        <f t="shared" si="194"/>
        <v>13.43827700614929</v>
      </c>
      <c r="K1501" t="s">
        <v>1626</v>
      </c>
      <c r="L1501" t="s">
        <v>1627</v>
      </c>
      <c r="M1501" t="s">
        <v>27</v>
      </c>
      <c r="N1501" t="s">
        <v>27</v>
      </c>
      <c r="O1501">
        <v>29.45</v>
      </c>
      <c r="P1501">
        <v>84.896446228027301</v>
      </c>
      <c r="Q1501">
        <v>3.2820270061492902</v>
      </c>
      <c r="R1501">
        <v>21.700000762939499</v>
      </c>
      <c r="S1501">
        <v>15.625</v>
      </c>
      <c r="T1501">
        <v>22.810375213623001</v>
      </c>
      <c r="U1501" t="s">
        <v>27</v>
      </c>
      <c r="V1501">
        <v>4998000</v>
      </c>
      <c r="W1501">
        <v>0.68145698308944702</v>
      </c>
      <c r="X1501">
        <v>0.81000000238418601</v>
      </c>
      <c r="Y1501">
        <v>17.010526657104499</v>
      </c>
      <c r="Z1501">
        <v>10.15625</v>
      </c>
      <c r="AA1501">
        <v>5261000</v>
      </c>
      <c r="AB1501" t="s">
        <v>27</v>
      </c>
      <c r="AC1501" t="s">
        <v>27</v>
      </c>
      <c r="AD1501">
        <v>0.88999998569488503</v>
      </c>
      <c r="AE1501" t="s">
        <v>27</v>
      </c>
      <c r="AF1501" t="s">
        <v>27</v>
      </c>
      <c r="AG1501">
        <v>5359000</v>
      </c>
      <c r="AH1501">
        <v>26.546514511108398</v>
      </c>
      <c r="AI1501">
        <v>0.85672801733017001</v>
      </c>
    </row>
    <row r="1502" spans="1:35">
      <c r="A1502">
        <f t="shared" si="195"/>
        <v>1</v>
      </c>
      <c r="B1502">
        <f t="shared" si="196"/>
        <v>1</v>
      </c>
      <c r="C1502">
        <f t="shared" si="197"/>
        <v>1</v>
      </c>
      <c r="D1502">
        <f t="shared" si="198"/>
        <v>1</v>
      </c>
      <c r="E1502">
        <f t="shared" si="199"/>
        <v>0</v>
      </c>
      <c r="F1502">
        <f t="shared" si="200"/>
        <v>1</v>
      </c>
      <c r="G1502">
        <f t="shared" si="201"/>
        <v>0</v>
      </c>
      <c r="H1502">
        <v>0</v>
      </c>
      <c r="I1502">
        <f t="shared" si="202"/>
        <v>1</v>
      </c>
      <c r="J1502">
        <f t="shared" si="194"/>
        <v>13.40873289108276</v>
      </c>
      <c r="K1502" t="s">
        <v>230</v>
      </c>
      <c r="L1502" t="s">
        <v>231</v>
      </c>
      <c r="M1502" t="s">
        <v>27</v>
      </c>
      <c r="N1502" t="s">
        <v>27</v>
      </c>
      <c r="O1502">
        <v>32.53</v>
      </c>
      <c r="P1502">
        <v>8.6608018875122106</v>
      </c>
      <c r="Q1502">
        <v>8.2658758163452095</v>
      </c>
      <c r="R1502">
        <v>28.829999923706101</v>
      </c>
      <c r="S1502">
        <v>42.8125</v>
      </c>
      <c r="T1502">
        <v>11.262992858886699</v>
      </c>
      <c r="U1502" t="s">
        <v>27</v>
      </c>
      <c r="V1502">
        <v>12318000</v>
      </c>
      <c r="W1502">
        <v>1.10339403152466</v>
      </c>
      <c r="X1502">
        <v>0.37000000476837203</v>
      </c>
      <c r="Y1502">
        <v>4.0076479911804199</v>
      </c>
      <c r="Z1502">
        <v>5.1428570747375497</v>
      </c>
      <c r="AA1502">
        <v>28636000</v>
      </c>
      <c r="AB1502" t="s">
        <v>27</v>
      </c>
      <c r="AC1502" t="s">
        <v>27</v>
      </c>
      <c r="AD1502">
        <v>0.41999998688697798</v>
      </c>
      <c r="AE1502" t="s">
        <v>27</v>
      </c>
      <c r="AF1502" t="s">
        <v>27</v>
      </c>
      <c r="AG1502">
        <v>32910000</v>
      </c>
      <c r="AH1502">
        <v>9.7447357177734393</v>
      </c>
      <c r="AI1502">
        <v>1.2053200006485001</v>
      </c>
    </row>
    <row r="1503" spans="1:35">
      <c r="A1503">
        <f t="shared" si="195"/>
        <v>1</v>
      </c>
      <c r="B1503">
        <f t="shared" si="196"/>
        <v>0</v>
      </c>
      <c r="C1503">
        <f t="shared" si="197"/>
        <v>1</v>
      </c>
      <c r="D1503">
        <f t="shared" si="198"/>
        <v>0</v>
      </c>
      <c r="E1503">
        <f t="shared" si="199"/>
        <v>0</v>
      </c>
      <c r="F1503">
        <f t="shared" si="200"/>
        <v>1</v>
      </c>
      <c r="G1503">
        <f t="shared" si="201"/>
        <v>1</v>
      </c>
      <c r="H1503">
        <v>0</v>
      </c>
      <c r="I1503">
        <f t="shared" si="202"/>
        <v>1</v>
      </c>
      <c r="J1503">
        <f t="shared" si="194"/>
        <v>13.400583267211919</v>
      </c>
      <c r="K1503" t="s">
        <v>3795</v>
      </c>
      <c r="L1503" t="s">
        <v>3796</v>
      </c>
      <c r="M1503" t="s">
        <v>27</v>
      </c>
      <c r="N1503" t="s">
        <v>27</v>
      </c>
      <c r="O1503">
        <v>15.65</v>
      </c>
      <c r="P1503">
        <v>8.0604763031005895</v>
      </c>
      <c r="Q1503">
        <v>6.3952350616455096</v>
      </c>
      <c r="R1503">
        <v>13.5</v>
      </c>
      <c r="S1503">
        <v>11.8500003814697</v>
      </c>
      <c r="T1503">
        <v>28.545545578002901</v>
      </c>
      <c r="U1503">
        <v>23.8953552246094</v>
      </c>
      <c r="V1503">
        <v>32666000</v>
      </c>
      <c r="W1503">
        <v>5.2480502128601101</v>
      </c>
      <c r="X1503">
        <v>0.44999998807907099</v>
      </c>
      <c r="Y1503">
        <v>10.8843536376953</v>
      </c>
      <c r="Z1503">
        <v>7.0053482055664098</v>
      </c>
      <c r="AA1503">
        <v>26574000</v>
      </c>
      <c r="AB1503" t="s">
        <v>61</v>
      </c>
      <c r="AC1503" t="s">
        <v>315</v>
      </c>
      <c r="AD1503">
        <v>0.31000000238418601</v>
      </c>
      <c r="AE1503">
        <v>24.121150970458999</v>
      </c>
      <c r="AF1503">
        <v>7.9147547659447097</v>
      </c>
      <c r="AG1503">
        <v>26659000</v>
      </c>
      <c r="AH1503">
        <v>21.1441345214844</v>
      </c>
      <c r="AI1503">
        <v>3.3194110393524201</v>
      </c>
    </row>
    <row r="1504" spans="1:35">
      <c r="A1504">
        <f t="shared" si="195"/>
        <v>1</v>
      </c>
      <c r="B1504">
        <f t="shared" si="196"/>
        <v>1</v>
      </c>
      <c r="C1504">
        <f t="shared" si="197"/>
        <v>1</v>
      </c>
      <c r="D1504">
        <f t="shared" si="198"/>
        <v>0</v>
      </c>
      <c r="E1504">
        <f t="shared" si="199"/>
        <v>0</v>
      </c>
      <c r="F1504">
        <f t="shared" si="200"/>
        <v>1</v>
      </c>
      <c r="G1504">
        <f t="shared" si="201"/>
        <v>0</v>
      </c>
      <c r="H1504">
        <v>0</v>
      </c>
      <c r="I1504">
        <f t="shared" si="202"/>
        <v>0</v>
      </c>
      <c r="J1504">
        <f t="shared" ref="J1504:J1566" si="203">Z1504+Q1504</f>
        <v>13.36921882629394</v>
      </c>
      <c r="K1504" t="s">
        <v>3015</v>
      </c>
      <c r="L1504" t="s">
        <v>3016</v>
      </c>
      <c r="M1504" t="s">
        <v>27</v>
      </c>
      <c r="N1504" t="s">
        <v>27</v>
      </c>
      <c r="O1504">
        <v>25.2</v>
      </c>
      <c r="P1504">
        <v>14.2242441177368</v>
      </c>
      <c r="Q1504">
        <v>8.7445297241210902</v>
      </c>
      <c r="R1504">
        <v>30.100000381469702</v>
      </c>
      <c r="S1504">
        <v>39</v>
      </c>
      <c r="T1504">
        <v>4.6898851394653303</v>
      </c>
      <c r="U1504">
        <v>33.187934875488303</v>
      </c>
      <c r="V1504">
        <v>9074000</v>
      </c>
      <c r="W1504">
        <v>10.3626461029053</v>
      </c>
      <c r="X1504">
        <v>0.46000000834464999</v>
      </c>
      <c r="Y1504">
        <v>4.8408641815185502</v>
      </c>
      <c r="Z1504">
        <v>4.6246891021728498</v>
      </c>
      <c r="AA1504">
        <v>15059000</v>
      </c>
      <c r="AB1504" t="s">
        <v>38</v>
      </c>
      <c r="AC1504" t="s">
        <v>146</v>
      </c>
      <c r="AD1504">
        <v>0.20999999344348899</v>
      </c>
      <c r="AE1504">
        <v>30.945896148681602</v>
      </c>
      <c r="AF1504">
        <v>14.024253550605501</v>
      </c>
      <c r="AG1504">
        <v>15285000</v>
      </c>
      <c r="AH1504">
        <v>0</v>
      </c>
      <c r="AI1504">
        <v>13.1976680755615</v>
      </c>
    </row>
    <row r="1505" spans="1:35">
      <c r="A1505">
        <f t="shared" ref="A1505:A1567" si="204">IF(AH1505&lt;T1505,1,0)</f>
        <v>1</v>
      </c>
      <c r="B1505">
        <f t="shared" ref="B1505:B1567" si="205">IF(AI1505&gt;W1505,1,0)</f>
        <v>1</v>
      </c>
      <c r="C1505">
        <f t="shared" ref="C1505:C1567" si="206">IF(V1505&gt;0,1,0)</f>
        <v>1</v>
      </c>
      <c r="D1505">
        <f t="shared" ref="D1505:D1567" si="207">IF(AD1505&gt;X1505,1,0)</f>
        <v>0</v>
      </c>
      <c r="E1505">
        <f t="shared" ref="E1505:E1567" si="208">IF(AA1505=AG1505,1,0)</f>
        <v>0</v>
      </c>
      <c r="F1505">
        <f t="shared" ref="F1505:F1567" si="209">IF(AI1505&gt;0,1,0)</f>
        <v>1</v>
      </c>
      <c r="G1505">
        <f t="shared" ref="G1505:G1567" si="210">IF(AE1505&gt;U1505,1,0)</f>
        <v>0</v>
      </c>
      <c r="H1505">
        <v>0</v>
      </c>
      <c r="I1505">
        <f t="shared" ref="I1505:I1567" si="211">IF(((O1505-R1505)/R1505)&gt;0.075,1,0)</f>
        <v>0</v>
      </c>
      <c r="J1505">
        <f t="shared" si="203"/>
        <v>13.35999774932862</v>
      </c>
      <c r="K1505" t="s">
        <v>3492</v>
      </c>
      <c r="L1505" t="s">
        <v>3493</v>
      </c>
      <c r="M1505" t="s">
        <v>27</v>
      </c>
      <c r="N1505" t="s">
        <v>27</v>
      </c>
      <c r="O1505">
        <v>24.75</v>
      </c>
      <c r="P1505">
        <v>5.7981119155883798</v>
      </c>
      <c r="Q1505">
        <v>4.9145221710205096</v>
      </c>
      <c r="R1505">
        <v>25</v>
      </c>
      <c r="S1505">
        <v>24.649999618530298</v>
      </c>
      <c r="T1505">
        <v>16.108333587646499</v>
      </c>
      <c r="U1505">
        <v>36.727489471435497</v>
      </c>
      <c r="V1505">
        <v>5774000</v>
      </c>
      <c r="W1505">
        <v>9.0745830535888707</v>
      </c>
      <c r="X1505">
        <v>0.490000009536743</v>
      </c>
      <c r="Y1505">
        <v>8.8888893127441406</v>
      </c>
      <c r="Z1505">
        <v>8.4454755783081108</v>
      </c>
      <c r="AA1505">
        <v>15251000</v>
      </c>
      <c r="AB1505" t="s">
        <v>27</v>
      </c>
      <c r="AC1505" t="s">
        <v>27</v>
      </c>
      <c r="AD1505">
        <v>0.43000000715255698</v>
      </c>
      <c r="AE1505">
        <v>34.982273101806598</v>
      </c>
      <c r="AF1505">
        <v>16.201428757238901</v>
      </c>
      <c r="AG1505">
        <v>15191000</v>
      </c>
      <c r="AH1505">
        <v>13.5643224716187</v>
      </c>
      <c r="AI1505">
        <v>10.026862144470201</v>
      </c>
    </row>
    <row r="1506" spans="1:35">
      <c r="A1506">
        <f t="shared" si="204"/>
        <v>1</v>
      </c>
      <c r="B1506">
        <f t="shared" si="205"/>
        <v>1</v>
      </c>
      <c r="C1506">
        <f t="shared" si="206"/>
        <v>1</v>
      </c>
      <c r="D1506">
        <f t="shared" si="207"/>
        <v>0</v>
      </c>
      <c r="E1506">
        <f t="shared" si="208"/>
        <v>0</v>
      </c>
      <c r="F1506">
        <f t="shared" si="209"/>
        <v>1</v>
      </c>
      <c r="G1506">
        <f t="shared" si="210"/>
        <v>0</v>
      </c>
      <c r="H1506">
        <v>0</v>
      </c>
      <c r="I1506">
        <f t="shared" si="211"/>
        <v>0</v>
      </c>
      <c r="J1506">
        <f t="shared" si="203"/>
        <v>13.35912036895752</v>
      </c>
      <c r="K1506" t="s">
        <v>2857</v>
      </c>
      <c r="L1506" t="s">
        <v>2858</v>
      </c>
      <c r="M1506" t="s">
        <v>27</v>
      </c>
      <c r="N1506" t="s">
        <v>27</v>
      </c>
      <c r="O1506">
        <v>3.26</v>
      </c>
      <c r="P1506">
        <v>15.879937171936</v>
      </c>
      <c r="Q1506">
        <v>9.6693143844604492</v>
      </c>
      <c r="R1506">
        <v>11.0100002288818</v>
      </c>
      <c r="S1506">
        <v>35.25</v>
      </c>
      <c r="T1506">
        <v>44.920162200927699</v>
      </c>
      <c r="U1506">
        <v>57.1900444030762</v>
      </c>
      <c r="V1506">
        <v>63440000</v>
      </c>
      <c r="W1506">
        <v>10.3713893890381</v>
      </c>
      <c r="X1506">
        <v>0.28000000119209301</v>
      </c>
      <c r="Y1506">
        <v>2.0308749675750701</v>
      </c>
      <c r="Z1506">
        <v>3.6898059844970699</v>
      </c>
      <c r="AA1506">
        <v>78487000</v>
      </c>
      <c r="AB1506" t="s">
        <v>38</v>
      </c>
      <c r="AC1506" t="s">
        <v>118</v>
      </c>
      <c r="AD1506">
        <v>5.0000000745058101E-2</v>
      </c>
      <c r="AE1506">
        <v>41.484779357910199</v>
      </c>
      <c r="AF1506">
        <v>13.0184218462205</v>
      </c>
      <c r="AG1506">
        <v>130257000</v>
      </c>
      <c r="AH1506">
        <v>27.5901069641113</v>
      </c>
      <c r="AI1506">
        <v>21.152193069458001</v>
      </c>
    </row>
    <row r="1507" spans="1:35">
      <c r="A1507">
        <f t="shared" si="204"/>
        <v>0</v>
      </c>
      <c r="B1507">
        <f t="shared" si="205"/>
        <v>0</v>
      </c>
      <c r="C1507">
        <f t="shared" si="206"/>
        <v>0</v>
      </c>
      <c r="D1507">
        <f t="shared" si="207"/>
        <v>1</v>
      </c>
      <c r="E1507">
        <f t="shared" si="208"/>
        <v>0</v>
      </c>
      <c r="F1507">
        <f t="shared" si="209"/>
        <v>1</v>
      </c>
      <c r="G1507">
        <f t="shared" si="210"/>
        <v>0</v>
      </c>
      <c r="H1507">
        <v>0</v>
      </c>
      <c r="I1507">
        <f t="shared" si="211"/>
        <v>0</v>
      </c>
      <c r="J1507">
        <f t="shared" si="203"/>
        <v>13.355964660644531</v>
      </c>
      <c r="K1507" t="s">
        <v>1864</v>
      </c>
      <c r="L1507" t="s">
        <v>1865</v>
      </c>
      <c r="M1507" t="s">
        <v>27</v>
      </c>
      <c r="N1507" t="s">
        <v>27</v>
      </c>
      <c r="O1507">
        <v>9.8800000000000008</v>
      </c>
      <c r="P1507">
        <v>7.6081662178039604</v>
      </c>
      <c r="Q1507">
        <v>8.6150608062744105</v>
      </c>
      <c r="R1507">
        <v>9.6300001144409197</v>
      </c>
      <c r="S1507">
        <v>8.09375</v>
      </c>
      <c r="T1507">
        <v>66.290069580078097</v>
      </c>
      <c r="U1507" t="s">
        <v>27</v>
      </c>
      <c r="V1507">
        <v>-18266000</v>
      </c>
      <c r="W1507">
        <v>2.4315669536590598</v>
      </c>
      <c r="X1507">
        <v>9.00000035762787E-2</v>
      </c>
      <c r="Y1507">
        <v>4.25</v>
      </c>
      <c r="Z1507">
        <v>4.7409038543701199</v>
      </c>
      <c r="AA1507">
        <v>23080000</v>
      </c>
      <c r="AB1507" t="s">
        <v>83</v>
      </c>
      <c r="AC1507" t="s">
        <v>84</v>
      </c>
      <c r="AD1507">
        <v>0.119999997317791</v>
      </c>
      <c r="AE1507" t="s">
        <v>27</v>
      </c>
      <c r="AF1507">
        <v>13.6304904043844</v>
      </c>
      <c r="AG1507">
        <v>24530000</v>
      </c>
      <c r="AH1507">
        <v>68.219856262207003</v>
      </c>
      <c r="AI1507">
        <v>1.73328197002411</v>
      </c>
    </row>
    <row r="1508" spans="1:35">
      <c r="A1508">
        <f t="shared" si="204"/>
        <v>1</v>
      </c>
      <c r="B1508">
        <f t="shared" si="205"/>
        <v>0</v>
      </c>
      <c r="C1508">
        <f t="shared" si="206"/>
        <v>1</v>
      </c>
      <c r="D1508">
        <f t="shared" si="207"/>
        <v>1</v>
      </c>
      <c r="E1508">
        <f t="shared" si="208"/>
        <v>0</v>
      </c>
      <c r="F1508">
        <f t="shared" si="209"/>
        <v>1</v>
      </c>
      <c r="G1508">
        <f t="shared" si="210"/>
        <v>0</v>
      </c>
      <c r="H1508">
        <v>0</v>
      </c>
      <c r="I1508">
        <f t="shared" si="211"/>
        <v>1</v>
      </c>
      <c r="J1508">
        <f t="shared" si="203"/>
        <v>13.315555572509759</v>
      </c>
      <c r="K1508" t="s">
        <v>3583</v>
      </c>
      <c r="L1508" t="s">
        <v>3584</v>
      </c>
      <c r="M1508" t="s">
        <v>27</v>
      </c>
      <c r="N1508" t="s">
        <v>27</v>
      </c>
      <c r="O1508">
        <v>27.06</v>
      </c>
      <c r="P1508">
        <v>3.5190749168396001</v>
      </c>
      <c r="Q1508">
        <v>4.7498188018798801</v>
      </c>
      <c r="R1508">
        <v>22.469999313354499</v>
      </c>
      <c r="S1508">
        <v>14.25</v>
      </c>
      <c r="T1508">
        <v>21.779495239257798</v>
      </c>
      <c r="U1508" t="s">
        <v>27</v>
      </c>
      <c r="V1508">
        <v>18328000</v>
      </c>
      <c r="W1508">
        <v>0.89584499597549405</v>
      </c>
      <c r="X1508">
        <v>0.239999994635582</v>
      </c>
      <c r="Y1508">
        <v>9.0746269226074201</v>
      </c>
      <c r="Z1508">
        <v>8.5657367706298793</v>
      </c>
      <c r="AA1508">
        <v>18493000</v>
      </c>
      <c r="AB1508" t="s">
        <v>27</v>
      </c>
      <c r="AC1508" t="s">
        <v>27</v>
      </c>
      <c r="AD1508">
        <v>0.5</v>
      </c>
      <c r="AE1508" t="s">
        <v>27</v>
      </c>
      <c r="AF1508" t="s">
        <v>27</v>
      </c>
      <c r="AG1508">
        <v>18466000</v>
      </c>
      <c r="AH1508">
        <v>14.232295989990201</v>
      </c>
      <c r="AI1508">
        <v>0.57432800531387296</v>
      </c>
    </row>
    <row r="1509" spans="1:35">
      <c r="A1509">
        <f t="shared" si="204"/>
        <v>0</v>
      </c>
      <c r="B1509">
        <f t="shared" si="205"/>
        <v>1</v>
      </c>
      <c r="C1509">
        <f t="shared" si="206"/>
        <v>1</v>
      </c>
      <c r="D1509">
        <f t="shared" si="207"/>
        <v>1</v>
      </c>
      <c r="E1509">
        <f t="shared" si="208"/>
        <v>0</v>
      </c>
      <c r="F1509">
        <f t="shared" si="209"/>
        <v>1</v>
      </c>
      <c r="G1509">
        <f t="shared" si="210"/>
        <v>0</v>
      </c>
      <c r="H1509">
        <v>0</v>
      </c>
      <c r="I1509">
        <f t="shared" si="211"/>
        <v>1</v>
      </c>
      <c r="J1509">
        <f t="shared" si="203"/>
        <v>13.286221027374271</v>
      </c>
      <c r="K1509" t="s">
        <v>1532</v>
      </c>
      <c r="L1509" t="s">
        <v>1533</v>
      </c>
      <c r="M1509" t="s">
        <v>27</v>
      </c>
      <c r="N1509" t="s">
        <v>27</v>
      </c>
      <c r="O1509">
        <v>10.4</v>
      </c>
      <c r="P1509">
        <v>-19.8985195159912</v>
      </c>
      <c r="Q1509">
        <v>4.9880490303039604</v>
      </c>
      <c r="R1509">
        <v>7.0500001907348597</v>
      </c>
      <c r="S1509">
        <v>6.28125</v>
      </c>
      <c r="T1509">
        <v>14.230913162231399</v>
      </c>
      <c r="U1509" t="s">
        <v>27</v>
      </c>
      <c r="V1509" t="s">
        <v>27</v>
      </c>
      <c r="W1509">
        <v>-0.169085994362831</v>
      </c>
      <c r="X1509">
        <v>-0.36000001430511502</v>
      </c>
      <c r="Y1509">
        <v>13.013333320617701</v>
      </c>
      <c r="Z1509">
        <v>8.2981719970703107</v>
      </c>
      <c r="AA1509">
        <v>37486000</v>
      </c>
      <c r="AB1509" t="s">
        <v>27</v>
      </c>
      <c r="AC1509" t="s">
        <v>27</v>
      </c>
      <c r="AD1509">
        <v>0.15999999642372101</v>
      </c>
      <c r="AE1509" t="s">
        <v>27</v>
      </c>
      <c r="AF1509" t="s">
        <v>27</v>
      </c>
      <c r="AG1509">
        <v>33935000</v>
      </c>
      <c r="AH1509">
        <v>21.970766067504901</v>
      </c>
      <c r="AI1509">
        <v>0.81223797798156705</v>
      </c>
    </row>
    <row r="1510" spans="1:35">
      <c r="A1510">
        <f t="shared" si="204"/>
        <v>1</v>
      </c>
      <c r="B1510">
        <f t="shared" si="205"/>
        <v>1</v>
      </c>
      <c r="C1510">
        <f t="shared" si="206"/>
        <v>1</v>
      </c>
      <c r="D1510">
        <f t="shared" si="207"/>
        <v>1</v>
      </c>
      <c r="E1510">
        <f t="shared" si="208"/>
        <v>0</v>
      </c>
      <c r="F1510">
        <f t="shared" si="209"/>
        <v>1</v>
      </c>
      <c r="G1510">
        <f t="shared" si="210"/>
        <v>1</v>
      </c>
      <c r="H1510">
        <v>0</v>
      </c>
      <c r="I1510">
        <f t="shared" si="211"/>
        <v>0</v>
      </c>
      <c r="J1510">
        <f t="shared" si="203"/>
        <v>13.28017604351048</v>
      </c>
      <c r="K1510" t="s">
        <v>2486</v>
      </c>
      <c r="L1510" t="s">
        <v>2487</v>
      </c>
      <c r="M1510" t="s">
        <v>27</v>
      </c>
      <c r="N1510" t="s">
        <v>27</v>
      </c>
      <c r="O1510">
        <v>4.57</v>
      </c>
      <c r="P1510">
        <v>14.5875568389893</v>
      </c>
      <c r="Q1510">
        <v>11.3920640945435</v>
      </c>
      <c r="R1510">
        <v>16.299999237060501</v>
      </c>
      <c r="S1510">
        <v>31.0625</v>
      </c>
      <c r="T1510">
        <v>4.6727027893066397</v>
      </c>
      <c r="U1510">
        <v>73.122406005859403</v>
      </c>
      <c r="V1510">
        <v>1865000</v>
      </c>
      <c r="W1510">
        <v>3.7047040462493901</v>
      </c>
      <c r="X1510">
        <v>7.0000000298023196E-2</v>
      </c>
      <c r="Y1510">
        <v>0.34264400601387002</v>
      </c>
      <c r="Z1510">
        <v>1.88811194896698</v>
      </c>
      <c r="AA1510">
        <v>24963000</v>
      </c>
      <c r="AB1510" t="s">
        <v>27</v>
      </c>
      <c r="AC1510" t="s">
        <v>27</v>
      </c>
      <c r="AD1510">
        <v>0.10000000149011599</v>
      </c>
      <c r="AE1510">
        <v>78.560157775878906</v>
      </c>
      <c r="AF1510" t="s">
        <v>27</v>
      </c>
      <c r="AG1510">
        <v>27733000</v>
      </c>
      <c r="AH1510">
        <v>1.53866803646088</v>
      </c>
      <c r="AI1510">
        <v>11.777645111084</v>
      </c>
    </row>
    <row r="1511" spans="1:35">
      <c r="A1511">
        <f t="shared" si="204"/>
        <v>0</v>
      </c>
      <c r="B1511">
        <f t="shared" si="205"/>
        <v>1</v>
      </c>
      <c r="C1511">
        <f t="shared" si="206"/>
        <v>0</v>
      </c>
      <c r="D1511">
        <f t="shared" si="207"/>
        <v>0</v>
      </c>
      <c r="E1511">
        <f t="shared" si="208"/>
        <v>0</v>
      </c>
      <c r="F1511">
        <f t="shared" si="209"/>
        <v>1</v>
      </c>
      <c r="G1511">
        <f t="shared" si="210"/>
        <v>0</v>
      </c>
      <c r="H1511">
        <v>0</v>
      </c>
      <c r="I1511">
        <f t="shared" si="211"/>
        <v>1</v>
      </c>
      <c r="J1511">
        <f t="shared" si="203"/>
        <v>13.26154184341431</v>
      </c>
      <c r="K1511" t="s">
        <v>3240</v>
      </c>
      <c r="L1511" t="s">
        <v>3241</v>
      </c>
      <c r="M1511" t="s">
        <v>27</v>
      </c>
      <c r="N1511" t="s">
        <v>27</v>
      </c>
      <c r="O1511">
        <v>15.72</v>
      </c>
      <c r="P1511">
        <v>5.5450739860534703</v>
      </c>
      <c r="Q1511">
        <v>4.5948748588562003</v>
      </c>
      <c r="R1511">
        <v>11.8500003814697</v>
      </c>
      <c r="S1511">
        <v>13.75</v>
      </c>
      <c r="T1511">
        <v>15.8258657455444</v>
      </c>
      <c r="U1511">
        <v>28.255924224853501</v>
      </c>
      <c r="V1511">
        <v>-24743000</v>
      </c>
      <c r="W1511">
        <v>1.9148310422897299</v>
      </c>
      <c r="X1511">
        <v>0.34999999403953602</v>
      </c>
      <c r="Y1511">
        <v>5.7806448936462402</v>
      </c>
      <c r="Z1511">
        <v>8.6666669845581108</v>
      </c>
      <c r="AA1511">
        <v>80001000</v>
      </c>
      <c r="AB1511" t="s">
        <v>52</v>
      </c>
      <c r="AC1511" t="s">
        <v>56</v>
      </c>
      <c r="AD1511">
        <v>0.15000000596046401</v>
      </c>
      <c r="AE1511">
        <v>17.194852828979499</v>
      </c>
      <c r="AF1511">
        <v>7.8687899178969403</v>
      </c>
      <c r="AG1511">
        <v>80004000</v>
      </c>
      <c r="AH1511">
        <v>31.571641921997099</v>
      </c>
      <c r="AI1511">
        <v>5.6041431427001998</v>
      </c>
    </row>
    <row r="1512" spans="1:35">
      <c r="A1512">
        <f t="shared" si="204"/>
        <v>1</v>
      </c>
      <c r="B1512">
        <f t="shared" si="205"/>
        <v>1</v>
      </c>
      <c r="C1512">
        <f t="shared" si="206"/>
        <v>1</v>
      </c>
      <c r="D1512">
        <f t="shared" si="207"/>
        <v>1</v>
      </c>
      <c r="E1512">
        <f t="shared" si="208"/>
        <v>0</v>
      </c>
      <c r="F1512">
        <f t="shared" si="209"/>
        <v>1</v>
      </c>
      <c r="G1512">
        <f t="shared" si="210"/>
        <v>0</v>
      </c>
      <c r="H1512">
        <v>0</v>
      </c>
      <c r="I1512">
        <f t="shared" si="211"/>
        <v>1</v>
      </c>
      <c r="J1512">
        <f t="shared" si="203"/>
        <v>13.249864101409909</v>
      </c>
      <c r="K1512" t="s">
        <v>1289</v>
      </c>
      <c r="L1512" t="s">
        <v>1290</v>
      </c>
      <c r="M1512" t="s">
        <v>27</v>
      </c>
      <c r="N1512" t="s">
        <v>27</v>
      </c>
      <c r="O1512">
        <v>30.38</v>
      </c>
      <c r="P1512">
        <v>5.1428360939025897</v>
      </c>
      <c r="Q1512">
        <v>6.1506271362304696</v>
      </c>
      <c r="R1512">
        <v>27.799999237060501</v>
      </c>
      <c r="S1512">
        <v>23.4375</v>
      </c>
      <c r="T1512">
        <v>15.1711416244507</v>
      </c>
      <c r="U1512" t="s">
        <v>27</v>
      </c>
      <c r="V1512">
        <v>5324000</v>
      </c>
      <c r="W1512">
        <v>0.78225702047348</v>
      </c>
      <c r="X1512">
        <v>0.43999999761581399</v>
      </c>
      <c r="Y1512">
        <v>8.52996826171875</v>
      </c>
      <c r="Z1512">
        <v>7.0992369651794398</v>
      </c>
      <c r="AA1512">
        <v>11013000</v>
      </c>
      <c r="AB1512" t="s">
        <v>27</v>
      </c>
      <c r="AC1512" t="s">
        <v>27</v>
      </c>
      <c r="AD1512">
        <v>0.5</v>
      </c>
      <c r="AE1512" t="s">
        <v>27</v>
      </c>
      <c r="AF1512" t="s">
        <v>27</v>
      </c>
      <c r="AG1512">
        <v>10896000</v>
      </c>
      <c r="AH1512">
        <v>9.4774007797241193</v>
      </c>
      <c r="AI1512">
        <v>1.09964799880981</v>
      </c>
    </row>
    <row r="1513" spans="1:35">
      <c r="A1513">
        <f t="shared" si="204"/>
        <v>1</v>
      </c>
      <c r="B1513">
        <f t="shared" si="205"/>
        <v>0</v>
      </c>
      <c r="C1513">
        <f t="shared" si="206"/>
        <v>1</v>
      </c>
      <c r="D1513">
        <f t="shared" si="207"/>
        <v>0</v>
      </c>
      <c r="E1513">
        <f t="shared" si="208"/>
        <v>1</v>
      </c>
      <c r="F1513">
        <f t="shared" si="209"/>
        <v>1</v>
      </c>
      <c r="G1513">
        <f t="shared" si="210"/>
        <v>0</v>
      </c>
      <c r="H1513">
        <v>0</v>
      </c>
      <c r="I1513">
        <f t="shared" si="211"/>
        <v>0</v>
      </c>
      <c r="J1513">
        <f t="shared" si="203"/>
        <v>13.231504440307621</v>
      </c>
      <c r="K1513" t="s">
        <v>2234</v>
      </c>
      <c r="L1513" t="s">
        <v>2235</v>
      </c>
      <c r="M1513" t="s">
        <v>27</v>
      </c>
      <c r="N1513" t="s">
        <v>27</v>
      </c>
      <c r="O1513">
        <v>17.5</v>
      </c>
      <c r="P1513" t="s">
        <v>27</v>
      </c>
      <c r="Q1513">
        <v>6.5218272209167498</v>
      </c>
      <c r="R1513">
        <v>22.5</v>
      </c>
      <c r="S1513">
        <v>17.149999618530298</v>
      </c>
      <c r="T1513">
        <v>26.661321640014599</v>
      </c>
      <c r="U1513">
        <v>27.516859054565401</v>
      </c>
      <c r="V1513">
        <v>14725000</v>
      </c>
      <c r="W1513">
        <v>8.0094585418701207</v>
      </c>
      <c r="X1513">
        <v>0.46000000834464999</v>
      </c>
      <c r="Y1513">
        <v>11.664121627807599</v>
      </c>
      <c r="Z1513">
        <v>6.70967721939087</v>
      </c>
      <c r="AA1513">
        <v>8743000</v>
      </c>
      <c r="AB1513" t="s">
        <v>30</v>
      </c>
      <c r="AC1513" t="s">
        <v>410</v>
      </c>
      <c r="AD1513">
        <v>0.239999994635582</v>
      </c>
      <c r="AE1513">
        <v>26.0490837097168</v>
      </c>
      <c r="AF1513">
        <v>7.9185610340308203</v>
      </c>
      <c r="AG1513">
        <v>8743000</v>
      </c>
      <c r="AH1513">
        <v>11.9278783798218</v>
      </c>
      <c r="AI1513">
        <v>6.3717241287231401</v>
      </c>
    </row>
    <row r="1514" spans="1:35">
      <c r="A1514">
        <f t="shared" si="204"/>
        <v>1</v>
      </c>
      <c r="B1514">
        <f t="shared" si="205"/>
        <v>1</v>
      </c>
      <c r="C1514">
        <f t="shared" si="206"/>
        <v>1</v>
      </c>
      <c r="D1514">
        <f t="shared" si="207"/>
        <v>1</v>
      </c>
      <c r="E1514">
        <f t="shared" si="208"/>
        <v>0</v>
      </c>
      <c r="F1514">
        <f t="shared" si="209"/>
        <v>1</v>
      </c>
      <c r="G1514">
        <f t="shared" si="210"/>
        <v>1</v>
      </c>
      <c r="H1514">
        <v>0</v>
      </c>
      <c r="I1514">
        <f t="shared" si="211"/>
        <v>0</v>
      </c>
      <c r="J1514">
        <f t="shared" si="203"/>
        <v>13.22609281539917</v>
      </c>
      <c r="K1514" t="s">
        <v>3631</v>
      </c>
      <c r="L1514" t="s">
        <v>3632</v>
      </c>
      <c r="M1514" t="s">
        <v>27</v>
      </c>
      <c r="N1514" t="s">
        <v>27</v>
      </c>
      <c r="O1514">
        <v>20.39</v>
      </c>
      <c r="P1514">
        <v>6.2881898880004901</v>
      </c>
      <c r="Q1514">
        <v>6.8833818435668901</v>
      </c>
      <c r="R1514">
        <v>22.219999313354499</v>
      </c>
      <c r="S1514">
        <v>12.1400003433228</v>
      </c>
      <c r="T1514">
        <v>24.276189804077099</v>
      </c>
      <c r="U1514">
        <v>38.561367034912102</v>
      </c>
      <c r="V1514">
        <v>5839000</v>
      </c>
      <c r="W1514">
        <v>4.1144070625305202</v>
      </c>
      <c r="X1514">
        <v>0.34999999403953602</v>
      </c>
      <c r="Y1514">
        <v>10.8679246902466</v>
      </c>
      <c r="Z1514">
        <v>6.3427109718322798</v>
      </c>
      <c r="AA1514">
        <v>10243744</v>
      </c>
      <c r="AB1514" t="s">
        <v>61</v>
      </c>
      <c r="AC1514" t="s">
        <v>77</v>
      </c>
      <c r="AD1514">
        <v>0.40000000596046398</v>
      </c>
      <c r="AE1514">
        <v>40.267833709716797</v>
      </c>
      <c r="AF1514">
        <v>5.2336886215403302</v>
      </c>
      <c r="AG1514">
        <v>19220000</v>
      </c>
      <c r="AH1514">
        <v>19.228593826293899</v>
      </c>
      <c r="AI1514">
        <v>4.68243312835693</v>
      </c>
    </row>
    <row r="1515" spans="1:35">
      <c r="A1515">
        <f t="shared" si="204"/>
        <v>0</v>
      </c>
      <c r="B1515">
        <f t="shared" si="205"/>
        <v>1</v>
      </c>
      <c r="C1515">
        <f t="shared" si="206"/>
        <v>0</v>
      </c>
      <c r="D1515">
        <f t="shared" si="207"/>
        <v>0</v>
      </c>
      <c r="E1515">
        <f t="shared" si="208"/>
        <v>0</v>
      </c>
      <c r="F1515">
        <f t="shared" si="209"/>
        <v>1</v>
      </c>
      <c r="G1515">
        <f t="shared" si="210"/>
        <v>1</v>
      </c>
      <c r="H1515">
        <v>0</v>
      </c>
      <c r="I1515">
        <f t="shared" si="211"/>
        <v>0</v>
      </c>
      <c r="J1515">
        <f t="shared" si="203"/>
        <v>13.22275495529175</v>
      </c>
      <c r="K1515" t="s">
        <v>2236</v>
      </c>
      <c r="L1515" t="s">
        <v>2237</v>
      </c>
      <c r="M1515" t="s">
        <v>27</v>
      </c>
      <c r="N1515" t="s">
        <v>27</v>
      </c>
      <c r="O1515">
        <v>1.32</v>
      </c>
      <c r="P1515" t="s">
        <v>27</v>
      </c>
      <c r="Q1515">
        <v>6.5560889244079599</v>
      </c>
      <c r="R1515">
        <v>6.6300001144409197</v>
      </c>
      <c r="S1515">
        <v>21.25</v>
      </c>
      <c r="T1515">
        <v>0</v>
      </c>
      <c r="U1515">
        <v>72.539543151855497</v>
      </c>
      <c r="V1515">
        <v>-3667000</v>
      </c>
      <c r="W1515">
        <v>3.04472708702087</v>
      </c>
      <c r="X1515">
        <v>0.129999995231628</v>
      </c>
      <c r="Y1515">
        <v>0.75840997695922896</v>
      </c>
      <c r="Z1515">
        <v>6.66666603088379</v>
      </c>
      <c r="AA1515">
        <v>35674000</v>
      </c>
      <c r="AB1515" t="s">
        <v>27</v>
      </c>
      <c r="AC1515" t="s">
        <v>27</v>
      </c>
      <c r="AD1515">
        <v>-0.17000000178813901</v>
      </c>
      <c r="AE1515">
        <v>73.825531005859403</v>
      </c>
      <c r="AF1515" t="s">
        <v>27</v>
      </c>
      <c r="AG1515">
        <v>37221000</v>
      </c>
      <c r="AH1515">
        <v>0</v>
      </c>
      <c r="AI1515">
        <v>9.3044958114624006</v>
      </c>
    </row>
    <row r="1516" spans="1:35">
      <c r="A1516">
        <f t="shared" si="204"/>
        <v>1</v>
      </c>
      <c r="B1516">
        <f t="shared" si="205"/>
        <v>0</v>
      </c>
      <c r="C1516">
        <f t="shared" si="206"/>
        <v>0</v>
      </c>
      <c r="D1516">
        <f t="shared" si="207"/>
        <v>0</v>
      </c>
      <c r="E1516">
        <f t="shared" si="208"/>
        <v>0</v>
      </c>
      <c r="F1516">
        <f t="shared" si="209"/>
        <v>1</v>
      </c>
      <c r="G1516">
        <f t="shared" si="210"/>
        <v>0</v>
      </c>
      <c r="H1516">
        <v>0</v>
      </c>
      <c r="I1516">
        <f t="shared" si="211"/>
        <v>0</v>
      </c>
      <c r="J1516">
        <f t="shared" si="203"/>
        <v>13.199203014373781</v>
      </c>
      <c r="K1516" t="s">
        <v>1117</v>
      </c>
      <c r="L1516" t="s">
        <v>1118</v>
      </c>
      <c r="M1516" t="s">
        <v>27</v>
      </c>
      <c r="N1516" t="s">
        <v>27</v>
      </c>
      <c r="O1516">
        <v>13.48</v>
      </c>
      <c r="P1516" t="s">
        <v>27</v>
      </c>
      <c r="Q1516">
        <v>8.9325361251831108</v>
      </c>
      <c r="R1516">
        <v>28.950000762939499</v>
      </c>
      <c r="S1516">
        <v>32.799999237060497</v>
      </c>
      <c r="T1516">
        <v>63.832313537597699</v>
      </c>
      <c r="U1516">
        <v>26.622573852539102</v>
      </c>
      <c r="V1516">
        <v>-20509000</v>
      </c>
      <c r="W1516">
        <v>8.6721067428588903</v>
      </c>
      <c r="X1516">
        <v>0.34999999403953602</v>
      </c>
      <c r="Y1516">
        <v>4.5595860481262198</v>
      </c>
      <c r="Z1516">
        <v>4.2666668891906703</v>
      </c>
      <c r="AA1516">
        <v>18055370</v>
      </c>
      <c r="AB1516" t="s">
        <v>27</v>
      </c>
      <c r="AC1516" t="s">
        <v>27</v>
      </c>
      <c r="AD1516">
        <v>0.28000000119209301</v>
      </c>
      <c r="AE1516">
        <v>23.554487228393601</v>
      </c>
      <c r="AF1516">
        <v>5.8091428349725502</v>
      </c>
      <c r="AG1516">
        <v>23102640</v>
      </c>
      <c r="AH1516">
        <v>40.042251586914098</v>
      </c>
      <c r="AI1516">
        <v>4.1945061683654803</v>
      </c>
    </row>
    <row r="1517" spans="1:35">
      <c r="A1517">
        <f t="shared" si="204"/>
        <v>1</v>
      </c>
      <c r="B1517">
        <f t="shared" si="205"/>
        <v>0</v>
      </c>
      <c r="C1517">
        <f t="shared" si="206"/>
        <v>1</v>
      </c>
      <c r="D1517">
        <f t="shared" si="207"/>
        <v>1</v>
      </c>
      <c r="E1517">
        <f t="shared" si="208"/>
        <v>0</v>
      </c>
      <c r="F1517">
        <f t="shared" si="209"/>
        <v>1</v>
      </c>
      <c r="G1517">
        <f t="shared" si="210"/>
        <v>1</v>
      </c>
      <c r="H1517">
        <v>0</v>
      </c>
      <c r="I1517">
        <f t="shared" si="211"/>
        <v>0</v>
      </c>
      <c r="J1517">
        <f t="shared" si="203"/>
        <v>13.19341325759887</v>
      </c>
      <c r="K1517" t="s">
        <v>2610</v>
      </c>
      <c r="L1517" t="s">
        <v>2611</v>
      </c>
      <c r="M1517" t="s">
        <v>27</v>
      </c>
      <c r="N1517" t="s">
        <v>27</v>
      </c>
      <c r="O1517">
        <v>17.001000000000001</v>
      </c>
      <c r="P1517">
        <v>12.3818960189819</v>
      </c>
      <c r="Q1517">
        <v>9.4027252197265607</v>
      </c>
      <c r="R1517">
        <v>24.139999389648398</v>
      </c>
      <c r="S1517">
        <v>19.9375</v>
      </c>
      <c r="T1517">
        <v>0.64772200584411599</v>
      </c>
      <c r="U1517">
        <v>31.199722290039102</v>
      </c>
      <c r="V1517">
        <v>6734000</v>
      </c>
      <c r="W1517">
        <v>8.7263622283935494</v>
      </c>
      <c r="X1517">
        <v>0.140000000596046</v>
      </c>
      <c r="Y1517">
        <v>7.1111111640930202</v>
      </c>
      <c r="Z1517">
        <v>3.79068803787231</v>
      </c>
      <c r="AA1517">
        <v>22657000</v>
      </c>
      <c r="AB1517" t="s">
        <v>27</v>
      </c>
      <c r="AC1517" t="s">
        <v>27</v>
      </c>
      <c r="AD1517">
        <v>0.230000004172325</v>
      </c>
      <c r="AE1517">
        <v>31.364658355712901</v>
      </c>
      <c r="AF1517">
        <v>14.5630436999912</v>
      </c>
      <c r="AG1517">
        <v>22813000</v>
      </c>
      <c r="AH1517">
        <v>0.58795702457428001</v>
      </c>
      <c r="AI1517">
        <v>4.2848410606384304</v>
      </c>
    </row>
    <row r="1518" spans="1:35">
      <c r="A1518">
        <f t="shared" si="204"/>
        <v>1</v>
      </c>
      <c r="B1518">
        <f t="shared" si="205"/>
        <v>1</v>
      </c>
      <c r="C1518">
        <f t="shared" si="206"/>
        <v>1</v>
      </c>
      <c r="D1518">
        <f t="shared" si="207"/>
        <v>0</v>
      </c>
      <c r="E1518">
        <f t="shared" si="208"/>
        <v>0</v>
      </c>
      <c r="F1518">
        <f t="shared" si="209"/>
        <v>1</v>
      </c>
      <c r="G1518">
        <f t="shared" si="210"/>
        <v>0</v>
      </c>
      <c r="H1518">
        <v>0</v>
      </c>
      <c r="I1518">
        <f t="shared" si="211"/>
        <v>0</v>
      </c>
      <c r="J1518">
        <f t="shared" si="203"/>
        <v>13.18557119369507</v>
      </c>
      <c r="K1518" t="s">
        <v>3651</v>
      </c>
      <c r="L1518" t="s">
        <v>3652</v>
      </c>
      <c r="M1518" t="s">
        <v>27</v>
      </c>
      <c r="N1518" t="s">
        <v>27</v>
      </c>
      <c r="O1518">
        <v>20.98</v>
      </c>
      <c r="P1518" t="s">
        <v>27</v>
      </c>
      <c r="Q1518">
        <v>8.9343633651733398</v>
      </c>
      <c r="R1518">
        <v>22.9899997711182</v>
      </c>
      <c r="S1518">
        <v>18.6875</v>
      </c>
      <c r="T1518">
        <v>32.988521575927699</v>
      </c>
      <c r="U1518">
        <v>19.681663513183601</v>
      </c>
      <c r="V1518">
        <v>7084000</v>
      </c>
      <c r="W1518">
        <v>-0.48451700806617698</v>
      </c>
      <c r="X1518">
        <v>0.18000000715255701</v>
      </c>
      <c r="Y1518">
        <v>2.7860701084136998</v>
      </c>
      <c r="Z1518">
        <v>4.2512078285217303</v>
      </c>
      <c r="AA1518">
        <v>18328000</v>
      </c>
      <c r="AB1518" t="s">
        <v>194</v>
      </c>
      <c r="AC1518" t="s">
        <v>696</v>
      </c>
      <c r="AD1518">
        <v>0.140000000596046</v>
      </c>
      <c r="AE1518">
        <v>19.621143341064499</v>
      </c>
      <c r="AF1518">
        <v>10.7518721769357</v>
      </c>
      <c r="AG1518">
        <v>18666000</v>
      </c>
      <c r="AH1518">
        <v>27.658897399902301</v>
      </c>
      <c r="AI1518">
        <v>4.6814489364623997</v>
      </c>
    </row>
    <row r="1519" spans="1:35">
      <c r="A1519">
        <f t="shared" si="204"/>
        <v>1</v>
      </c>
      <c r="B1519">
        <f t="shared" si="205"/>
        <v>1</v>
      </c>
      <c r="C1519">
        <f t="shared" si="206"/>
        <v>1</v>
      </c>
      <c r="D1519">
        <f t="shared" si="207"/>
        <v>0</v>
      </c>
      <c r="E1519">
        <f t="shared" si="208"/>
        <v>0</v>
      </c>
      <c r="F1519">
        <f t="shared" si="209"/>
        <v>1</v>
      </c>
      <c r="G1519">
        <f t="shared" si="210"/>
        <v>0</v>
      </c>
      <c r="H1519">
        <v>0</v>
      </c>
      <c r="I1519">
        <f t="shared" si="211"/>
        <v>0</v>
      </c>
      <c r="J1519">
        <f t="shared" si="203"/>
        <v>13.178382396698</v>
      </c>
      <c r="K1519" t="s">
        <v>2432</v>
      </c>
      <c r="L1519" t="s">
        <v>2433</v>
      </c>
      <c r="M1519" t="s">
        <v>27</v>
      </c>
      <c r="N1519" t="s">
        <v>27</v>
      </c>
      <c r="O1519">
        <v>11.63</v>
      </c>
      <c r="P1519">
        <v>10.3332576751709</v>
      </c>
      <c r="Q1519">
        <v>4.6677441596984899</v>
      </c>
      <c r="R1519">
        <v>23.659999847412099</v>
      </c>
      <c r="S1519">
        <v>81.625</v>
      </c>
      <c r="T1519">
        <v>3.1520841121673602</v>
      </c>
      <c r="U1519">
        <v>44.371101379394503</v>
      </c>
      <c r="V1519">
        <v>4768999.5</v>
      </c>
      <c r="W1519">
        <v>6.6951160430908203</v>
      </c>
      <c r="X1519">
        <v>0.31999999284744302</v>
      </c>
      <c r="Y1519">
        <v>0.52951401472091697</v>
      </c>
      <c r="Z1519">
        <v>8.5106382369995099</v>
      </c>
      <c r="AA1519">
        <v>32243000</v>
      </c>
      <c r="AB1519" t="s">
        <v>38</v>
      </c>
      <c r="AC1519" t="s">
        <v>146</v>
      </c>
      <c r="AD1519">
        <v>-0.69999998807907104</v>
      </c>
      <c r="AE1519">
        <v>-3.8929278850555402</v>
      </c>
      <c r="AF1519" t="s">
        <v>27</v>
      </c>
      <c r="AG1519">
        <v>36647000</v>
      </c>
      <c r="AH1519">
        <v>2.2961409091949498</v>
      </c>
      <c r="AI1519">
        <v>12.316309928894</v>
      </c>
    </row>
    <row r="1520" spans="1:35">
      <c r="A1520">
        <f t="shared" si="204"/>
        <v>1</v>
      </c>
      <c r="B1520">
        <f t="shared" si="205"/>
        <v>0</v>
      </c>
      <c r="C1520">
        <f t="shared" si="206"/>
        <v>1</v>
      </c>
      <c r="D1520">
        <f t="shared" si="207"/>
        <v>0</v>
      </c>
      <c r="E1520">
        <f t="shared" si="208"/>
        <v>0</v>
      </c>
      <c r="F1520">
        <f t="shared" si="209"/>
        <v>1</v>
      </c>
      <c r="G1520">
        <f t="shared" si="210"/>
        <v>0</v>
      </c>
      <c r="H1520">
        <v>0</v>
      </c>
      <c r="I1520">
        <f t="shared" si="211"/>
        <v>0</v>
      </c>
      <c r="J1520">
        <f t="shared" si="203"/>
        <v>13.123740673065178</v>
      </c>
      <c r="K1520" t="s">
        <v>2126</v>
      </c>
      <c r="L1520" t="s">
        <v>2127</v>
      </c>
      <c r="M1520" t="s">
        <v>27</v>
      </c>
      <c r="N1520" t="s">
        <v>27</v>
      </c>
      <c r="O1520">
        <v>6.14</v>
      </c>
      <c r="P1520" t="s">
        <v>27</v>
      </c>
      <c r="Q1520">
        <v>4.3101820945739702</v>
      </c>
      <c r="R1520">
        <v>7.9499998092651403</v>
      </c>
      <c r="S1520">
        <v>12.5625</v>
      </c>
      <c r="T1520">
        <v>1.83868503570557</v>
      </c>
      <c r="U1520" t="s">
        <v>27</v>
      </c>
      <c r="V1520">
        <v>6632000</v>
      </c>
      <c r="W1520">
        <v>16.054395675659201</v>
      </c>
      <c r="X1520">
        <v>0.43000000715255698</v>
      </c>
      <c r="Y1520" t="s">
        <v>27</v>
      </c>
      <c r="Z1520">
        <v>8.8135585784912092</v>
      </c>
      <c r="AA1520">
        <v>20278000</v>
      </c>
      <c r="AB1520" t="s">
        <v>27</v>
      </c>
      <c r="AC1520" t="s">
        <v>27</v>
      </c>
      <c r="AD1520">
        <v>0.20999999344348899</v>
      </c>
      <c r="AE1520" t="s">
        <v>27</v>
      </c>
      <c r="AF1520">
        <v>1.17996529444342</v>
      </c>
      <c r="AG1520">
        <v>20288000</v>
      </c>
      <c r="AH1520">
        <v>0</v>
      </c>
      <c r="AI1520">
        <v>9.1707658767700195</v>
      </c>
    </row>
    <row r="1521" spans="1:35">
      <c r="A1521">
        <f t="shared" si="204"/>
        <v>0</v>
      </c>
      <c r="B1521">
        <f t="shared" si="205"/>
        <v>0</v>
      </c>
      <c r="C1521">
        <f t="shared" si="206"/>
        <v>1</v>
      </c>
      <c r="D1521">
        <f t="shared" si="207"/>
        <v>1</v>
      </c>
      <c r="E1521">
        <f t="shared" si="208"/>
        <v>0</v>
      </c>
      <c r="F1521">
        <f t="shared" si="209"/>
        <v>1</v>
      </c>
      <c r="G1521">
        <f t="shared" si="210"/>
        <v>0</v>
      </c>
      <c r="H1521">
        <v>0</v>
      </c>
      <c r="I1521">
        <f t="shared" si="211"/>
        <v>0</v>
      </c>
      <c r="J1521">
        <f t="shared" si="203"/>
        <v>13.122069835662879</v>
      </c>
      <c r="K1521" t="s">
        <v>592</v>
      </c>
      <c r="L1521" t="s">
        <v>593</v>
      </c>
      <c r="M1521" t="s">
        <v>27</v>
      </c>
      <c r="N1521" t="s">
        <v>27</v>
      </c>
      <c r="O1521">
        <v>21.931999999999999</v>
      </c>
      <c r="P1521">
        <v>10.6470956802368</v>
      </c>
      <c r="Q1521">
        <v>10.027957916259799</v>
      </c>
      <c r="R1521">
        <v>27.75</v>
      </c>
      <c r="S1521">
        <v>16.5</v>
      </c>
      <c r="T1521">
        <v>10.0783882141113</v>
      </c>
      <c r="U1521" t="s">
        <v>27</v>
      </c>
      <c r="V1521">
        <v>24921000</v>
      </c>
      <c r="W1521">
        <v>0.83289998769760099</v>
      </c>
      <c r="X1521">
        <v>-0.15999999642372101</v>
      </c>
      <c r="Y1521">
        <v>7.7318439483642596</v>
      </c>
      <c r="Z1521">
        <v>3.0941119194030802</v>
      </c>
      <c r="AA1521">
        <v>10310000</v>
      </c>
      <c r="AB1521" t="s">
        <v>27</v>
      </c>
      <c r="AC1521" t="s">
        <v>27</v>
      </c>
      <c r="AD1521">
        <v>0.519999980926514</v>
      </c>
      <c r="AE1521" t="s">
        <v>27</v>
      </c>
      <c r="AF1521" t="s">
        <v>27</v>
      </c>
      <c r="AG1521">
        <v>9796000</v>
      </c>
      <c r="AH1521">
        <v>14.317344665527299</v>
      </c>
      <c r="AI1521">
        <v>9.9766999483108507E-2</v>
      </c>
    </row>
    <row r="1522" spans="1:35">
      <c r="A1522">
        <f t="shared" si="204"/>
        <v>0</v>
      </c>
      <c r="B1522">
        <f t="shared" si="205"/>
        <v>0</v>
      </c>
      <c r="C1522">
        <f t="shared" si="206"/>
        <v>1</v>
      </c>
      <c r="D1522">
        <f t="shared" si="207"/>
        <v>0</v>
      </c>
      <c r="E1522">
        <f t="shared" si="208"/>
        <v>0</v>
      </c>
      <c r="F1522">
        <f t="shared" si="209"/>
        <v>1</v>
      </c>
      <c r="G1522">
        <f t="shared" si="210"/>
        <v>0</v>
      </c>
      <c r="H1522">
        <v>0</v>
      </c>
      <c r="I1522">
        <f t="shared" si="211"/>
        <v>0</v>
      </c>
      <c r="J1522">
        <f t="shared" si="203"/>
        <v>13.108450889587401</v>
      </c>
      <c r="K1522" t="s">
        <v>2448</v>
      </c>
      <c r="L1522" t="s">
        <v>2449</v>
      </c>
      <c r="M1522" t="s">
        <v>27</v>
      </c>
      <c r="N1522" t="s">
        <v>27</v>
      </c>
      <c r="O1522">
        <v>22.1</v>
      </c>
      <c r="P1522">
        <v>15.902589797973601</v>
      </c>
      <c r="Q1522">
        <v>8.9400978088378906</v>
      </c>
      <c r="R1522">
        <v>26.450000762939499</v>
      </c>
      <c r="S1522">
        <v>29.25</v>
      </c>
      <c r="T1522">
        <v>26.2328701019287</v>
      </c>
      <c r="U1522">
        <v>54.397983551025398</v>
      </c>
      <c r="V1522">
        <v>45298000</v>
      </c>
      <c r="W1522">
        <v>9.0914688110351598</v>
      </c>
      <c r="X1522">
        <v>0.68000000715255704</v>
      </c>
      <c r="Y1522">
        <v>6.4488019943237296</v>
      </c>
      <c r="Z1522">
        <v>4.1683530807495099</v>
      </c>
      <c r="AA1522">
        <v>32449000</v>
      </c>
      <c r="AB1522" t="s">
        <v>61</v>
      </c>
      <c r="AC1522" t="s">
        <v>101</v>
      </c>
      <c r="AD1522">
        <v>7.0000000298023196E-2</v>
      </c>
      <c r="AE1522">
        <v>51.86962890625</v>
      </c>
      <c r="AF1522">
        <v>12.1493766249044</v>
      </c>
      <c r="AG1522">
        <v>33138000</v>
      </c>
      <c r="AH1522">
        <v>46.929744720458999</v>
      </c>
      <c r="AI1522">
        <v>3.34262990951538</v>
      </c>
    </row>
    <row r="1523" spans="1:35">
      <c r="A1523">
        <f t="shared" si="204"/>
        <v>0</v>
      </c>
      <c r="B1523">
        <f t="shared" si="205"/>
        <v>0</v>
      </c>
      <c r="C1523">
        <f t="shared" si="206"/>
        <v>1</v>
      </c>
      <c r="D1523">
        <f t="shared" si="207"/>
        <v>0</v>
      </c>
      <c r="E1523">
        <f t="shared" si="208"/>
        <v>0</v>
      </c>
      <c r="F1523">
        <f t="shared" si="209"/>
        <v>1</v>
      </c>
      <c r="G1523">
        <f t="shared" si="210"/>
        <v>0</v>
      </c>
      <c r="H1523">
        <v>0</v>
      </c>
      <c r="I1523">
        <f t="shared" si="211"/>
        <v>0</v>
      </c>
      <c r="J1523">
        <f t="shared" si="203"/>
        <v>13.082718849182131</v>
      </c>
      <c r="K1523" t="s">
        <v>443</v>
      </c>
      <c r="L1523" t="s">
        <v>444</v>
      </c>
      <c r="M1523" t="s">
        <v>27</v>
      </c>
      <c r="N1523" t="s">
        <v>27</v>
      </c>
      <c r="O1523">
        <v>19.14</v>
      </c>
      <c r="P1523">
        <v>14.361188888549799</v>
      </c>
      <c r="Q1523">
        <v>8.8006029129028303</v>
      </c>
      <c r="R1523">
        <v>21.75</v>
      </c>
      <c r="S1523">
        <v>21.819999694824201</v>
      </c>
      <c r="T1523">
        <v>14.066922187805201</v>
      </c>
      <c r="U1523">
        <v>31.837646484375</v>
      </c>
      <c r="V1523">
        <v>17563000</v>
      </c>
      <c r="W1523">
        <v>10.461711883544901</v>
      </c>
      <c r="X1523">
        <v>0.34000000357627902</v>
      </c>
      <c r="Y1523">
        <v>6.59692287445068</v>
      </c>
      <c r="Z1523">
        <v>4.2821159362793004</v>
      </c>
      <c r="AA1523">
        <v>33678000</v>
      </c>
      <c r="AB1523" t="s">
        <v>27</v>
      </c>
      <c r="AC1523" t="s">
        <v>27</v>
      </c>
      <c r="AD1523">
        <v>0.15999999642372101</v>
      </c>
      <c r="AE1523">
        <v>28.270565032958999</v>
      </c>
      <c r="AF1523">
        <v>10.7598152827918</v>
      </c>
      <c r="AG1523">
        <v>33883000</v>
      </c>
      <c r="AH1523">
        <v>20.6920471191406</v>
      </c>
      <c r="AI1523">
        <v>10.4088220596313</v>
      </c>
    </row>
    <row r="1524" spans="1:35">
      <c r="A1524">
        <f t="shared" si="204"/>
        <v>1</v>
      </c>
      <c r="B1524">
        <f t="shared" si="205"/>
        <v>0</v>
      </c>
      <c r="C1524">
        <f t="shared" si="206"/>
        <v>1</v>
      </c>
      <c r="D1524">
        <f t="shared" si="207"/>
        <v>1</v>
      </c>
      <c r="E1524">
        <f t="shared" si="208"/>
        <v>0</v>
      </c>
      <c r="F1524">
        <f t="shared" si="209"/>
        <v>1</v>
      </c>
      <c r="G1524">
        <f t="shared" si="210"/>
        <v>0</v>
      </c>
      <c r="H1524">
        <v>0</v>
      </c>
      <c r="I1524">
        <f t="shared" si="211"/>
        <v>0</v>
      </c>
      <c r="J1524">
        <f t="shared" si="203"/>
        <v>13.08216714859009</v>
      </c>
      <c r="K1524" t="s">
        <v>3779</v>
      </c>
      <c r="L1524" t="s">
        <v>3780</v>
      </c>
      <c r="M1524" t="s">
        <v>27</v>
      </c>
      <c r="N1524" t="s">
        <v>27</v>
      </c>
      <c r="O1524">
        <v>12</v>
      </c>
      <c r="P1524">
        <v>-3.79660296440125</v>
      </c>
      <c r="Q1524">
        <v>6.9353780746459996</v>
      </c>
      <c r="R1524">
        <v>13.75</v>
      </c>
      <c r="S1524">
        <v>13.8500003814697</v>
      </c>
      <c r="T1524">
        <v>56.865268707275398</v>
      </c>
      <c r="U1524">
        <v>28.4490871429443</v>
      </c>
      <c r="V1524">
        <v>7556000</v>
      </c>
      <c r="W1524">
        <v>3.72932004928589</v>
      </c>
      <c r="X1524">
        <v>-7.9999998211860698E-2</v>
      </c>
      <c r="Y1524">
        <v>7.7575759887695304</v>
      </c>
      <c r="Z1524">
        <v>6.14678907394409</v>
      </c>
      <c r="AA1524">
        <v>43007000</v>
      </c>
      <c r="AB1524" t="s">
        <v>61</v>
      </c>
      <c r="AC1524" t="s">
        <v>101</v>
      </c>
      <c r="AD1524">
        <v>0.15000000596046401</v>
      </c>
      <c r="AE1524">
        <v>25.709426879882798</v>
      </c>
      <c r="AF1524">
        <v>11.0795660260384</v>
      </c>
      <c r="AG1524">
        <v>43085000</v>
      </c>
      <c r="AH1524">
        <v>50.714443206787102</v>
      </c>
      <c r="AI1524">
        <v>2.5640130043029798</v>
      </c>
    </row>
    <row r="1525" spans="1:35">
      <c r="A1525">
        <f t="shared" si="204"/>
        <v>1</v>
      </c>
      <c r="B1525">
        <f t="shared" si="205"/>
        <v>1</v>
      </c>
      <c r="C1525">
        <f t="shared" si="206"/>
        <v>0</v>
      </c>
      <c r="D1525">
        <f t="shared" si="207"/>
        <v>0</v>
      </c>
      <c r="E1525">
        <f t="shared" si="208"/>
        <v>0</v>
      </c>
      <c r="F1525">
        <f t="shared" si="209"/>
        <v>1</v>
      </c>
      <c r="G1525">
        <f t="shared" si="210"/>
        <v>1</v>
      </c>
      <c r="H1525">
        <v>0</v>
      </c>
      <c r="I1525">
        <f t="shared" si="211"/>
        <v>0</v>
      </c>
      <c r="J1525">
        <f t="shared" si="203"/>
        <v>13.077932834625249</v>
      </c>
      <c r="K1525" t="s">
        <v>398</v>
      </c>
      <c r="L1525" t="s">
        <v>399</v>
      </c>
      <c r="M1525" t="s">
        <v>27</v>
      </c>
      <c r="N1525" t="s">
        <v>27</v>
      </c>
      <c r="O1525">
        <v>22.4</v>
      </c>
      <c r="P1525">
        <v>4.9311089515686</v>
      </c>
      <c r="Q1525">
        <v>5.8557109832763699</v>
      </c>
      <c r="R1525">
        <v>21.100000381469702</v>
      </c>
      <c r="S1525">
        <v>24.469999313354499</v>
      </c>
      <c r="T1525">
        <v>46.769767761230497</v>
      </c>
      <c r="U1525">
        <v>36.4464111328125</v>
      </c>
      <c r="V1525">
        <v>-105527000</v>
      </c>
      <c r="W1525">
        <v>2.78510189056396</v>
      </c>
      <c r="X1525">
        <v>-0.109999999403954</v>
      </c>
      <c r="Y1525">
        <v>4.9939389228820801</v>
      </c>
      <c r="Z1525">
        <v>7.2222218513488796</v>
      </c>
      <c r="AA1525">
        <v>31952000</v>
      </c>
      <c r="AB1525" t="s">
        <v>254</v>
      </c>
      <c r="AC1525" t="s">
        <v>400</v>
      </c>
      <c r="AD1525">
        <v>-0.18999999761581399</v>
      </c>
      <c r="AE1525">
        <v>40.702133178710902</v>
      </c>
      <c r="AF1525">
        <v>7.54313421975605</v>
      </c>
      <c r="AG1525">
        <v>40792000</v>
      </c>
      <c r="AH1525">
        <v>44.904720306396499</v>
      </c>
      <c r="AI1525">
        <v>3.3140931129455602</v>
      </c>
    </row>
    <row r="1526" spans="1:35">
      <c r="A1526">
        <f t="shared" si="204"/>
        <v>1</v>
      </c>
      <c r="B1526">
        <f t="shared" si="205"/>
        <v>0</v>
      </c>
      <c r="C1526">
        <f t="shared" si="206"/>
        <v>1</v>
      </c>
      <c r="D1526">
        <f t="shared" si="207"/>
        <v>0</v>
      </c>
      <c r="E1526">
        <f t="shared" si="208"/>
        <v>0</v>
      </c>
      <c r="F1526">
        <f t="shared" si="209"/>
        <v>1</v>
      </c>
      <c r="G1526">
        <f t="shared" si="210"/>
        <v>0</v>
      </c>
      <c r="H1526">
        <v>0</v>
      </c>
      <c r="I1526">
        <f t="shared" si="211"/>
        <v>0</v>
      </c>
      <c r="J1526">
        <f t="shared" si="203"/>
        <v>13.05124139785767</v>
      </c>
      <c r="K1526" t="s">
        <v>3687</v>
      </c>
      <c r="L1526" t="s">
        <v>3688</v>
      </c>
      <c r="M1526" t="s">
        <v>27</v>
      </c>
      <c r="N1526" t="s">
        <v>27</v>
      </c>
      <c r="O1526">
        <v>4.7699999999999996</v>
      </c>
      <c r="P1526">
        <v>9.0540628433227504</v>
      </c>
      <c r="Q1526">
        <v>6.1736621856689498</v>
      </c>
      <c r="R1526">
        <v>6.9503750801086399</v>
      </c>
      <c r="S1526">
        <v>6.3125</v>
      </c>
      <c r="T1526">
        <v>41.304103851318402</v>
      </c>
      <c r="U1526">
        <v>21.6579475402832</v>
      </c>
      <c r="V1526">
        <v>12672000</v>
      </c>
      <c r="W1526">
        <v>6.8428478240966797</v>
      </c>
      <c r="X1526">
        <v>0.31000000238418601</v>
      </c>
      <c r="Y1526">
        <v>9.9310350418090803</v>
      </c>
      <c r="Z1526">
        <v>6.8775792121887198</v>
      </c>
      <c r="AA1526">
        <v>22350000</v>
      </c>
      <c r="AB1526" t="s">
        <v>27</v>
      </c>
      <c r="AC1526" t="s">
        <v>27</v>
      </c>
      <c r="AD1526">
        <v>0.15000000596046401</v>
      </c>
      <c r="AE1526">
        <v>20.525739669799801</v>
      </c>
      <c r="AF1526">
        <v>5.4090634388216401</v>
      </c>
      <c r="AG1526">
        <v>26550000</v>
      </c>
      <c r="AH1526">
        <v>38.316593170166001</v>
      </c>
      <c r="AI1526">
        <v>5.9134659767150897</v>
      </c>
    </row>
    <row r="1527" spans="1:35">
      <c r="A1527">
        <f t="shared" si="204"/>
        <v>0</v>
      </c>
      <c r="B1527">
        <f t="shared" si="205"/>
        <v>0</v>
      </c>
      <c r="C1527">
        <f t="shared" si="206"/>
        <v>1</v>
      </c>
      <c r="D1527">
        <f t="shared" si="207"/>
        <v>1</v>
      </c>
      <c r="E1527">
        <f t="shared" si="208"/>
        <v>0</v>
      </c>
      <c r="F1527">
        <f t="shared" si="209"/>
        <v>1</v>
      </c>
      <c r="G1527">
        <f t="shared" si="210"/>
        <v>0</v>
      </c>
      <c r="H1527">
        <v>0</v>
      </c>
      <c r="I1527">
        <f t="shared" si="211"/>
        <v>0</v>
      </c>
      <c r="J1527">
        <f t="shared" si="203"/>
        <v>13.035568237304691</v>
      </c>
      <c r="K1527" t="s">
        <v>731</v>
      </c>
      <c r="L1527" t="s">
        <v>732</v>
      </c>
      <c r="M1527" t="s">
        <v>27</v>
      </c>
      <c r="N1527" t="s">
        <v>27</v>
      </c>
      <c r="O1527">
        <v>17.25</v>
      </c>
      <c r="P1527">
        <v>5.6883258819580096</v>
      </c>
      <c r="Q1527">
        <v>5.3962440490722701</v>
      </c>
      <c r="R1527">
        <v>16.690000534057599</v>
      </c>
      <c r="S1527">
        <v>14.8999996185303</v>
      </c>
      <c r="T1527">
        <v>9.6171216964721697</v>
      </c>
      <c r="U1527" t="s">
        <v>27</v>
      </c>
      <c r="V1527">
        <v>13571000</v>
      </c>
      <c r="W1527">
        <v>3.9750440120696999</v>
      </c>
      <c r="X1527">
        <v>0.28999999165535001</v>
      </c>
      <c r="Y1527">
        <v>7.7312140464782697</v>
      </c>
      <c r="Z1527">
        <v>7.6393241882324201</v>
      </c>
      <c r="AA1527">
        <v>20583000</v>
      </c>
      <c r="AB1527" t="s">
        <v>27</v>
      </c>
      <c r="AC1527" t="s">
        <v>27</v>
      </c>
      <c r="AD1527">
        <v>0.31000000238418601</v>
      </c>
      <c r="AE1527" t="s">
        <v>27</v>
      </c>
      <c r="AF1527">
        <v>16.750874139207301</v>
      </c>
      <c r="AG1527">
        <v>31137000</v>
      </c>
      <c r="AH1527">
        <v>9.6532526016235405</v>
      </c>
      <c r="AI1527">
        <v>3.7636640071868901</v>
      </c>
    </row>
    <row r="1528" spans="1:35">
      <c r="A1528">
        <f t="shared" si="204"/>
        <v>1</v>
      </c>
      <c r="B1528">
        <f t="shared" si="205"/>
        <v>0</v>
      </c>
      <c r="C1528">
        <f t="shared" si="206"/>
        <v>1</v>
      </c>
      <c r="D1528">
        <f t="shared" si="207"/>
        <v>1</v>
      </c>
      <c r="E1528">
        <f t="shared" si="208"/>
        <v>1</v>
      </c>
      <c r="F1528">
        <f t="shared" si="209"/>
        <v>1</v>
      </c>
      <c r="G1528">
        <f t="shared" si="210"/>
        <v>0</v>
      </c>
      <c r="H1528">
        <v>0</v>
      </c>
      <c r="I1528">
        <f t="shared" si="211"/>
        <v>0</v>
      </c>
      <c r="J1528">
        <f t="shared" si="203"/>
        <v>13.03052997589111</v>
      </c>
      <c r="K1528" t="s">
        <v>2364</v>
      </c>
      <c r="L1528" t="s">
        <v>2365</v>
      </c>
      <c r="M1528" t="s">
        <v>27</v>
      </c>
      <c r="N1528" t="s">
        <v>27</v>
      </c>
      <c r="O1528">
        <v>14.39</v>
      </c>
      <c r="P1528">
        <v>6.678466796875</v>
      </c>
      <c r="Q1528">
        <v>7.0971970558166504</v>
      </c>
      <c r="R1528">
        <v>15.75</v>
      </c>
      <c r="S1528">
        <v>8.9499998092651403</v>
      </c>
      <c r="T1528">
        <v>41.598606109619098</v>
      </c>
      <c r="U1528" t="s">
        <v>27</v>
      </c>
      <c r="V1528">
        <v>5109000</v>
      </c>
      <c r="W1528">
        <v>3.4804120063781698</v>
      </c>
      <c r="X1528">
        <v>0.20000000298023199</v>
      </c>
      <c r="Y1528">
        <v>9.4117650985717791</v>
      </c>
      <c r="Z1528">
        <v>5.9333329200744602</v>
      </c>
      <c r="AA1528">
        <v>9570000</v>
      </c>
      <c r="AB1528" t="s">
        <v>27</v>
      </c>
      <c r="AC1528" t="s">
        <v>27</v>
      </c>
      <c r="AD1528">
        <v>0.259999990463257</v>
      </c>
      <c r="AE1528" t="s">
        <v>27</v>
      </c>
      <c r="AF1528">
        <v>10.0131933285959</v>
      </c>
      <c r="AG1528">
        <v>9570000</v>
      </c>
      <c r="AH1528">
        <v>41.0145263671875</v>
      </c>
      <c r="AI1528">
        <v>3.2242801189422599</v>
      </c>
    </row>
    <row r="1529" spans="1:35">
      <c r="A1529">
        <f t="shared" si="204"/>
        <v>0</v>
      </c>
      <c r="B1529">
        <f t="shared" si="205"/>
        <v>0</v>
      </c>
      <c r="C1529">
        <f t="shared" si="206"/>
        <v>1</v>
      </c>
      <c r="D1529">
        <f t="shared" si="207"/>
        <v>1</v>
      </c>
      <c r="E1529">
        <f t="shared" si="208"/>
        <v>0</v>
      </c>
      <c r="F1529">
        <f t="shared" si="209"/>
        <v>1</v>
      </c>
      <c r="G1529">
        <f t="shared" si="210"/>
        <v>0</v>
      </c>
      <c r="H1529">
        <v>0</v>
      </c>
      <c r="I1529">
        <f t="shared" si="211"/>
        <v>1</v>
      </c>
      <c r="J1529">
        <f t="shared" si="203"/>
        <v>13.02804708480835</v>
      </c>
      <c r="K1529" t="s">
        <v>3332</v>
      </c>
      <c r="L1529" t="s">
        <v>3333</v>
      </c>
      <c r="M1529" t="s">
        <v>27</v>
      </c>
      <c r="N1529" t="s">
        <v>27</v>
      </c>
      <c r="O1529">
        <v>20.75</v>
      </c>
      <c r="P1529" t="s">
        <v>27</v>
      </c>
      <c r="Q1529">
        <v>1.9283909797668499</v>
      </c>
      <c r="R1529">
        <v>15.4090916026722</v>
      </c>
      <c r="S1529">
        <v>9.9173553719008307</v>
      </c>
      <c r="T1529">
        <v>31.0148830413818</v>
      </c>
      <c r="U1529" t="s">
        <v>27</v>
      </c>
      <c r="V1529">
        <v>41224000</v>
      </c>
      <c r="W1529">
        <v>0.52736699581146196</v>
      </c>
      <c r="X1529">
        <v>0.31855747182059302</v>
      </c>
      <c r="Y1529">
        <v>14.3560438156128</v>
      </c>
      <c r="Z1529">
        <v>11.0996561050415</v>
      </c>
      <c r="AA1529">
        <v>10781100.6655</v>
      </c>
      <c r="AB1529" t="s">
        <v>27</v>
      </c>
      <c r="AC1529" t="s">
        <v>27</v>
      </c>
      <c r="AD1529">
        <v>0.339669432521852</v>
      </c>
      <c r="AE1529" t="s">
        <v>27</v>
      </c>
      <c r="AF1529" t="s">
        <v>27</v>
      </c>
      <c r="AG1529">
        <v>11599060</v>
      </c>
      <c r="AH1529">
        <v>33.546058654785199</v>
      </c>
      <c r="AI1529">
        <v>0.525152027606964</v>
      </c>
    </row>
    <row r="1530" spans="1:35">
      <c r="A1530">
        <f t="shared" si="204"/>
        <v>0</v>
      </c>
      <c r="B1530">
        <f t="shared" si="205"/>
        <v>1</v>
      </c>
      <c r="C1530">
        <f t="shared" si="206"/>
        <v>1</v>
      </c>
      <c r="D1530">
        <f t="shared" si="207"/>
        <v>0</v>
      </c>
      <c r="E1530">
        <f t="shared" si="208"/>
        <v>0</v>
      </c>
      <c r="F1530">
        <f t="shared" si="209"/>
        <v>1</v>
      </c>
      <c r="G1530">
        <f t="shared" si="210"/>
        <v>0</v>
      </c>
      <c r="H1530">
        <v>0</v>
      </c>
      <c r="I1530">
        <f t="shared" si="211"/>
        <v>1</v>
      </c>
      <c r="J1530">
        <f t="shared" si="203"/>
        <v>13.022175312042231</v>
      </c>
      <c r="K1530" t="s">
        <v>1429</v>
      </c>
      <c r="L1530" t="s">
        <v>1430</v>
      </c>
      <c r="M1530" t="s">
        <v>27</v>
      </c>
      <c r="N1530" t="s">
        <v>27</v>
      </c>
      <c r="O1530">
        <v>8.3000000000000007</v>
      </c>
      <c r="P1530">
        <v>34.253463745117202</v>
      </c>
      <c r="Q1530">
        <v>8.3940763473510707</v>
      </c>
      <c r="R1530">
        <v>7.7199997901916504</v>
      </c>
      <c r="S1530">
        <v>23.5</v>
      </c>
      <c r="T1530">
        <v>0</v>
      </c>
      <c r="U1530">
        <v>65.0850830078125</v>
      </c>
      <c r="V1530">
        <v>19057000</v>
      </c>
      <c r="W1530">
        <v>19.6548881530762</v>
      </c>
      <c r="X1530">
        <v>0.239999994635582</v>
      </c>
      <c r="Y1530">
        <v>0.98599398136138905</v>
      </c>
      <c r="Z1530">
        <v>4.6280989646911603</v>
      </c>
      <c r="AA1530">
        <v>117162000</v>
      </c>
      <c r="AB1530" t="s">
        <v>27</v>
      </c>
      <c r="AC1530" t="s">
        <v>27</v>
      </c>
      <c r="AD1530">
        <v>1.9999999552965199E-2</v>
      </c>
      <c r="AE1530">
        <v>50.234413146972699</v>
      </c>
      <c r="AF1530">
        <v>246.22138869088599</v>
      </c>
      <c r="AG1530">
        <v>120562000</v>
      </c>
      <c r="AH1530">
        <v>0</v>
      </c>
      <c r="AI1530">
        <v>28.7994060516357</v>
      </c>
    </row>
    <row r="1531" spans="1:35">
      <c r="A1531">
        <f t="shared" si="204"/>
        <v>0</v>
      </c>
      <c r="B1531">
        <f t="shared" si="205"/>
        <v>0</v>
      </c>
      <c r="C1531">
        <f t="shared" si="206"/>
        <v>0</v>
      </c>
      <c r="D1531">
        <f t="shared" si="207"/>
        <v>0</v>
      </c>
      <c r="E1531">
        <f t="shared" si="208"/>
        <v>0</v>
      </c>
      <c r="F1531">
        <f t="shared" si="209"/>
        <v>1</v>
      </c>
      <c r="G1531">
        <f t="shared" si="210"/>
        <v>0</v>
      </c>
      <c r="H1531">
        <v>0</v>
      </c>
      <c r="I1531">
        <f t="shared" si="211"/>
        <v>1</v>
      </c>
      <c r="J1531">
        <f t="shared" si="203"/>
        <v>13.007096290588381</v>
      </c>
      <c r="K1531" t="s">
        <v>883</v>
      </c>
      <c r="L1531" t="s">
        <v>884</v>
      </c>
      <c r="M1531" t="s">
        <v>27</v>
      </c>
      <c r="N1531" t="s">
        <v>27</v>
      </c>
      <c r="O1531">
        <v>22.97</v>
      </c>
      <c r="P1531">
        <v>5.6608729362487802</v>
      </c>
      <c r="Q1531">
        <v>5.8741321563720703</v>
      </c>
      <c r="R1531">
        <v>18.100000381469702</v>
      </c>
      <c r="S1531">
        <v>12.875</v>
      </c>
      <c r="T1531">
        <v>11.661745071411101</v>
      </c>
      <c r="U1531" t="s">
        <v>27</v>
      </c>
      <c r="V1531">
        <v>-2195000</v>
      </c>
      <c r="W1531">
        <v>1.05525994300842</v>
      </c>
      <c r="X1531">
        <v>0.28999999165535001</v>
      </c>
      <c r="Y1531">
        <v>7.3076920509338397</v>
      </c>
      <c r="Z1531">
        <v>7.1329641342163104</v>
      </c>
      <c r="AA1531">
        <v>7156000</v>
      </c>
      <c r="AB1531" t="s">
        <v>27</v>
      </c>
      <c r="AC1531" t="s">
        <v>27</v>
      </c>
      <c r="AD1531">
        <v>0.28999999165535001</v>
      </c>
      <c r="AE1531" t="s">
        <v>27</v>
      </c>
      <c r="AF1531" t="s">
        <v>27</v>
      </c>
      <c r="AG1531">
        <v>7143000</v>
      </c>
      <c r="AH1531">
        <v>14.425503730773899</v>
      </c>
      <c r="AI1531">
        <v>0.69581800699233998</v>
      </c>
    </row>
    <row r="1532" spans="1:35">
      <c r="A1532">
        <f t="shared" si="204"/>
        <v>1</v>
      </c>
      <c r="B1532">
        <f t="shared" si="205"/>
        <v>1</v>
      </c>
      <c r="C1532">
        <f t="shared" si="206"/>
        <v>1</v>
      </c>
      <c r="D1532">
        <f t="shared" si="207"/>
        <v>1</v>
      </c>
      <c r="E1532">
        <f t="shared" si="208"/>
        <v>0</v>
      </c>
      <c r="F1532">
        <f t="shared" si="209"/>
        <v>1</v>
      </c>
      <c r="G1532">
        <f t="shared" si="210"/>
        <v>0</v>
      </c>
      <c r="H1532">
        <v>0</v>
      </c>
      <c r="I1532">
        <f t="shared" si="211"/>
        <v>1</v>
      </c>
      <c r="J1532">
        <f t="shared" si="203"/>
        <v>12.99191284179687</v>
      </c>
      <c r="K1532" t="s">
        <v>859</v>
      </c>
      <c r="L1532" t="s">
        <v>860</v>
      </c>
      <c r="M1532" t="s">
        <v>27</v>
      </c>
      <c r="N1532" t="s">
        <v>27</v>
      </c>
      <c r="O1532">
        <v>13.6</v>
      </c>
      <c r="P1532">
        <v>2.47105193138123</v>
      </c>
      <c r="Q1532">
        <v>3.71949291229248</v>
      </c>
      <c r="R1532">
        <v>9.3999996185302699</v>
      </c>
      <c r="S1532">
        <v>6.9583333333333304</v>
      </c>
      <c r="T1532">
        <v>39.751678466796903</v>
      </c>
      <c r="U1532" t="s">
        <v>27</v>
      </c>
      <c r="V1532">
        <v>6387000</v>
      </c>
      <c r="W1532">
        <v>1.1414099931716899</v>
      </c>
      <c r="X1532">
        <v>0.20000000794728601</v>
      </c>
      <c r="Y1532">
        <v>12.809384346008301</v>
      </c>
      <c r="Z1532">
        <v>9.2724199295043892</v>
      </c>
      <c r="AA1532">
        <v>10930500</v>
      </c>
      <c r="AB1532" t="s">
        <v>27</v>
      </c>
      <c r="AC1532" t="s">
        <v>27</v>
      </c>
      <c r="AD1532">
        <v>0.230000004172325</v>
      </c>
      <c r="AE1532" t="s">
        <v>27</v>
      </c>
      <c r="AF1532" t="s">
        <v>27</v>
      </c>
      <c r="AG1532">
        <v>10693000</v>
      </c>
      <c r="AH1532">
        <v>21.069845199585</v>
      </c>
      <c r="AI1532">
        <v>1.2140580415725699</v>
      </c>
    </row>
    <row r="1533" spans="1:35">
      <c r="A1533">
        <f t="shared" si="204"/>
        <v>0</v>
      </c>
      <c r="B1533">
        <f t="shared" si="205"/>
        <v>0</v>
      </c>
      <c r="C1533">
        <f t="shared" si="206"/>
        <v>1</v>
      </c>
      <c r="D1533">
        <f t="shared" si="207"/>
        <v>0</v>
      </c>
      <c r="E1533">
        <f t="shared" si="208"/>
        <v>0</v>
      </c>
      <c r="F1533">
        <f t="shared" si="209"/>
        <v>1</v>
      </c>
      <c r="G1533">
        <f t="shared" si="210"/>
        <v>0</v>
      </c>
      <c r="H1533">
        <v>0</v>
      </c>
      <c r="I1533">
        <f t="shared" si="211"/>
        <v>0</v>
      </c>
      <c r="J1533">
        <f t="shared" si="203"/>
        <v>12.972237110137941</v>
      </c>
      <c r="K1533" t="s">
        <v>1544</v>
      </c>
      <c r="L1533" t="s">
        <v>1545</v>
      </c>
      <c r="M1533" t="s">
        <v>27</v>
      </c>
      <c r="N1533" t="s">
        <v>27</v>
      </c>
      <c r="O1533">
        <v>15.2</v>
      </c>
      <c r="P1533">
        <v>12.527208328247101</v>
      </c>
      <c r="Q1533">
        <v>8.0190391540527308</v>
      </c>
      <c r="R1533">
        <v>22.430000305175799</v>
      </c>
      <c r="S1533">
        <v>19.740000406901</v>
      </c>
      <c r="T1533">
        <v>8.6818914413452095</v>
      </c>
      <c r="U1533">
        <v>15.2749471664429</v>
      </c>
      <c r="V1533">
        <v>46482000</v>
      </c>
      <c r="W1533">
        <v>8.1026353836059606</v>
      </c>
      <c r="X1533">
        <v>0.63333332538604703</v>
      </c>
      <c r="Y1533">
        <v>8.8371133804321307</v>
      </c>
      <c r="Z1533">
        <v>4.9531979560852104</v>
      </c>
      <c r="AA1533">
        <v>40932000</v>
      </c>
      <c r="AB1533" t="s">
        <v>61</v>
      </c>
      <c r="AC1533" t="s">
        <v>131</v>
      </c>
      <c r="AD1533">
        <v>0.60000002384185802</v>
      </c>
      <c r="AE1533">
        <v>11.957064628601101</v>
      </c>
      <c r="AF1533">
        <v>4.6750829337620896</v>
      </c>
      <c r="AG1533">
        <v>41110000</v>
      </c>
      <c r="AH1533">
        <v>16.082929611206101</v>
      </c>
      <c r="AI1533">
        <v>8.0268115997314506</v>
      </c>
    </row>
    <row r="1534" spans="1:35">
      <c r="A1534">
        <f t="shared" si="204"/>
        <v>1</v>
      </c>
      <c r="B1534">
        <f t="shared" si="205"/>
        <v>0</v>
      </c>
      <c r="C1534">
        <f t="shared" si="206"/>
        <v>1</v>
      </c>
      <c r="D1534">
        <f t="shared" si="207"/>
        <v>0</v>
      </c>
      <c r="E1534">
        <f t="shared" si="208"/>
        <v>0</v>
      </c>
      <c r="F1534">
        <f t="shared" si="209"/>
        <v>1</v>
      </c>
      <c r="G1534">
        <f t="shared" si="210"/>
        <v>0</v>
      </c>
      <c r="H1534">
        <v>0</v>
      </c>
      <c r="I1534">
        <f t="shared" si="211"/>
        <v>0</v>
      </c>
      <c r="J1534">
        <f t="shared" si="203"/>
        <v>12.960158824920661</v>
      </c>
      <c r="K1534" t="s">
        <v>3476</v>
      </c>
      <c r="L1534" t="s">
        <v>3477</v>
      </c>
      <c r="M1534" t="s">
        <v>27</v>
      </c>
      <c r="N1534" t="s">
        <v>27</v>
      </c>
      <c r="O1534">
        <v>12.85</v>
      </c>
      <c r="P1534">
        <v>12.673680305481</v>
      </c>
      <c r="Q1534">
        <v>8.0144577026367205</v>
      </c>
      <c r="R1534">
        <v>17.090000152587901</v>
      </c>
      <c r="S1534">
        <v>18.45</v>
      </c>
      <c r="T1534">
        <v>21.202268600463899</v>
      </c>
      <c r="U1534">
        <v>27.0733032226563</v>
      </c>
      <c r="V1534">
        <v>34939000</v>
      </c>
      <c r="W1534">
        <v>8.9225120544433594</v>
      </c>
      <c r="X1534">
        <v>0.29600000381469699</v>
      </c>
      <c r="Y1534">
        <v>3.2210071086883501</v>
      </c>
      <c r="Z1534">
        <v>4.94570112228394</v>
      </c>
      <c r="AA1534">
        <v>49788750</v>
      </c>
      <c r="AB1534" t="s">
        <v>61</v>
      </c>
      <c r="AC1534" t="s">
        <v>77</v>
      </c>
      <c r="AD1534">
        <v>0.279999995231628</v>
      </c>
      <c r="AE1534">
        <v>23.955247879028299</v>
      </c>
      <c r="AF1534">
        <v>8.5391146970127991</v>
      </c>
      <c r="AG1534">
        <v>52247500</v>
      </c>
      <c r="AH1534">
        <v>20.767890930175799</v>
      </c>
      <c r="AI1534">
        <v>5.44006299972534</v>
      </c>
    </row>
    <row r="1535" spans="1:35">
      <c r="A1535">
        <f t="shared" si="204"/>
        <v>0</v>
      </c>
      <c r="B1535">
        <f t="shared" si="205"/>
        <v>0</v>
      </c>
      <c r="C1535">
        <f t="shared" si="206"/>
        <v>1</v>
      </c>
      <c r="D1535">
        <f t="shared" si="207"/>
        <v>1</v>
      </c>
      <c r="E1535">
        <f t="shared" si="208"/>
        <v>0</v>
      </c>
      <c r="F1535">
        <f t="shared" si="209"/>
        <v>1</v>
      </c>
      <c r="G1535">
        <f t="shared" si="210"/>
        <v>0</v>
      </c>
      <c r="H1535">
        <v>0</v>
      </c>
      <c r="I1535">
        <f t="shared" si="211"/>
        <v>1</v>
      </c>
      <c r="J1535">
        <f t="shared" si="203"/>
        <v>12.920738697052009</v>
      </c>
      <c r="K1535" t="s">
        <v>1546</v>
      </c>
      <c r="L1535" t="s">
        <v>1547</v>
      </c>
      <c r="M1535" t="s">
        <v>27</v>
      </c>
      <c r="N1535" t="s">
        <v>27</v>
      </c>
      <c r="O1535">
        <v>44.01</v>
      </c>
      <c r="P1535">
        <v>4.3687281608581499</v>
      </c>
      <c r="Q1535">
        <v>3.9800610542297399</v>
      </c>
      <c r="R1535">
        <v>24.549999237060501</v>
      </c>
      <c r="S1535">
        <v>21.5</v>
      </c>
      <c r="T1535">
        <v>19.257982254028299</v>
      </c>
      <c r="U1535" t="s">
        <v>27</v>
      </c>
      <c r="V1535">
        <v>4998000</v>
      </c>
      <c r="W1535">
        <v>1.15991103649139</v>
      </c>
      <c r="X1535">
        <v>0.479999989271164</v>
      </c>
      <c r="Y1535">
        <v>9.1644372940063494</v>
      </c>
      <c r="Z1535">
        <v>8.9406776428222692</v>
      </c>
      <c r="AA1535">
        <v>5371000</v>
      </c>
      <c r="AB1535" t="s">
        <v>27</v>
      </c>
      <c r="AC1535" t="s">
        <v>27</v>
      </c>
      <c r="AD1535">
        <v>0.60000002384185802</v>
      </c>
      <c r="AE1535" t="s">
        <v>27</v>
      </c>
      <c r="AF1535" t="s">
        <v>27</v>
      </c>
      <c r="AG1535">
        <v>5283000</v>
      </c>
      <c r="AH1535">
        <v>22.0165500640869</v>
      </c>
      <c r="AI1535">
        <v>1.10584104061127</v>
      </c>
    </row>
    <row r="1536" spans="1:35">
      <c r="A1536">
        <f t="shared" si="204"/>
        <v>0</v>
      </c>
      <c r="B1536">
        <f t="shared" si="205"/>
        <v>1</v>
      </c>
      <c r="C1536">
        <f t="shared" si="206"/>
        <v>0</v>
      </c>
      <c r="D1536">
        <f t="shared" si="207"/>
        <v>1</v>
      </c>
      <c r="E1536">
        <f t="shared" si="208"/>
        <v>0</v>
      </c>
      <c r="F1536">
        <f t="shared" si="209"/>
        <v>1</v>
      </c>
      <c r="G1536">
        <f t="shared" si="210"/>
        <v>1</v>
      </c>
      <c r="H1536">
        <v>0</v>
      </c>
      <c r="I1536">
        <f t="shared" si="211"/>
        <v>0</v>
      </c>
      <c r="J1536">
        <f t="shared" si="203"/>
        <v>12.913250207900999</v>
      </c>
      <c r="K1536" t="s">
        <v>1111</v>
      </c>
      <c r="L1536" t="s">
        <v>1112</v>
      </c>
      <c r="M1536" t="s">
        <v>27</v>
      </c>
      <c r="N1536" t="s">
        <v>27</v>
      </c>
      <c r="O1536">
        <v>26.25</v>
      </c>
      <c r="P1536">
        <v>9.6263179779052699</v>
      </c>
      <c r="Q1536">
        <v>9.2010202407836896</v>
      </c>
      <c r="R1536">
        <v>42.200000762939503</v>
      </c>
      <c r="S1536">
        <v>15.5</v>
      </c>
      <c r="T1536">
        <v>34.0897026062012</v>
      </c>
      <c r="U1536">
        <v>26.488664627075199</v>
      </c>
      <c r="V1536">
        <v>-4658000</v>
      </c>
      <c r="W1536">
        <v>1.3252530097961399</v>
      </c>
      <c r="X1536">
        <v>0.21999999880790699</v>
      </c>
      <c r="Y1536">
        <v>5.9692311286926296</v>
      </c>
      <c r="Z1536">
        <v>3.71222996711731</v>
      </c>
      <c r="AA1536">
        <v>10659000</v>
      </c>
      <c r="AB1536" t="s">
        <v>27</v>
      </c>
      <c r="AC1536" t="s">
        <v>27</v>
      </c>
      <c r="AD1536">
        <v>0.37000000476837203</v>
      </c>
      <c r="AE1536">
        <v>27.718675613403299</v>
      </c>
      <c r="AF1536">
        <v>8.9908006092383204</v>
      </c>
      <c r="AG1536">
        <v>12189000</v>
      </c>
      <c r="AH1536">
        <v>38.758907318115199</v>
      </c>
      <c r="AI1536">
        <v>3.6571919918060298</v>
      </c>
    </row>
    <row r="1537" spans="1:35">
      <c r="A1537">
        <f t="shared" si="204"/>
        <v>0</v>
      </c>
      <c r="B1537">
        <f t="shared" si="205"/>
        <v>0</v>
      </c>
      <c r="C1537">
        <f t="shared" si="206"/>
        <v>1</v>
      </c>
      <c r="D1537">
        <f t="shared" si="207"/>
        <v>0</v>
      </c>
      <c r="E1537">
        <f t="shared" si="208"/>
        <v>0</v>
      </c>
      <c r="F1537">
        <f t="shared" si="209"/>
        <v>1</v>
      </c>
      <c r="G1537">
        <f t="shared" si="210"/>
        <v>0</v>
      </c>
      <c r="H1537">
        <v>0</v>
      </c>
      <c r="I1537">
        <f t="shared" si="211"/>
        <v>0</v>
      </c>
      <c r="J1537">
        <f t="shared" si="203"/>
        <v>12.901463031768801</v>
      </c>
      <c r="K1537" t="s">
        <v>1943</v>
      </c>
      <c r="L1537" t="s">
        <v>1944</v>
      </c>
      <c r="M1537" t="s">
        <v>27</v>
      </c>
      <c r="N1537" t="s">
        <v>27</v>
      </c>
      <c r="O1537">
        <v>20.75</v>
      </c>
      <c r="P1537">
        <v>14.703685760498001</v>
      </c>
      <c r="Q1537">
        <v>6.5469479560852104</v>
      </c>
      <c r="R1537">
        <v>25.399999618530298</v>
      </c>
      <c r="S1537">
        <v>25.2299995422363</v>
      </c>
      <c r="T1537">
        <v>10.2193450927734</v>
      </c>
      <c r="U1537">
        <v>36.550952911377003</v>
      </c>
      <c r="V1537">
        <v>24259002</v>
      </c>
      <c r="W1537">
        <v>14.3266096115112</v>
      </c>
      <c r="X1537">
        <v>0.239999994635582</v>
      </c>
      <c r="Y1537">
        <v>7.6521739959716797</v>
      </c>
      <c r="Z1537">
        <v>6.3545150756835902</v>
      </c>
      <c r="AA1537">
        <v>29907000</v>
      </c>
      <c r="AB1537" t="s">
        <v>27</v>
      </c>
      <c r="AC1537" t="s">
        <v>27</v>
      </c>
      <c r="AD1537">
        <v>-0.81000000238418601</v>
      </c>
      <c r="AE1537">
        <v>34.782096862792997</v>
      </c>
      <c r="AF1537">
        <v>10.2911964554914</v>
      </c>
      <c r="AG1537">
        <v>29924000</v>
      </c>
      <c r="AH1537">
        <v>22.155769348144499</v>
      </c>
      <c r="AI1537">
        <v>8.9191780090331996</v>
      </c>
    </row>
    <row r="1538" spans="1:35">
      <c r="A1538">
        <f t="shared" si="204"/>
        <v>1</v>
      </c>
      <c r="B1538">
        <f t="shared" si="205"/>
        <v>0</v>
      </c>
      <c r="C1538">
        <f t="shared" si="206"/>
        <v>1</v>
      </c>
      <c r="D1538">
        <f t="shared" si="207"/>
        <v>0</v>
      </c>
      <c r="E1538">
        <f t="shared" si="208"/>
        <v>0</v>
      </c>
      <c r="F1538">
        <f t="shared" si="209"/>
        <v>1</v>
      </c>
      <c r="G1538">
        <f t="shared" si="210"/>
        <v>0</v>
      </c>
      <c r="H1538">
        <v>0</v>
      </c>
      <c r="I1538">
        <f t="shared" si="211"/>
        <v>0</v>
      </c>
      <c r="J1538">
        <f t="shared" si="203"/>
        <v>12.837740898132321</v>
      </c>
      <c r="K1538" t="s">
        <v>816</v>
      </c>
      <c r="L1538" t="s">
        <v>817</v>
      </c>
      <c r="M1538" t="s">
        <v>27</v>
      </c>
      <c r="N1538" t="s">
        <v>27</v>
      </c>
      <c r="O1538">
        <v>35.700000000000003</v>
      </c>
      <c r="P1538">
        <v>7.8197560310363796</v>
      </c>
      <c r="Q1538">
        <v>7.3262138366699201</v>
      </c>
      <c r="R1538">
        <v>37.080001831054702</v>
      </c>
      <c r="S1538">
        <v>28.125</v>
      </c>
      <c r="T1538">
        <v>33.806747436523402</v>
      </c>
      <c r="U1538">
        <v>22.211839675903299</v>
      </c>
      <c r="V1538">
        <v>717000</v>
      </c>
      <c r="W1538">
        <v>5.8420472145080602</v>
      </c>
      <c r="X1538">
        <v>0.68999999761581399</v>
      </c>
      <c r="Y1538">
        <v>7.5362319946289098</v>
      </c>
      <c r="Z1538">
        <v>5.5115270614623997</v>
      </c>
      <c r="AA1538">
        <v>13015000</v>
      </c>
      <c r="AB1538" t="s">
        <v>30</v>
      </c>
      <c r="AC1538" t="s">
        <v>223</v>
      </c>
      <c r="AD1538">
        <v>0.54000002145767201</v>
      </c>
      <c r="AE1538">
        <v>18.228908538818398</v>
      </c>
      <c r="AF1538">
        <v>8.3485320732359405</v>
      </c>
      <c r="AG1538">
        <v>13098000</v>
      </c>
      <c r="AH1538">
        <v>28.935115814208999</v>
      </c>
      <c r="AI1538">
        <v>4.4154138565063503</v>
      </c>
    </row>
    <row r="1539" spans="1:35">
      <c r="A1539">
        <f t="shared" si="204"/>
        <v>1</v>
      </c>
      <c r="B1539">
        <f t="shared" si="205"/>
        <v>0</v>
      </c>
      <c r="C1539">
        <f t="shared" si="206"/>
        <v>1</v>
      </c>
      <c r="D1539">
        <f t="shared" si="207"/>
        <v>0</v>
      </c>
      <c r="E1539">
        <f t="shared" si="208"/>
        <v>0</v>
      </c>
      <c r="F1539">
        <f t="shared" si="209"/>
        <v>1</v>
      </c>
      <c r="G1539">
        <f t="shared" si="210"/>
        <v>0</v>
      </c>
      <c r="H1539">
        <v>0</v>
      </c>
      <c r="I1539">
        <f t="shared" si="211"/>
        <v>0</v>
      </c>
      <c r="J1539">
        <f t="shared" si="203"/>
        <v>12.825846195220951</v>
      </c>
      <c r="K1539" t="s">
        <v>3254</v>
      </c>
      <c r="L1539" t="s">
        <v>3255</v>
      </c>
      <c r="M1539" t="s">
        <v>27</v>
      </c>
      <c r="N1539" t="s">
        <v>27</v>
      </c>
      <c r="O1539">
        <v>19.5</v>
      </c>
      <c r="P1539">
        <v>11.062547683715801</v>
      </c>
      <c r="Q1539">
        <v>7.6001930236816397</v>
      </c>
      <c r="R1539">
        <v>21.399999618530298</v>
      </c>
      <c r="S1539">
        <v>19</v>
      </c>
      <c r="T1539">
        <v>56.564964294433601</v>
      </c>
      <c r="U1539" t="s">
        <v>27</v>
      </c>
      <c r="V1539">
        <v>21591000</v>
      </c>
      <c r="W1539">
        <v>6.5911240577697798</v>
      </c>
      <c r="X1539">
        <v>0.40000000596046398</v>
      </c>
      <c r="Y1539">
        <v>13.2307691574097</v>
      </c>
      <c r="Z1539">
        <v>5.2256531715393102</v>
      </c>
      <c r="AA1539">
        <v>26863568</v>
      </c>
      <c r="AB1539" t="s">
        <v>27</v>
      </c>
      <c r="AC1539" t="s">
        <v>27</v>
      </c>
      <c r="AD1539">
        <v>0.25</v>
      </c>
      <c r="AE1539">
        <v>15.3666906356812</v>
      </c>
      <c r="AF1539">
        <v>7.7622510200750803</v>
      </c>
      <c r="AG1539">
        <v>26700000</v>
      </c>
      <c r="AH1539">
        <v>35.420555114746101</v>
      </c>
      <c r="AI1539">
        <v>3.50959300994873</v>
      </c>
    </row>
    <row r="1540" spans="1:35">
      <c r="A1540">
        <f t="shared" si="204"/>
        <v>1</v>
      </c>
      <c r="B1540">
        <f t="shared" si="205"/>
        <v>0</v>
      </c>
      <c r="C1540">
        <f t="shared" si="206"/>
        <v>1</v>
      </c>
      <c r="D1540">
        <f t="shared" si="207"/>
        <v>1</v>
      </c>
      <c r="E1540">
        <f t="shared" si="208"/>
        <v>0</v>
      </c>
      <c r="F1540">
        <f t="shared" si="209"/>
        <v>1</v>
      </c>
      <c r="G1540">
        <f t="shared" si="210"/>
        <v>1</v>
      </c>
      <c r="H1540">
        <v>0</v>
      </c>
      <c r="I1540">
        <f t="shared" si="211"/>
        <v>0</v>
      </c>
      <c r="J1540">
        <f t="shared" si="203"/>
        <v>12.80000495910644</v>
      </c>
      <c r="K1540" t="s">
        <v>2294</v>
      </c>
      <c r="L1540" t="s">
        <v>2295</v>
      </c>
      <c r="M1540" t="s">
        <v>27</v>
      </c>
      <c r="N1540" t="s">
        <v>27</v>
      </c>
      <c r="O1540">
        <v>14.24</v>
      </c>
      <c r="P1540">
        <v>8.3712415695190394</v>
      </c>
      <c r="Q1540">
        <v>7.9463839530944798</v>
      </c>
      <c r="R1540">
        <v>37.290000915527301</v>
      </c>
      <c r="S1540">
        <v>22.875</v>
      </c>
      <c r="T1540">
        <v>51.987098693847699</v>
      </c>
      <c r="U1540">
        <v>91.384994506835895</v>
      </c>
      <c r="V1540">
        <v>10444000</v>
      </c>
      <c r="W1540">
        <v>6.1148500442504901</v>
      </c>
      <c r="X1540">
        <v>0.30000001192092901</v>
      </c>
      <c r="Y1540">
        <v>5.4545450210571298</v>
      </c>
      <c r="Z1540">
        <v>4.8536210060119602</v>
      </c>
      <c r="AA1540">
        <v>11586000</v>
      </c>
      <c r="AB1540" t="s">
        <v>61</v>
      </c>
      <c r="AC1540" t="s">
        <v>77</v>
      </c>
      <c r="AD1540">
        <v>0.37000000476837203</v>
      </c>
      <c r="AE1540">
        <v>91.436019897460895</v>
      </c>
      <c r="AF1540">
        <v>7.9883013724925602</v>
      </c>
      <c r="AG1540">
        <v>14081000</v>
      </c>
      <c r="AH1540">
        <v>43.572845458984403</v>
      </c>
      <c r="AI1540">
        <v>5.7684798240661603</v>
      </c>
    </row>
    <row r="1541" spans="1:35">
      <c r="A1541">
        <f t="shared" si="204"/>
        <v>0</v>
      </c>
      <c r="B1541">
        <f t="shared" si="205"/>
        <v>0</v>
      </c>
      <c r="C1541">
        <f t="shared" si="206"/>
        <v>1</v>
      </c>
      <c r="D1541">
        <f t="shared" si="207"/>
        <v>1</v>
      </c>
      <c r="E1541">
        <f t="shared" si="208"/>
        <v>0</v>
      </c>
      <c r="F1541">
        <f t="shared" si="209"/>
        <v>1</v>
      </c>
      <c r="G1541">
        <f t="shared" si="210"/>
        <v>0</v>
      </c>
      <c r="H1541">
        <v>0</v>
      </c>
      <c r="I1541">
        <f t="shared" si="211"/>
        <v>0</v>
      </c>
      <c r="J1541">
        <f t="shared" si="203"/>
        <v>12.79592943191529</v>
      </c>
      <c r="K1541" t="s">
        <v>2092</v>
      </c>
      <c r="L1541" t="s">
        <v>2093</v>
      </c>
      <c r="M1541" t="s">
        <v>27</v>
      </c>
      <c r="N1541" t="s">
        <v>27</v>
      </c>
      <c r="O1541">
        <v>10.07</v>
      </c>
      <c r="P1541">
        <v>13.164991378784199</v>
      </c>
      <c r="Q1541">
        <v>8.4759292602539098</v>
      </c>
      <c r="R1541">
        <v>17.379999160766602</v>
      </c>
      <c r="S1541">
        <v>12</v>
      </c>
      <c r="T1541">
        <v>1.1391949653625499</v>
      </c>
      <c r="U1541">
        <v>28.724657058715799</v>
      </c>
      <c r="V1541">
        <v>4729000</v>
      </c>
      <c r="W1541">
        <v>12.147051811218301</v>
      </c>
      <c r="X1541">
        <v>0.19333332777023299</v>
      </c>
      <c r="Y1541">
        <v>6.9859161376953098</v>
      </c>
      <c r="Z1541">
        <v>4.3200001716613796</v>
      </c>
      <c r="AA1541">
        <v>15459000</v>
      </c>
      <c r="AB1541" t="s">
        <v>61</v>
      </c>
      <c r="AC1541" t="s">
        <v>106</v>
      </c>
      <c r="AD1541">
        <v>0.240000009536743</v>
      </c>
      <c r="AE1541">
        <v>28.462770462036101</v>
      </c>
      <c r="AF1541">
        <v>6.8941831506011901</v>
      </c>
      <c r="AG1541">
        <v>15687000</v>
      </c>
      <c r="AH1541">
        <v>10.9626579284668</v>
      </c>
      <c r="AI1541">
        <v>6.0132341384887704</v>
      </c>
    </row>
    <row r="1542" spans="1:35">
      <c r="A1542">
        <f t="shared" si="204"/>
        <v>1</v>
      </c>
      <c r="B1542">
        <f t="shared" si="205"/>
        <v>1</v>
      </c>
      <c r="C1542">
        <f t="shared" si="206"/>
        <v>1</v>
      </c>
      <c r="D1542">
        <f t="shared" si="207"/>
        <v>1</v>
      </c>
      <c r="E1542">
        <f t="shared" si="208"/>
        <v>0</v>
      </c>
      <c r="F1542">
        <f t="shared" si="209"/>
        <v>1</v>
      </c>
      <c r="G1542">
        <f t="shared" si="210"/>
        <v>0</v>
      </c>
      <c r="H1542">
        <v>0</v>
      </c>
      <c r="I1542">
        <f t="shared" si="211"/>
        <v>1</v>
      </c>
      <c r="J1542">
        <f t="shared" si="203"/>
        <v>12.782914400100699</v>
      </c>
      <c r="K1542" t="s">
        <v>1364</v>
      </c>
      <c r="L1542" t="s">
        <v>1365</v>
      </c>
      <c r="M1542" t="s">
        <v>27</v>
      </c>
      <c r="N1542" t="s">
        <v>27</v>
      </c>
      <c r="O1542">
        <v>47.99</v>
      </c>
      <c r="P1542">
        <v>4.0384168624877903</v>
      </c>
      <c r="Q1542">
        <v>3.9903290271759002</v>
      </c>
      <c r="R1542">
        <v>44.099998474121101</v>
      </c>
      <c r="S1542">
        <v>31.375</v>
      </c>
      <c r="T1542">
        <v>25.943788528442401</v>
      </c>
      <c r="U1542" t="s">
        <v>27</v>
      </c>
      <c r="V1542">
        <v>12058000</v>
      </c>
      <c r="W1542">
        <v>1.1516519784927399</v>
      </c>
      <c r="X1542">
        <v>0.88999998569488503</v>
      </c>
      <c r="Y1542">
        <v>11.2131147384644</v>
      </c>
      <c r="Z1542">
        <v>8.7925853729247994</v>
      </c>
      <c r="AA1542">
        <v>6694000</v>
      </c>
      <c r="AB1542" t="s">
        <v>34</v>
      </c>
      <c r="AC1542" t="s">
        <v>35</v>
      </c>
      <c r="AD1542">
        <v>0.92000001668930098</v>
      </c>
      <c r="AE1542" t="s">
        <v>27</v>
      </c>
      <c r="AF1542" t="s">
        <v>27</v>
      </c>
      <c r="AG1542">
        <v>6850000</v>
      </c>
      <c r="AH1542">
        <v>25.587451934814499</v>
      </c>
      <c r="AI1542">
        <v>1.17579805850983</v>
      </c>
    </row>
    <row r="1543" spans="1:35">
      <c r="A1543">
        <f t="shared" si="204"/>
        <v>0</v>
      </c>
      <c r="B1543">
        <f t="shared" si="205"/>
        <v>0</v>
      </c>
      <c r="C1543">
        <f t="shared" si="206"/>
        <v>0</v>
      </c>
      <c r="D1543">
        <f t="shared" si="207"/>
        <v>1</v>
      </c>
      <c r="E1543">
        <f t="shared" si="208"/>
        <v>0</v>
      </c>
      <c r="F1543">
        <f t="shared" si="209"/>
        <v>1</v>
      </c>
      <c r="G1543">
        <f t="shared" si="210"/>
        <v>0</v>
      </c>
      <c r="H1543">
        <v>0</v>
      </c>
      <c r="I1543">
        <f t="shared" si="211"/>
        <v>1</v>
      </c>
      <c r="J1543">
        <f t="shared" si="203"/>
        <v>12.77914834022522</v>
      </c>
      <c r="K1543" t="s">
        <v>2881</v>
      </c>
      <c r="L1543" t="s">
        <v>2882</v>
      </c>
      <c r="M1543" t="s">
        <v>27</v>
      </c>
      <c r="N1543" t="s">
        <v>27</v>
      </c>
      <c r="O1543">
        <v>22.09</v>
      </c>
      <c r="P1543">
        <v>2.89449906349182</v>
      </c>
      <c r="Q1543">
        <v>3.2442638874053999</v>
      </c>
      <c r="R1543">
        <v>17.778875350952099</v>
      </c>
      <c r="S1543">
        <v>14.875</v>
      </c>
      <c r="T1543">
        <v>43.212337493896499</v>
      </c>
      <c r="U1543" t="s">
        <v>27</v>
      </c>
      <c r="V1543">
        <v>-3496000</v>
      </c>
      <c r="W1543">
        <v>1.6677780151367201</v>
      </c>
      <c r="X1543">
        <v>0.34999999403953602</v>
      </c>
      <c r="Y1543">
        <v>12.3636360168457</v>
      </c>
      <c r="Z1543">
        <v>9.5348844528198207</v>
      </c>
      <c r="AA1543">
        <v>28667000</v>
      </c>
      <c r="AB1543" t="s">
        <v>27</v>
      </c>
      <c r="AC1543" t="s">
        <v>27</v>
      </c>
      <c r="AD1543">
        <v>0.479999989271164</v>
      </c>
      <c r="AE1543" t="s">
        <v>27</v>
      </c>
      <c r="AF1543" t="s">
        <v>27</v>
      </c>
      <c r="AG1543">
        <v>30927000</v>
      </c>
      <c r="AH1543">
        <v>43.790267944335902</v>
      </c>
      <c r="AI1543">
        <v>1.35262894630432</v>
      </c>
    </row>
    <row r="1544" spans="1:35">
      <c r="A1544">
        <f t="shared" si="204"/>
        <v>1</v>
      </c>
      <c r="B1544">
        <f t="shared" si="205"/>
        <v>0</v>
      </c>
      <c r="C1544">
        <f t="shared" si="206"/>
        <v>1</v>
      </c>
      <c r="D1544">
        <f t="shared" si="207"/>
        <v>1</v>
      </c>
      <c r="E1544">
        <f t="shared" si="208"/>
        <v>1</v>
      </c>
      <c r="F1544">
        <f t="shared" si="209"/>
        <v>1</v>
      </c>
      <c r="G1544">
        <f t="shared" si="210"/>
        <v>0</v>
      </c>
      <c r="H1544">
        <v>0</v>
      </c>
      <c r="I1544">
        <f t="shared" si="211"/>
        <v>1</v>
      </c>
      <c r="J1544">
        <f t="shared" si="203"/>
        <v>12.77612400054932</v>
      </c>
      <c r="K1544" t="s">
        <v>3641</v>
      </c>
      <c r="L1544" t="s">
        <v>3642</v>
      </c>
      <c r="M1544" t="s">
        <v>27</v>
      </c>
      <c r="N1544" t="s">
        <v>27</v>
      </c>
      <c r="O1544">
        <v>24.69</v>
      </c>
      <c r="P1544" t="s">
        <v>27</v>
      </c>
      <c r="Q1544">
        <v>6.0734210014343297</v>
      </c>
      <c r="R1544">
        <v>15</v>
      </c>
      <c r="S1544">
        <v>17.3593444824219</v>
      </c>
      <c r="T1544">
        <v>14.5293025970459</v>
      </c>
      <c r="U1544" t="s">
        <v>27</v>
      </c>
      <c r="V1544">
        <v>15236000</v>
      </c>
      <c r="W1544" t="s">
        <v>27</v>
      </c>
      <c r="X1544">
        <v>-7.5000002980232197E-2</v>
      </c>
      <c r="Y1544" t="s">
        <v>27</v>
      </c>
      <c r="Z1544">
        <v>6.7027029991149902</v>
      </c>
      <c r="AA1544">
        <v>21028000</v>
      </c>
      <c r="AB1544" t="s">
        <v>34</v>
      </c>
      <c r="AC1544" t="s">
        <v>35</v>
      </c>
      <c r="AD1544">
        <v>0.34000000357627902</v>
      </c>
      <c r="AE1544" t="s">
        <v>27</v>
      </c>
      <c r="AF1544" t="s">
        <v>27</v>
      </c>
      <c r="AG1544">
        <v>21028000</v>
      </c>
      <c r="AH1544">
        <v>13.4603462219238</v>
      </c>
      <c r="AI1544">
        <v>0.59089601039886497</v>
      </c>
    </row>
    <row r="1545" spans="1:35">
      <c r="A1545">
        <f t="shared" si="204"/>
        <v>0</v>
      </c>
      <c r="B1545">
        <f t="shared" si="205"/>
        <v>1</v>
      </c>
      <c r="C1545">
        <f t="shared" si="206"/>
        <v>0</v>
      </c>
      <c r="D1545">
        <f t="shared" si="207"/>
        <v>0</v>
      </c>
      <c r="E1545">
        <f t="shared" si="208"/>
        <v>0</v>
      </c>
      <c r="F1545">
        <f t="shared" si="209"/>
        <v>1</v>
      </c>
      <c r="G1545">
        <f t="shared" si="210"/>
        <v>0</v>
      </c>
      <c r="H1545">
        <v>0</v>
      </c>
      <c r="I1545">
        <f t="shared" si="211"/>
        <v>0</v>
      </c>
      <c r="J1545">
        <f t="shared" si="203"/>
        <v>12.75832986831665</v>
      </c>
      <c r="K1545" t="s">
        <v>574</v>
      </c>
      <c r="L1545" t="s">
        <v>575</v>
      </c>
      <c r="M1545" t="s">
        <v>27</v>
      </c>
      <c r="N1545" t="s">
        <v>27</v>
      </c>
      <c r="O1545">
        <v>41.26</v>
      </c>
      <c r="P1545">
        <v>17.203142166137699</v>
      </c>
      <c r="Q1545">
        <v>7.3113579750061</v>
      </c>
      <c r="R1545">
        <v>42.650001525878899</v>
      </c>
      <c r="S1545">
        <v>42.319999694824197</v>
      </c>
      <c r="T1545">
        <v>30.3710041046143</v>
      </c>
      <c r="U1545">
        <v>14.2333030700684</v>
      </c>
      <c r="V1545">
        <v>-65755000</v>
      </c>
      <c r="W1545">
        <v>12.712080001831101</v>
      </c>
      <c r="X1545">
        <v>-0.28999999165535001</v>
      </c>
      <c r="Y1545">
        <v>12.0595035552979</v>
      </c>
      <c r="Z1545">
        <v>5.4469718933105504</v>
      </c>
      <c r="AA1545">
        <v>21597000</v>
      </c>
      <c r="AB1545" t="s">
        <v>61</v>
      </c>
      <c r="AC1545" t="s">
        <v>101</v>
      </c>
      <c r="AD1545">
        <v>-0.81000000238418601</v>
      </c>
      <c r="AE1545">
        <v>9.0252161026000994</v>
      </c>
      <c r="AF1545">
        <v>6.28970881985828</v>
      </c>
      <c r="AG1545">
        <v>21601000</v>
      </c>
      <c r="AH1545">
        <v>41.80859375</v>
      </c>
      <c r="AI1545" t="s">
        <v>27</v>
      </c>
    </row>
    <row r="1546" spans="1:35">
      <c r="A1546">
        <f t="shared" si="204"/>
        <v>1</v>
      </c>
      <c r="B1546">
        <f t="shared" si="205"/>
        <v>0</v>
      </c>
      <c r="C1546">
        <f t="shared" si="206"/>
        <v>1</v>
      </c>
      <c r="D1546">
        <f t="shared" si="207"/>
        <v>0</v>
      </c>
      <c r="E1546">
        <f t="shared" si="208"/>
        <v>0</v>
      </c>
      <c r="F1546">
        <f t="shared" si="209"/>
        <v>1</v>
      </c>
      <c r="G1546">
        <f t="shared" si="210"/>
        <v>1</v>
      </c>
      <c r="H1546">
        <v>0</v>
      </c>
      <c r="I1546">
        <f t="shared" si="211"/>
        <v>1</v>
      </c>
      <c r="J1546">
        <f t="shared" si="203"/>
        <v>12.73775911331176</v>
      </c>
      <c r="K1546" t="s">
        <v>66</v>
      </c>
      <c r="L1546" t="s">
        <v>67</v>
      </c>
      <c r="M1546" t="s">
        <v>27</v>
      </c>
      <c r="N1546" t="s">
        <v>27</v>
      </c>
      <c r="O1546">
        <v>19.46</v>
      </c>
      <c r="P1546">
        <v>10.274299621581999</v>
      </c>
      <c r="Q1546">
        <v>6.1571140289306596</v>
      </c>
      <c r="R1546">
        <v>17.850000381469702</v>
      </c>
      <c r="S1546">
        <v>16.809999465942401</v>
      </c>
      <c r="T1546">
        <v>23.069988250732401</v>
      </c>
      <c r="U1546">
        <v>79.387260437011705</v>
      </c>
      <c r="V1546">
        <v>55555000</v>
      </c>
      <c r="W1546">
        <v>8.6700906753540004</v>
      </c>
      <c r="X1546">
        <v>0.34000000357627902</v>
      </c>
      <c r="Y1546">
        <v>10.563106536865201</v>
      </c>
      <c r="Z1546">
        <v>6.5806450843811</v>
      </c>
      <c r="AA1546">
        <v>19855000</v>
      </c>
      <c r="AB1546" t="s">
        <v>30</v>
      </c>
      <c r="AC1546" t="s">
        <v>68</v>
      </c>
      <c r="AD1546">
        <v>-0.10000000149011599</v>
      </c>
      <c r="AE1546">
        <v>81.415832519531307</v>
      </c>
      <c r="AF1546">
        <v>2.2169645121888402</v>
      </c>
      <c r="AG1546">
        <v>19974000</v>
      </c>
      <c r="AH1546">
        <v>19.6725044250488</v>
      </c>
      <c r="AI1546">
        <v>7.8023781776428196</v>
      </c>
    </row>
    <row r="1547" spans="1:35">
      <c r="A1547">
        <f t="shared" si="204"/>
        <v>0</v>
      </c>
      <c r="B1547">
        <f t="shared" si="205"/>
        <v>0</v>
      </c>
      <c r="C1547">
        <f t="shared" si="206"/>
        <v>1</v>
      </c>
      <c r="D1547">
        <f t="shared" si="207"/>
        <v>1</v>
      </c>
      <c r="E1547">
        <f t="shared" si="208"/>
        <v>0</v>
      </c>
      <c r="F1547">
        <f t="shared" si="209"/>
        <v>1</v>
      </c>
      <c r="G1547">
        <f t="shared" si="210"/>
        <v>0</v>
      </c>
      <c r="H1547">
        <v>0</v>
      </c>
      <c r="I1547">
        <f t="shared" si="211"/>
        <v>0</v>
      </c>
      <c r="J1547">
        <f t="shared" si="203"/>
        <v>12.732595920562741</v>
      </c>
      <c r="K1547" t="s">
        <v>2805</v>
      </c>
      <c r="L1547" t="s">
        <v>2806</v>
      </c>
      <c r="M1547" t="s">
        <v>27</v>
      </c>
      <c r="N1547" t="s">
        <v>27</v>
      </c>
      <c r="O1547">
        <v>2.67</v>
      </c>
      <c r="P1547">
        <v>7.63486623764038</v>
      </c>
      <c r="Q1547">
        <v>6.5637650489807102</v>
      </c>
      <c r="R1547">
        <v>3.0899999141693102</v>
      </c>
      <c r="S1547">
        <v>5.25</v>
      </c>
      <c r="T1547">
        <v>26.313817977905298</v>
      </c>
      <c r="U1547" t="s">
        <v>27</v>
      </c>
      <c r="V1547">
        <v>7227000</v>
      </c>
      <c r="W1547">
        <v>6.4066438674926802</v>
      </c>
      <c r="X1547">
        <v>1.9999999552965199E-2</v>
      </c>
      <c r="Y1547">
        <v>-1.5555560588836701</v>
      </c>
      <c r="Z1547">
        <v>6.1688308715820304</v>
      </c>
      <c r="AA1547">
        <v>13309000</v>
      </c>
      <c r="AB1547" t="s">
        <v>27</v>
      </c>
      <c r="AC1547" t="s">
        <v>27</v>
      </c>
      <c r="AD1547">
        <v>5.9999998658895499E-2</v>
      </c>
      <c r="AE1547" t="s">
        <v>27</v>
      </c>
      <c r="AF1547">
        <v>15.3440699422595</v>
      </c>
      <c r="AG1547">
        <v>40401000</v>
      </c>
      <c r="AH1547">
        <v>27.084459304809599</v>
      </c>
      <c r="AI1547">
        <v>5.5988631248474103</v>
      </c>
    </row>
    <row r="1548" spans="1:35">
      <c r="A1548">
        <f t="shared" si="204"/>
        <v>0</v>
      </c>
      <c r="B1548">
        <f t="shared" si="205"/>
        <v>0</v>
      </c>
      <c r="C1548">
        <f t="shared" si="206"/>
        <v>1</v>
      </c>
      <c r="D1548">
        <f t="shared" si="207"/>
        <v>0</v>
      </c>
      <c r="E1548">
        <f t="shared" si="208"/>
        <v>0</v>
      </c>
      <c r="F1548">
        <f t="shared" si="209"/>
        <v>1</v>
      </c>
      <c r="G1548">
        <f t="shared" si="210"/>
        <v>0</v>
      </c>
      <c r="H1548">
        <v>0</v>
      </c>
      <c r="I1548">
        <f t="shared" si="211"/>
        <v>0</v>
      </c>
      <c r="J1548">
        <f t="shared" si="203"/>
        <v>12.72354698181152</v>
      </c>
      <c r="K1548" t="s">
        <v>2829</v>
      </c>
      <c r="L1548" t="s">
        <v>2830</v>
      </c>
      <c r="M1548" t="s">
        <v>27</v>
      </c>
      <c r="N1548" t="s">
        <v>27</v>
      </c>
      <c r="O1548">
        <v>14.35</v>
      </c>
      <c r="P1548">
        <v>22.031810760498001</v>
      </c>
      <c r="Q1548">
        <v>9.3379669189453107</v>
      </c>
      <c r="R1548">
        <v>17.049999237060501</v>
      </c>
      <c r="S1548">
        <v>15.0625</v>
      </c>
      <c r="T1548">
        <v>0</v>
      </c>
      <c r="U1548">
        <v>76.377868652343807</v>
      </c>
      <c r="V1548">
        <v>5933000</v>
      </c>
      <c r="W1548">
        <v>15.1063556671143</v>
      </c>
      <c r="X1548">
        <v>0.18999999761581399</v>
      </c>
      <c r="Y1548">
        <v>6.8675799369812003</v>
      </c>
      <c r="Z1548">
        <v>3.38558006286621</v>
      </c>
      <c r="AA1548">
        <v>35796000</v>
      </c>
      <c r="AB1548" t="s">
        <v>38</v>
      </c>
      <c r="AC1548" t="s">
        <v>89</v>
      </c>
      <c r="AD1548">
        <v>0.140000000596046</v>
      </c>
      <c r="AE1548">
        <v>74.009925842285199</v>
      </c>
      <c r="AF1548">
        <v>8.1300963006133298</v>
      </c>
      <c r="AG1548">
        <v>35576000</v>
      </c>
      <c r="AH1548">
        <v>0</v>
      </c>
      <c r="AI1548">
        <v>12.571377754211399</v>
      </c>
    </row>
    <row r="1549" spans="1:35">
      <c r="A1549">
        <f t="shared" si="204"/>
        <v>1</v>
      </c>
      <c r="B1549">
        <f t="shared" si="205"/>
        <v>1</v>
      </c>
      <c r="C1549">
        <f t="shared" si="206"/>
        <v>1</v>
      </c>
      <c r="D1549">
        <f t="shared" si="207"/>
        <v>1</v>
      </c>
      <c r="E1549">
        <f t="shared" si="208"/>
        <v>0</v>
      </c>
      <c r="F1549">
        <f t="shared" si="209"/>
        <v>1</v>
      </c>
      <c r="G1549">
        <f t="shared" si="210"/>
        <v>0</v>
      </c>
      <c r="H1549">
        <v>0</v>
      </c>
      <c r="I1549">
        <f t="shared" si="211"/>
        <v>1</v>
      </c>
      <c r="J1549">
        <f t="shared" si="203"/>
        <v>12.70883798599243</v>
      </c>
      <c r="K1549" t="s">
        <v>1390</v>
      </c>
      <c r="L1549" t="s">
        <v>1391</v>
      </c>
      <c r="M1549" t="s">
        <v>27</v>
      </c>
      <c r="N1549" t="s">
        <v>27</v>
      </c>
      <c r="O1549">
        <v>28.91</v>
      </c>
      <c r="P1549">
        <v>1.8668019771575901</v>
      </c>
      <c r="Q1549">
        <v>2.2088379859924299</v>
      </c>
      <c r="R1549">
        <v>26.110000610351602</v>
      </c>
      <c r="S1549">
        <v>31.149999618530298</v>
      </c>
      <c r="T1549">
        <v>42.1149291992188</v>
      </c>
      <c r="U1549" t="s">
        <v>27</v>
      </c>
      <c r="V1549">
        <v>16173000</v>
      </c>
      <c r="W1549">
        <v>0.88094300031661998</v>
      </c>
      <c r="X1549">
        <v>0.55000001192092896</v>
      </c>
      <c r="Y1549">
        <v>8.8695650100708008</v>
      </c>
      <c r="Z1549">
        <v>10.5</v>
      </c>
      <c r="AA1549">
        <v>17226000</v>
      </c>
      <c r="AB1549" t="s">
        <v>27</v>
      </c>
      <c r="AC1549" t="s">
        <v>27</v>
      </c>
      <c r="AD1549">
        <v>0.72000002861022905</v>
      </c>
      <c r="AE1549" t="s">
        <v>27</v>
      </c>
      <c r="AF1549" t="s">
        <v>27</v>
      </c>
      <c r="AG1549">
        <v>17292000</v>
      </c>
      <c r="AH1549">
        <v>40.651481628417997</v>
      </c>
      <c r="AI1549">
        <v>0.93392300605773904</v>
      </c>
    </row>
    <row r="1550" spans="1:35">
      <c r="A1550">
        <f t="shared" si="204"/>
        <v>1</v>
      </c>
      <c r="B1550">
        <f t="shared" si="205"/>
        <v>0</v>
      </c>
      <c r="C1550">
        <f t="shared" si="206"/>
        <v>0</v>
      </c>
      <c r="D1550">
        <f t="shared" si="207"/>
        <v>0</v>
      </c>
      <c r="E1550">
        <f t="shared" si="208"/>
        <v>0</v>
      </c>
      <c r="F1550">
        <f t="shared" si="209"/>
        <v>1</v>
      </c>
      <c r="G1550">
        <f t="shared" si="210"/>
        <v>1</v>
      </c>
      <c r="H1550">
        <v>0</v>
      </c>
      <c r="I1550">
        <f t="shared" si="211"/>
        <v>0</v>
      </c>
      <c r="J1550">
        <f t="shared" si="203"/>
        <v>12.692434787750241</v>
      </c>
      <c r="K1550" t="s">
        <v>1191</v>
      </c>
      <c r="L1550" t="s">
        <v>1192</v>
      </c>
      <c r="M1550" t="s">
        <v>27</v>
      </c>
      <c r="N1550" t="s">
        <v>27</v>
      </c>
      <c r="O1550">
        <v>14.491</v>
      </c>
      <c r="P1550">
        <v>3.8007669448852499</v>
      </c>
      <c r="Q1550">
        <v>6.2664418220520002</v>
      </c>
      <c r="R1550">
        <v>18.5</v>
      </c>
      <c r="S1550">
        <v>16.5</v>
      </c>
      <c r="T1550">
        <v>27.6694145202637</v>
      </c>
      <c r="U1550">
        <v>30.843324661254901</v>
      </c>
      <c r="V1550">
        <v>-6682000</v>
      </c>
      <c r="W1550">
        <v>2.8705809116363499</v>
      </c>
      <c r="X1550">
        <v>0.20999999344348899</v>
      </c>
      <c r="Y1550">
        <v>3.3333330154418901</v>
      </c>
      <c r="Z1550">
        <v>6.4259929656982404</v>
      </c>
      <c r="AA1550">
        <v>8765000</v>
      </c>
      <c r="AB1550" t="s">
        <v>27</v>
      </c>
      <c r="AC1550" t="s">
        <v>27</v>
      </c>
      <c r="AD1550">
        <v>0.10000000149011599</v>
      </c>
      <c r="AE1550">
        <v>31.989086151123001</v>
      </c>
      <c r="AF1550">
        <v>9.9906820389540307</v>
      </c>
      <c r="AG1550">
        <v>10397000</v>
      </c>
      <c r="AH1550">
        <v>23.977890014648398</v>
      </c>
      <c r="AI1550">
        <v>2.2126369476318399</v>
      </c>
    </row>
    <row r="1551" spans="1:35">
      <c r="A1551">
        <f t="shared" si="204"/>
        <v>1</v>
      </c>
      <c r="B1551">
        <f t="shared" si="205"/>
        <v>1</v>
      </c>
      <c r="C1551">
        <f t="shared" si="206"/>
        <v>1</v>
      </c>
      <c r="D1551">
        <f t="shared" si="207"/>
        <v>0</v>
      </c>
      <c r="E1551">
        <f t="shared" si="208"/>
        <v>0</v>
      </c>
      <c r="F1551">
        <f t="shared" si="209"/>
        <v>1</v>
      </c>
      <c r="G1551">
        <f t="shared" si="210"/>
        <v>0</v>
      </c>
      <c r="H1551">
        <v>0</v>
      </c>
      <c r="I1551">
        <f t="shared" si="211"/>
        <v>1</v>
      </c>
      <c r="J1551">
        <f t="shared" si="203"/>
        <v>12.68960428237915</v>
      </c>
      <c r="K1551" t="s">
        <v>2110</v>
      </c>
      <c r="L1551" t="s">
        <v>2111</v>
      </c>
      <c r="M1551" t="s">
        <v>27</v>
      </c>
      <c r="N1551" t="s">
        <v>27</v>
      </c>
      <c r="O1551">
        <v>21.34</v>
      </c>
      <c r="P1551">
        <v>6.2846040725707999</v>
      </c>
      <c r="Q1551">
        <v>5.9812731742858896</v>
      </c>
      <c r="R1551">
        <v>18.605769597567001</v>
      </c>
      <c r="S1551">
        <v>14.0029873039582</v>
      </c>
      <c r="T1551">
        <v>10.1924829483032</v>
      </c>
      <c r="U1551" t="s">
        <v>27</v>
      </c>
      <c r="V1551">
        <v>622000.0625</v>
      </c>
      <c r="W1551">
        <v>0.259853005409241</v>
      </c>
      <c r="X1551">
        <v>0.25018671272938797</v>
      </c>
      <c r="Y1551">
        <v>5.9764709472656303</v>
      </c>
      <c r="Z1551">
        <v>6.7083311080932599</v>
      </c>
      <c r="AA1551">
        <v>3844536.8</v>
      </c>
      <c r="AB1551" t="s">
        <v>34</v>
      </c>
      <c r="AC1551" t="s">
        <v>35</v>
      </c>
      <c r="AD1551">
        <v>0.249999990830055</v>
      </c>
      <c r="AE1551" t="s">
        <v>27</v>
      </c>
      <c r="AF1551" t="s">
        <v>27</v>
      </c>
      <c r="AG1551">
        <v>5519280</v>
      </c>
      <c r="AH1551">
        <v>9.8750553131103498</v>
      </c>
      <c r="AI1551">
        <v>0.79291397333145097</v>
      </c>
    </row>
    <row r="1552" spans="1:35">
      <c r="A1552">
        <f t="shared" si="204"/>
        <v>1</v>
      </c>
      <c r="B1552">
        <f t="shared" si="205"/>
        <v>0</v>
      </c>
      <c r="C1552">
        <f t="shared" si="206"/>
        <v>1</v>
      </c>
      <c r="D1552">
        <f t="shared" si="207"/>
        <v>1</v>
      </c>
      <c r="E1552">
        <f t="shared" si="208"/>
        <v>0</v>
      </c>
      <c r="F1552">
        <f t="shared" si="209"/>
        <v>1</v>
      </c>
      <c r="G1552">
        <f t="shared" si="210"/>
        <v>0</v>
      </c>
      <c r="H1552">
        <v>0</v>
      </c>
      <c r="I1552">
        <f t="shared" si="211"/>
        <v>1</v>
      </c>
      <c r="J1552">
        <f t="shared" si="203"/>
        <v>12.667091846466061</v>
      </c>
      <c r="K1552" t="s">
        <v>2690</v>
      </c>
      <c r="L1552" t="s">
        <v>2691</v>
      </c>
      <c r="M1552" t="s">
        <v>27</v>
      </c>
      <c r="N1552" t="s">
        <v>27</v>
      </c>
      <c r="O1552">
        <v>24.43</v>
      </c>
      <c r="P1552">
        <v>4.36612796783447</v>
      </c>
      <c r="Q1552">
        <v>4.7927927970886204</v>
      </c>
      <c r="R1552">
        <v>17.3181811246005</v>
      </c>
      <c r="S1552">
        <v>13.8429752066116</v>
      </c>
      <c r="T1552">
        <v>22.594680786132798</v>
      </c>
      <c r="U1552" t="s">
        <v>27</v>
      </c>
      <c r="V1552">
        <v>5468000</v>
      </c>
      <c r="W1552">
        <v>1.09605896472931</v>
      </c>
      <c r="X1552">
        <v>0.36363636166596203</v>
      </c>
      <c r="Y1552">
        <v>12.3969984054565</v>
      </c>
      <c r="Z1552">
        <v>7.8742990493774396</v>
      </c>
      <c r="AA1552">
        <v>7861370</v>
      </c>
      <c r="AB1552" t="s">
        <v>34</v>
      </c>
      <c r="AC1552" t="s">
        <v>35</v>
      </c>
      <c r="AD1552">
        <v>0.40909089825370099</v>
      </c>
      <c r="AE1552" t="s">
        <v>27</v>
      </c>
      <c r="AF1552" t="s">
        <v>27</v>
      </c>
      <c r="AG1552">
        <v>7824300</v>
      </c>
      <c r="AH1552">
        <v>16.771648406982401</v>
      </c>
      <c r="AI1552">
        <v>1.00629305839539</v>
      </c>
    </row>
    <row r="1553" spans="1:35">
      <c r="A1553">
        <f t="shared" si="204"/>
        <v>0</v>
      </c>
      <c r="B1553">
        <f t="shared" si="205"/>
        <v>0</v>
      </c>
      <c r="C1553">
        <f t="shared" si="206"/>
        <v>0</v>
      </c>
      <c r="D1553">
        <f t="shared" si="207"/>
        <v>1</v>
      </c>
      <c r="E1553">
        <f t="shared" si="208"/>
        <v>0</v>
      </c>
      <c r="F1553">
        <f t="shared" si="209"/>
        <v>1</v>
      </c>
      <c r="G1553">
        <f t="shared" si="210"/>
        <v>0</v>
      </c>
      <c r="H1553">
        <v>0</v>
      </c>
      <c r="I1553">
        <f t="shared" si="211"/>
        <v>1</v>
      </c>
      <c r="J1553">
        <f t="shared" si="203"/>
        <v>12.659257411956741</v>
      </c>
      <c r="K1553" t="s">
        <v>3897</v>
      </c>
      <c r="L1553" t="s">
        <v>3898</v>
      </c>
      <c r="M1553" t="s">
        <v>27</v>
      </c>
      <c r="N1553" t="s">
        <v>27</v>
      </c>
      <c r="O1553">
        <v>32.700000000000003</v>
      </c>
      <c r="P1553">
        <v>2.3517279624939</v>
      </c>
      <c r="Q1553">
        <v>2.5257620811462398</v>
      </c>
      <c r="R1553">
        <v>17.299999237060501</v>
      </c>
      <c r="S1553">
        <v>13.125</v>
      </c>
      <c r="T1553">
        <v>30.209011077880898</v>
      </c>
      <c r="U1553" t="s">
        <v>27</v>
      </c>
      <c r="V1553">
        <v>-8730000</v>
      </c>
      <c r="W1553">
        <v>1.16389000415802</v>
      </c>
      <c r="X1553">
        <v>0.38999998569488498</v>
      </c>
      <c r="Y1553">
        <v>16.548570632934599</v>
      </c>
      <c r="Z1553">
        <v>10.133495330810501</v>
      </c>
      <c r="AA1553">
        <v>10383000</v>
      </c>
      <c r="AB1553" t="s">
        <v>34</v>
      </c>
      <c r="AC1553" t="s">
        <v>458</v>
      </c>
      <c r="AD1553">
        <v>0.58999997377395597</v>
      </c>
      <c r="AE1553" t="s">
        <v>27</v>
      </c>
      <c r="AF1553" t="s">
        <v>27</v>
      </c>
      <c r="AG1553">
        <v>9145000</v>
      </c>
      <c r="AH1553">
        <v>31.378150939941399</v>
      </c>
      <c r="AI1553">
        <v>0.63139700889587402</v>
      </c>
    </row>
    <row r="1554" spans="1:35">
      <c r="A1554">
        <f t="shared" si="204"/>
        <v>1</v>
      </c>
      <c r="B1554">
        <f t="shared" si="205"/>
        <v>0</v>
      </c>
      <c r="C1554">
        <f t="shared" si="206"/>
        <v>1</v>
      </c>
      <c r="D1554">
        <f t="shared" si="207"/>
        <v>0</v>
      </c>
      <c r="E1554">
        <f t="shared" si="208"/>
        <v>0</v>
      </c>
      <c r="F1554">
        <f t="shared" si="209"/>
        <v>1</v>
      </c>
      <c r="G1554">
        <f t="shared" si="210"/>
        <v>1</v>
      </c>
      <c r="H1554">
        <v>0</v>
      </c>
      <c r="I1554">
        <f t="shared" si="211"/>
        <v>0</v>
      </c>
      <c r="J1554">
        <f t="shared" si="203"/>
        <v>12.655972003936769</v>
      </c>
      <c r="K1554" t="s">
        <v>2340</v>
      </c>
      <c r="L1554" t="s">
        <v>2341</v>
      </c>
      <c r="M1554" t="s">
        <v>27</v>
      </c>
      <c r="N1554" t="s">
        <v>27</v>
      </c>
      <c r="O1554">
        <v>10.32</v>
      </c>
      <c r="P1554">
        <v>8.1993007659912092</v>
      </c>
      <c r="Q1554">
        <v>5.7860059738159197</v>
      </c>
      <c r="R1554">
        <v>10.2400001525879</v>
      </c>
      <c r="S1554">
        <v>10.3563634699041</v>
      </c>
      <c r="T1554">
        <v>48.633041381835902</v>
      </c>
      <c r="U1554">
        <v>31.140750885009801</v>
      </c>
      <c r="V1554">
        <v>13565001</v>
      </c>
      <c r="W1554">
        <v>6.8736371994018599</v>
      </c>
      <c r="X1554">
        <v>0.109090913425792</v>
      </c>
      <c r="Y1554">
        <v>10.618898391723601</v>
      </c>
      <c r="Z1554">
        <v>6.8699660301208496</v>
      </c>
      <c r="AA1554">
        <v>29665625</v>
      </c>
      <c r="AB1554" t="s">
        <v>52</v>
      </c>
      <c r="AC1554" t="s">
        <v>134</v>
      </c>
      <c r="AD1554">
        <v>6.0000002384185798E-2</v>
      </c>
      <c r="AE1554">
        <v>32.499809265136697</v>
      </c>
      <c r="AF1554">
        <v>6.3194986151486701</v>
      </c>
      <c r="AG1554">
        <v>29773750</v>
      </c>
      <c r="AH1554">
        <v>47.430648803710902</v>
      </c>
      <c r="AI1554">
        <v>3.9263350963592498</v>
      </c>
    </row>
    <row r="1555" spans="1:35">
      <c r="A1555">
        <f t="shared" si="204"/>
        <v>1</v>
      </c>
      <c r="B1555">
        <f t="shared" si="205"/>
        <v>0</v>
      </c>
      <c r="C1555">
        <f t="shared" si="206"/>
        <v>1</v>
      </c>
      <c r="D1555">
        <f t="shared" si="207"/>
        <v>1</v>
      </c>
      <c r="E1555">
        <f t="shared" si="208"/>
        <v>0</v>
      </c>
      <c r="F1555">
        <f t="shared" si="209"/>
        <v>1</v>
      </c>
      <c r="G1555">
        <f t="shared" si="210"/>
        <v>0</v>
      </c>
      <c r="H1555">
        <v>0</v>
      </c>
      <c r="I1555">
        <f t="shared" si="211"/>
        <v>0</v>
      </c>
      <c r="J1555">
        <f t="shared" si="203"/>
        <v>12.63946533203125</v>
      </c>
      <c r="K1555" t="s">
        <v>824</v>
      </c>
      <c r="L1555" t="s">
        <v>825</v>
      </c>
      <c r="M1555" t="s">
        <v>27</v>
      </c>
      <c r="N1555" t="s">
        <v>27</v>
      </c>
      <c r="O1555">
        <v>15.85</v>
      </c>
      <c r="P1555" t="s">
        <v>27</v>
      </c>
      <c r="Q1555">
        <v>6.1727981567382804</v>
      </c>
      <c r="R1555">
        <v>17.850000381469702</v>
      </c>
      <c r="S1555">
        <v>12.300000190734901</v>
      </c>
      <c r="T1555">
        <v>29.1015625</v>
      </c>
      <c r="U1555">
        <v>30.278465270996101</v>
      </c>
      <c r="V1555">
        <v>17574000</v>
      </c>
      <c r="W1555">
        <v>4.0847649574279803</v>
      </c>
      <c r="X1555">
        <v>0.17000000178813901</v>
      </c>
      <c r="Y1555" t="s">
        <v>27</v>
      </c>
      <c r="Z1555">
        <v>6.4666671752929696</v>
      </c>
      <c r="AA1555">
        <v>13237000</v>
      </c>
      <c r="AB1555" t="s">
        <v>61</v>
      </c>
      <c r="AC1555" t="s">
        <v>101</v>
      </c>
      <c r="AD1555">
        <v>0.239999994635582</v>
      </c>
      <c r="AE1555">
        <v>29.840904235839801</v>
      </c>
      <c r="AF1555">
        <v>6.0126347926007702</v>
      </c>
      <c r="AG1555">
        <v>14858690</v>
      </c>
      <c r="AH1555">
        <v>25.52028465271</v>
      </c>
      <c r="AI1555">
        <v>2.9910569190978999</v>
      </c>
    </row>
    <row r="1556" spans="1:35">
      <c r="A1556">
        <f t="shared" si="204"/>
        <v>1</v>
      </c>
      <c r="B1556">
        <f t="shared" si="205"/>
        <v>0</v>
      </c>
      <c r="C1556">
        <f t="shared" si="206"/>
        <v>1</v>
      </c>
      <c r="D1556">
        <f t="shared" si="207"/>
        <v>0</v>
      </c>
      <c r="E1556">
        <f t="shared" si="208"/>
        <v>0</v>
      </c>
      <c r="F1556">
        <f t="shared" si="209"/>
        <v>1</v>
      </c>
      <c r="G1556">
        <f t="shared" si="210"/>
        <v>0</v>
      </c>
      <c r="H1556">
        <v>0</v>
      </c>
      <c r="I1556">
        <f t="shared" si="211"/>
        <v>0</v>
      </c>
      <c r="J1556">
        <f t="shared" si="203"/>
        <v>12.63890504837036</v>
      </c>
      <c r="K1556" t="s">
        <v>1522</v>
      </c>
      <c r="L1556" t="s">
        <v>1523</v>
      </c>
      <c r="M1556" t="s">
        <v>27</v>
      </c>
      <c r="N1556" t="s">
        <v>27</v>
      </c>
      <c r="O1556">
        <v>16.78</v>
      </c>
      <c r="P1556">
        <v>6.3141350746154803</v>
      </c>
      <c r="Q1556">
        <v>6.6518502235412598</v>
      </c>
      <c r="R1556">
        <v>19.969999313354499</v>
      </c>
      <c r="S1556">
        <v>18.809999465942401</v>
      </c>
      <c r="T1556">
        <v>50.2867240905762</v>
      </c>
      <c r="U1556" t="s">
        <v>27</v>
      </c>
      <c r="V1556">
        <v>7317999</v>
      </c>
      <c r="W1556">
        <v>2.73768091201782</v>
      </c>
      <c r="X1556">
        <v>0.34000000357627902</v>
      </c>
      <c r="Y1556">
        <v>3.8333330154418901</v>
      </c>
      <c r="Z1556">
        <v>5.9870548248290998</v>
      </c>
      <c r="AA1556">
        <v>28584000</v>
      </c>
      <c r="AB1556" t="s">
        <v>27</v>
      </c>
      <c r="AC1556" t="s">
        <v>27</v>
      </c>
      <c r="AD1556">
        <v>0.33000001311302202</v>
      </c>
      <c r="AE1556" t="s">
        <v>27</v>
      </c>
      <c r="AF1556">
        <v>12.300142824770999</v>
      </c>
      <c r="AG1556">
        <v>26949000</v>
      </c>
      <c r="AH1556">
        <v>45.357654571533203</v>
      </c>
      <c r="AI1556">
        <v>2.4555859565734899</v>
      </c>
    </row>
    <row r="1557" spans="1:35">
      <c r="A1557">
        <f t="shared" si="204"/>
        <v>1</v>
      </c>
      <c r="B1557">
        <f t="shared" si="205"/>
        <v>1</v>
      </c>
      <c r="C1557">
        <f t="shared" si="206"/>
        <v>1</v>
      </c>
      <c r="D1557">
        <f t="shared" si="207"/>
        <v>1</v>
      </c>
      <c r="E1557">
        <f t="shared" si="208"/>
        <v>0</v>
      </c>
      <c r="F1557">
        <f t="shared" si="209"/>
        <v>1</v>
      </c>
      <c r="G1557">
        <f t="shared" si="210"/>
        <v>1</v>
      </c>
      <c r="H1557">
        <v>0</v>
      </c>
      <c r="I1557">
        <f t="shared" si="211"/>
        <v>0</v>
      </c>
      <c r="J1557">
        <f t="shared" si="203"/>
        <v>12.586282253265381</v>
      </c>
      <c r="K1557" t="s">
        <v>2330</v>
      </c>
      <c r="L1557" t="s">
        <v>2331</v>
      </c>
      <c r="M1557" t="s">
        <v>27</v>
      </c>
      <c r="N1557" t="s">
        <v>27</v>
      </c>
      <c r="O1557">
        <v>32.75</v>
      </c>
      <c r="P1557">
        <v>3.21681904792786</v>
      </c>
      <c r="Q1557">
        <v>7.2529492378234899</v>
      </c>
      <c r="R1557">
        <v>38.400001525878899</v>
      </c>
      <c r="S1557">
        <v>23.649999618530298</v>
      </c>
      <c r="T1557">
        <v>17.224359512329102</v>
      </c>
      <c r="U1557">
        <v>35.858699798583999</v>
      </c>
      <c r="V1557">
        <v>4742999.5</v>
      </c>
      <c r="W1557">
        <v>3.3281209468841602</v>
      </c>
      <c r="X1557">
        <v>0.33000001311302202</v>
      </c>
      <c r="Y1557">
        <v>7.8111429214477504</v>
      </c>
      <c r="Z1557">
        <v>5.3333330154418901</v>
      </c>
      <c r="AA1557">
        <v>13498000</v>
      </c>
      <c r="AB1557" t="s">
        <v>61</v>
      </c>
      <c r="AC1557" t="s">
        <v>77</v>
      </c>
      <c r="AD1557">
        <v>0.64999997615814198</v>
      </c>
      <c r="AE1557">
        <v>35.973789215087898</v>
      </c>
      <c r="AF1557" t="s">
        <v>27</v>
      </c>
      <c r="AG1557">
        <v>11978000</v>
      </c>
      <c r="AH1557">
        <v>14.9510707855225</v>
      </c>
      <c r="AI1557">
        <v>4.9369888305664098</v>
      </c>
    </row>
    <row r="1558" spans="1:35">
      <c r="A1558">
        <f t="shared" si="204"/>
        <v>0</v>
      </c>
      <c r="B1558">
        <f t="shared" si="205"/>
        <v>0</v>
      </c>
      <c r="C1558">
        <f t="shared" si="206"/>
        <v>1</v>
      </c>
      <c r="D1558">
        <f t="shared" si="207"/>
        <v>0</v>
      </c>
      <c r="E1558">
        <f t="shared" si="208"/>
        <v>0</v>
      </c>
      <c r="F1558">
        <f t="shared" si="209"/>
        <v>1</v>
      </c>
      <c r="G1558">
        <f t="shared" si="210"/>
        <v>0</v>
      </c>
      <c r="H1558">
        <v>0</v>
      </c>
      <c r="I1558">
        <f t="shared" si="211"/>
        <v>1</v>
      </c>
      <c r="J1558">
        <f t="shared" si="203"/>
        <v>12.57461404800415</v>
      </c>
      <c r="K1558" t="s">
        <v>3697</v>
      </c>
      <c r="L1558" t="s">
        <v>3698</v>
      </c>
      <c r="M1558" t="s">
        <v>27</v>
      </c>
      <c r="N1558" t="s">
        <v>27</v>
      </c>
      <c r="O1558">
        <v>14.98</v>
      </c>
      <c r="P1558">
        <v>4.9031357765197798</v>
      </c>
      <c r="Q1558">
        <v>4.6958260536193803</v>
      </c>
      <c r="R1558">
        <v>13.25</v>
      </c>
      <c r="S1558">
        <v>11.1636361208829</v>
      </c>
      <c r="T1558">
        <v>15.177467346191399</v>
      </c>
      <c r="U1558" t="s">
        <v>27</v>
      </c>
      <c r="V1558">
        <v>6853000</v>
      </c>
      <c r="W1558">
        <v>1.13689696788788</v>
      </c>
      <c r="X1558">
        <v>0.28181818398562303</v>
      </c>
      <c r="Y1558">
        <v>8.8137722015380895</v>
      </c>
      <c r="Z1558">
        <v>7.8787879943847701</v>
      </c>
      <c r="AA1558">
        <v>18250100</v>
      </c>
      <c r="AB1558" t="s">
        <v>27</v>
      </c>
      <c r="AC1558" t="s">
        <v>27</v>
      </c>
      <c r="AD1558">
        <v>0.28181818398562303</v>
      </c>
      <c r="AE1558" t="s">
        <v>27</v>
      </c>
      <c r="AF1558" t="s">
        <v>27</v>
      </c>
      <c r="AG1558">
        <v>18399698.899999999</v>
      </c>
      <c r="AH1558">
        <v>17.020858764648398</v>
      </c>
      <c r="AI1558">
        <v>1.1103320121765099</v>
      </c>
    </row>
    <row r="1559" spans="1:35">
      <c r="A1559">
        <f t="shared" si="204"/>
        <v>1</v>
      </c>
      <c r="B1559">
        <f t="shared" si="205"/>
        <v>0</v>
      </c>
      <c r="C1559">
        <f t="shared" si="206"/>
        <v>1</v>
      </c>
      <c r="D1559">
        <f t="shared" si="207"/>
        <v>0</v>
      </c>
      <c r="E1559">
        <f t="shared" si="208"/>
        <v>0</v>
      </c>
      <c r="F1559">
        <f t="shared" si="209"/>
        <v>1</v>
      </c>
      <c r="G1559">
        <f t="shared" si="210"/>
        <v>0</v>
      </c>
      <c r="H1559">
        <v>0</v>
      </c>
      <c r="I1559">
        <f t="shared" si="211"/>
        <v>0</v>
      </c>
      <c r="J1559">
        <f t="shared" si="203"/>
        <v>12.562568187713619</v>
      </c>
      <c r="K1559" t="s">
        <v>2738</v>
      </c>
      <c r="L1559" t="s">
        <v>2739</v>
      </c>
      <c r="M1559" t="s">
        <v>27</v>
      </c>
      <c r="N1559" t="s">
        <v>27</v>
      </c>
      <c r="O1559">
        <v>8.27</v>
      </c>
      <c r="P1559">
        <v>10.0602025985718</v>
      </c>
      <c r="Q1559">
        <v>7.8335041999816903</v>
      </c>
      <c r="R1559">
        <v>10.050000190734901</v>
      </c>
      <c r="S1559">
        <v>9.2700004577636701</v>
      </c>
      <c r="T1559">
        <v>83.4295654296875</v>
      </c>
      <c r="U1559">
        <v>58.118560791015597</v>
      </c>
      <c r="V1559">
        <v>20883000</v>
      </c>
      <c r="W1559">
        <v>4.3040747642517099</v>
      </c>
      <c r="X1559">
        <v>7.0000000298023196E-2</v>
      </c>
      <c r="Y1559">
        <v>6.1798939704895002</v>
      </c>
      <c r="Z1559">
        <v>4.72906398773193</v>
      </c>
      <c r="AA1559">
        <v>60948000</v>
      </c>
      <c r="AB1559" t="s">
        <v>27</v>
      </c>
      <c r="AC1559" t="s">
        <v>27</v>
      </c>
      <c r="AD1559">
        <v>3.9999999105930301E-2</v>
      </c>
      <c r="AE1559">
        <v>52.447105407714801</v>
      </c>
      <c r="AF1559">
        <v>7.8846693079039296</v>
      </c>
      <c r="AG1559">
        <v>61041000</v>
      </c>
      <c r="AH1559">
        <v>81.717315673828097</v>
      </c>
      <c r="AI1559">
        <v>3.10694408416748</v>
      </c>
    </row>
    <row r="1560" spans="1:35">
      <c r="A1560">
        <f t="shared" si="204"/>
        <v>1</v>
      </c>
      <c r="B1560">
        <f t="shared" si="205"/>
        <v>0</v>
      </c>
      <c r="C1560">
        <f t="shared" si="206"/>
        <v>1</v>
      </c>
      <c r="D1560">
        <f t="shared" si="207"/>
        <v>0</v>
      </c>
      <c r="E1560">
        <f t="shared" si="208"/>
        <v>0</v>
      </c>
      <c r="F1560">
        <f t="shared" si="209"/>
        <v>1</v>
      </c>
      <c r="G1560">
        <f t="shared" si="210"/>
        <v>0</v>
      </c>
      <c r="H1560">
        <v>0</v>
      </c>
      <c r="I1560">
        <f t="shared" si="211"/>
        <v>0</v>
      </c>
      <c r="J1560">
        <f t="shared" si="203"/>
        <v>12.556589126586921</v>
      </c>
      <c r="K1560" t="s">
        <v>1514</v>
      </c>
      <c r="L1560" t="s">
        <v>1515</v>
      </c>
      <c r="M1560" t="s">
        <v>27</v>
      </c>
      <c r="N1560" t="s">
        <v>27</v>
      </c>
      <c r="O1560">
        <v>18</v>
      </c>
      <c r="P1560">
        <v>8.0279321670532209</v>
      </c>
      <c r="Q1560">
        <v>5.1393709182739302</v>
      </c>
      <c r="R1560">
        <v>16.75</v>
      </c>
      <c r="S1560">
        <v>15.1875</v>
      </c>
      <c r="T1560">
        <v>46.0502738952637</v>
      </c>
      <c r="U1560">
        <v>20.110923767089801</v>
      </c>
      <c r="V1560">
        <v>19563000</v>
      </c>
      <c r="W1560">
        <v>5.2072057723998997</v>
      </c>
      <c r="X1560">
        <v>0.57999998331069902</v>
      </c>
      <c r="Y1560">
        <v>12.6666669845581</v>
      </c>
      <c r="Z1560">
        <v>7.4172182083129901</v>
      </c>
      <c r="AA1560">
        <v>12580000</v>
      </c>
      <c r="AB1560" t="s">
        <v>61</v>
      </c>
      <c r="AC1560" t="s">
        <v>62</v>
      </c>
      <c r="AD1560">
        <v>0.28999999165535001</v>
      </c>
      <c r="AE1560">
        <v>18.782039642333999</v>
      </c>
      <c r="AF1560">
        <v>6.7099989950566599</v>
      </c>
      <c r="AG1560">
        <v>12598000</v>
      </c>
      <c r="AH1560">
        <v>40.186714172363303</v>
      </c>
      <c r="AI1560">
        <v>4.51987981796265</v>
      </c>
    </row>
    <row r="1561" spans="1:35">
      <c r="A1561">
        <f t="shared" si="204"/>
        <v>1</v>
      </c>
      <c r="B1561">
        <f t="shared" si="205"/>
        <v>1</v>
      </c>
      <c r="C1561">
        <f t="shared" si="206"/>
        <v>0</v>
      </c>
      <c r="D1561">
        <f t="shared" si="207"/>
        <v>1</v>
      </c>
      <c r="E1561">
        <f t="shared" si="208"/>
        <v>0</v>
      </c>
      <c r="F1561">
        <f t="shared" si="209"/>
        <v>1</v>
      </c>
      <c r="G1561">
        <f t="shared" si="210"/>
        <v>0</v>
      </c>
      <c r="H1561">
        <v>0</v>
      </c>
      <c r="I1561">
        <f t="shared" si="211"/>
        <v>0</v>
      </c>
      <c r="J1561">
        <f t="shared" si="203"/>
        <v>12.552871942520142</v>
      </c>
      <c r="K1561" t="s">
        <v>1437</v>
      </c>
      <c r="L1561" t="s">
        <v>1438</v>
      </c>
      <c r="M1561" t="s">
        <v>27</v>
      </c>
      <c r="N1561" t="s">
        <v>27</v>
      </c>
      <c r="O1561">
        <v>26.861000000000001</v>
      </c>
      <c r="P1561">
        <v>7.5999588966369602</v>
      </c>
      <c r="Q1561">
        <v>9.1071329116821307</v>
      </c>
      <c r="R1561">
        <v>28.726666768391901</v>
      </c>
      <c r="S1561">
        <v>12.2</v>
      </c>
      <c r="T1561">
        <v>19.514232635498001</v>
      </c>
      <c r="U1561">
        <v>28.7830104827881</v>
      </c>
      <c r="V1561">
        <v>-1843000</v>
      </c>
      <c r="W1561">
        <v>4.6431617736816397</v>
      </c>
      <c r="X1561">
        <v>0.17333332697550499</v>
      </c>
      <c r="Y1561">
        <v>4.7303371429443404</v>
      </c>
      <c r="Z1561">
        <v>3.44573903083801</v>
      </c>
      <c r="AA1561">
        <v>22477500</v>
      </c>
      <c r="AB1561" t="s">
        <v>30</v>
      </c>
      <c r="AC1561" t="s">
        <v>1295</v>
      </c>
      <c r="AD1561">
        <v>0.220000008742015</v>
      </c>
      <c r="AE1561">
        <v>28.296588897705099</v>
      </c>
      <c r="AF1561">
        <v>11.8754719989191</v>
      </c>
      <c r="AG1561">
        <v>25295343</v>
      </c>
      <c r="AH1561">
        <v>0.97622698545455899</v>
      </c>
      <c r="AI1561">
        <v>5.99939012527466</v>
      </c>
    </row>
    <row r="1562" spans="1:35">
      <c r="A1562">
        <f t="shared" si="204"/>
        <v>0</v>
      </c>
      <c r="B1562">
        <f t="shared" si="205"/>
        <v>1</v>
      </c>
      <c r="C1562">
        <f t="shared" si="206"/>
        <v>1</v>
      </c>
      <c r="D1562">
        <f t="shared" si="207"/>
        <v>0</v>
      </c>
      <c r="E1562">
        <f t="shared" si="208"/>
        <v>0</v>
      </c>
      <c r="F1562">
        <f t="shared" si="209"/>
        <v>1</v>
      </c>
      <c r="G1562">
        <f t="shared" si="210"/>
        <v>0</v>
      </c>
      <c r="H1562">
        <v>0</v>
      </c>
      <c r="I1562">
        <f t="shared" si="211"/>
        <v>0</v>
      </c>
      <c r="J1562">
        <f t="shared" si="203"/>
        <v>12.532870531082152</v>
      </c>
      <c r="K1562" t="s">
        <v>490</v>
      </c>
      <c r="L1562" t="s">
        <v>491</v>
      </c>
      <c r="M1562" t="s">
        <v>27</v>
      </c>
      <c r="N1562" t="s">
        <v>27</v>
      </c>
      <c r="O1562">
        <v>19.82</v>
      </c>
      <c r="P1562">
        <v>20.885036468505898</v>
      </c>
      <c r="Q1562">
        <v>3.2613470554351802</v>
      </c>
      <c r="R1562">
        <v>26.299999237060501</v>
      </c>
      <c r="S1562">
        <v>37.6875</v>
      </c>
      <c r="T1562">
        <v>0</v>
      </c>
      <c r="U1562">
        <v>40.4595756530762</v>
      </c>
      <c r="V1562">
        <v>6341000</v>
      </c>
      <c r="W1562">
        <v>18.6148986816406</v>
      </c>
      <c r="X1562">
        <v>0.95999997854232799</v>
      </c>
      <c r="Y1562">
        <v>5.6022410392761204</v>
      </c>
      <c r="Z1562">
        <v>9.2715234756469709</v>
      </c>
      <c r="AA1562">
        <v>10589000</v>
      </c>
      <c r="AB1562" t="s">
        <v>38</v>
      </c>
      <c r="AC1562" t="s">
        <v>113</v>
      </c>
      <c r="AD1562">
        <v>-3.9999999105930301E-2</v>
      </c>
      <c r="AE1562">
        <v>18.675941467285199</v>
      </c>
      <c r="AF1562" t="s">
        <v>27</v>
      </c>
      <c r="AG1562">
        <v>10741000</v>
      </c>
      <c r="AH1562">
        <v>0</v>
      </c>
      <c r="AI1562">
        <v>21.867904663085898</v>
      </c>
    </row>
    <row r="1563" spans="1:35">
      <c r="A1563">
        <f t="shared" si="204"/>
        <v>1</v>
      </c>
      <c r="B1563">
        <f t="shared" si="205"/>
        <v>0</v>
      </c>
      <c r="C1563">
        <f t="shared" si="206"/>
        <v>1</v>
      </c>
      <c r="D1563">
        <f t="shared" si="207"/>
        <v>0</v>
      </c>
      <c r="E1563">
        <f t="shared" si="208"/>
        <v>0</v>
      </c>
      <c r="F1563">
        <f t="shared" si="209"/>
        <v>1</v>
      </c>
      <c r="G1563">
        <f t="shared" si="210"/>
        <v>0</v>
      </c>
      <c r="H1563">
        <v>0</v>
      </c>
      <c r="I1563">
        <f t="shared" si="211"/>
        <v>0</v>
      </c>
      <c r="J1563">
        <f t="shared" si="203"/>
        <v>12.471703052520748</v>
      </c>
      <c r="K1563" t="s">
        <v>3881</v>
      </c>
      <c r="L1563" t="s">
        <v>3882</v>
      </c>
      <c r="M1563" t="s">
        <v>27</v>
      </c>
      <c r="N1563" t="s">
        <v>27</v>
      </c>
      <c r="O1563">
        <v>12.21</v>
      </c>
      <c r="P1563">
        <v>11.8835506439209</v>
      </c>
      <c r="Q1563">
        <v>6.9235749244689897</v>
      </c>
      <c r="R1563">
        <v>16.600000381469702</v>
      </c>
      <c r="S1563">
        <v>18.3125</v>
      </c>
      <c r="T1563">
        <v>27.699296951293899</v>
      </c>
      <c r="U1563">
        <v>40.365165710449197</v>
      </c>
      <c r="V1563">
        <v>5378999.5</v>
      </c>
      <c r="W1563">
        <v>8.2049360275268608</v>
      </c>
      <c r="X1563">
        <v>0.30000001192092901</v>
      </c>
      <c r="Y1563">
        <v>5.3813810348510698</v>
      </c>
      <c r="Z1563">
        <v>5.5481281280517596</v>
      </c>
      <c r="AA1563">
        <v>11418000</v>
      </c>
      <c r="AB1563" t="s">
        <v>27</v>
      </c>
      <c r="AC1563" t="s">
        <v>27</v>
      </c>
      <c r="AD1563">
        <v>-1.9999999552965199E-2</v>
      </c>
      <c r="AE1563">
        <v>39.553180694580099</v>
      </c>
      <c r="AF1563">
        <v>8.9435991513144302</v>
      </c>
      <c r="AG1563">
        <v>11568000</v>
      </c>
      <c r="AH1563">
        <v>27.374332427978501</v>
      </c>
      <c r="AI1563">
        <v>4.7575812339782697</v>
      </c>
    </row>
    <row r="1564" spans="1:35">
      <c r="A1564">
        <f t="shared" si="204"/>
        <v>0</v>
      </c>
      <c r="B1564">
        <f t="shared" si="205"/>
        <v>0</v>
      </c>
      <c r="C1564">
        <f t="shared" si="206"/>
        <v>1</v>
      </c>
      <c r="D1564">
        <f t="shared" si="207"/>
        <v>0</v>
      </c>
      <c r="E1564">
        <f t="shared" si="208"/>
        <v>0</v>
      </c>
      <c r="F1564">
        <f t="shared" si="209"/>
        <v>1</v>
      </c>
      <c r="G1564">
        <f t="shared" si="210"/>
        <v>0</v>
      </c>
      <c r="H1564">
        <v>0</v>
      </c>
      <c r="I1564">
        <f t="shared" si="211"/>
        <v>0</v>
      </c>
      <c r="J1564">
        <f t="shared" si="203"/>
        <v>12.44103860855102</v>
      </c>
      <c r="K1564" t="s">
        <v>3869</v>
      </c>
      <c r="L1564" t="s">
        <v>3870</v>
      </c>
      <c r="M1564" t="s">
        <v>27</v>
      </c>
      <c r="N1564" t="s">
        <v>27</v>
      </c>
      <c r="O1564">
        <v>7.8</v>
      </c>
      <c r="P1564">
        <v>5.1394639015197798</v>
      </c>
      <c r="Q1564">
        <v>7.6309118270873997</v>
      </c>
      <c r="R1564">
        <v>8.1999998092651403</v>
      </c>
      <c r="S1564">
        <v>8.4899997711181605</v>
      </c>
      <c r="T1564">
        <v>43.263671875</v>
      </c>
      <c r="U1564" t="s">
        <v>27</v>
      </c>
      <c r="V1564">
        <v>9366000</v>
      </c>
      <c r="W1564">
        <v>4.1311268806457502</v>
      </c>
      <c r="X1564">
        <v>0.28999999165535001</v>
      </c>
      <c r="Y1564">
        <v>-0.23188400268554701</v>
      </c>
      <c r="Z1564">
        <v>4.8101267814636204</v>
      </c>
      <c r="AA1564">
        <v>16897000</v>
      </c>
      <c r="AB1564" t="s">
        <v>27</v>
      </c>
      <c r="AC1564" t="s">
        <v>27</v>
      </c>
      <c r="AD1564">
        <v>0.109999999403954</v>
      </c>
      <c r="AE1564" t="s">
        <v>27</v>
      </c>
      <c r="AF1564">
        <v>5.4427004709464999</v>
      </c>
      <c r="AG1564">
        <v>16926000</v>
      </c>
      <c r="AH1564">
        <v>44.094764709472699</v>
      </c>
      <c r="AI1564">
        <v>3.7619578838348402</v>
      </c>
    </row>
    <row r="1565" spans="1:35">
      <c r="A1565">
        <f t="shared" si="204"/>
        <v>1</v>
      </c>
      <c r="B1565">
        <f t="shared" si="205"/>
        <v>0</v>
      </c>
      <c r="C1565">
        <f t="shared" si="206"/>
        <v>1</v>
      </c>
      <c r="D1565">
        <f t="shared" si="207"/>
        <v>0</v>
      </c>
      <c r="E1565">
        <f t="shared" si="208"/>
        <v>0</v>
      </c>
      <c r="F1565">
        <f t="shared" si="209"/>
        <v>1</v>
      </c>
      <c r="G1565">
        <f t="shared" si="210"/>
        <v>0</v>
      </c>
      <c r="H1565">
        <v>0</v>
      </c>
      <c r="I1565">
        <f t="shared" si="211"/>
        <v>0</v>
      </c>
      <c r="J1565">
        <f t="shared" si="203"/>
        <v>12.43669533729553</v>
      </c>
      <c r="K1565" t="s">
        <v>1654</v>
      </c>
      <c r="L1565" t="s">
        <v>1655</v>
      </c>
      <c r="M1565" t="s">
        <v>27</v>
      </c>
      <c r="N1565" t="s">
        <v>27</v>
      </c>
      <c r="O1565">
        <v>15.85</v>
      </c>
      <c r="P1565">
        <v>11.4900064468384</v>
      </c>
      <c r="Q1565">
        <v>8.4603643417358398</v>
      </c>
      <c r="R1565">
        <v>16.399999618530298</v>
      </c>
      <c r="S1565">
        <v>10.3333333333333</v>
      </c>
      <c r="T1565">
        <v>10.3518667221069</v>
      </c>
      <c r="U1565">
        <v>38.163078308105497</v>
      </c>
      <c r="V1565">
        <v>2947000</v>
      </c>
      <c r="W1565">
        <v>9.5064458847045898</v>
      </c>
      <c r="X1565">
        <v>0.22999999920527101</v>
      </c>
      <c r="Y1565">
        <v>7.11688280105591</v>
      </c>
      <c r="Z1565">
        <v>3.9763309955596902</v>
      </c>
      <c r="AA1565">
        <v>9087000</v>
      </c>
      <c r="AB1565" t="s">
        <v>27</v>
      </c>
      <c r="AC1565" t="s">
        <v>27</v>
      </c>
      <c r="AD1565">
        <v>-0.21999999880790699</v>
      </c>
      <c r="AE1565">
        <v>34.389766693115199</v>
      </c>
      <c r="AF1565">
        <v>6.70320375358415</v>
      </c>
      <c r="AG1565">
        <v>11190000</v>
      </c>
      <c r="AH1565">
        <v>4.6850891113281303</v>
      </c>
      <c r="AI1565">
        <v>7.3588972091674796</v>
      </c>
    </row>
    <row r="1566" spans="1:35">
      <c r="A1566">
        <f t="shared" si="204"/>
        <v>0</v>
      </c>
      <c r="B1566">
        <f t="shared" si="205"/>
        <v>0</v>
      </c>
      <c r="C1566">
        <f t="shared" si="206"/>
        <v>0</v>
      </c>
      <c r="D1566">
        <f t="shared" si="207"/>
        <v>0</v>
      </c>
      <c r="E1566">
        <f t="shared" si="208"/>
        <v>0</v>
      </c>
      <c r="F1566">
        <f t="shared" si="209"/>
        <v>1</v>
      </c>
      <c r="G1566">
        <f t="shared" si="210"/>
        <v>1</v>
      </c>
      <c r="H1566">
        <v>0</v>
      </c>
      <c r="I1566">
        <f t="shared" si="211"/>
        <v>0</v>
      </c>
      <c r="J1566">
        <f t="shared" si="203"/>
        <v>12.427803039550779</v>
      </c>
      <c r="K1566" t="s">
        <v>242</v>
      </c>
      <c r="L1566" t="s">
        <v>243</v>
      </c>
      <c r="M1566" t="s">
        <v>27</v>
      </c>
      <c r="N1566" t="s">
        <v>27</v>
      </c>
      <c r="O1566">
        <v>39.299999999999997</v>
      </c>
      <c r="P1566">
        <v>9.8505411148071307</v>
      </c>
      <c r="Q1566">
        <v>8.4278030395507795</v>
      </c>
      <c r="R1566">
        <v>41</v>
      </c>
      <c r="S1566">
        <v>33.25</v>
      </c>
      <c r="T1566">
        <v>36.497287750244098</v>
      </c>
      <c r="U1566">
        <v>27.897397994995099</v>
      </c>
      <c r="V1566">
        <v>-4905999</v>
      </c>
      <c r="W1566">
        <v>7.7774147987365696</v>
      </c>
      <c r="X1566">
        <v>0.41999998688697798</v>
      </c>
      <c r="Y1566">
        <v>7.8697071075439498</v>
      </c>
      <c r="Z1566">
        <v>4</v>
      </c>
      <c r="AA1566">
        <v>17400000</v>
      </c>
      <c r="AB1566" t="s">
        <v>27</v>
      </c>
      <c r="AC1566" t="s">
        <v>27</v>
      </c>
      <c r="AD1566">
        <v>0.28000000119209301</v>
      </c>
      <c r="AE1566">
        <v>32.527294158935497</v>
      </c>
      <c r="AF1566">
        <v>10.2383192204881</v>
      </c>
      <c r="AG1566">
        <v>17563000</v>
      </c>
      <c r="AH1566">
        <v>42.550205230712898</v>
      </c>
      <c r="AI1566">
        <v>5.5788979530334499</v>
      </c>
    </row>
    <row r="1567" spans="1:35">
      <c r="A1567">
        <f t="shared" si="204"/>
        <v>0</v>
      </c>
      <c r="B1567">
        <f t="shared" si="205"/>
        <v>0</v>
      </c>
      <c r="C1567">
        <f t="shared" si="206"/>
        <v>1</v>
      </c>
      <c r="D1567">
        <f t="shared" si="207"/>
        <v>1</v>
      </c>
      <c r="E1567">
        <f t="shared" si="208"/>
        <v>0</v>
      </c>
      <c r="F1567">
        <f t="shared" si="209"/>
        <v>1</v>
      </c>
      <c r="G1567">
        <f t="shared" si="210"/>
        <v>0</v>
      </c>
      <c r="H1567">
        <v>0</v>
      </c>
      <c r="I1567">
        <f t="shared" si="211"/>
        <v>1</v>
      </c>
      <c r="J1567">
        <f t="shared" ref="J1567:J1630" si="212">Z1567+Q1567</f>
        <v>12.424202919006351</v>
      </c>
      <c r="K1567" t="s">
        <v>2114</v>
      </c>
      <c r="L1567" t="s">
        <v>2115</v>
      </c>
      <c r="M1567" t="s">
        <v>27</v>
      </c>
      <c r="N1567" t="s">
        <v>27</v>
      </c>
      <c r="O1567">
        <v>29.7</v>
      </c>
      <c r="P1567">
        <v>11.5811414718628</v>
      </c>
      <c r="Q1567">
        <v>7.9445648193359402</v>
      </c>
      <c r="R1567">
        <v>27.569999694824201</v>
      </c>
      <c r="S1567">
        <v>20.809999465942401</v>
      </c>
      <c r="T1567">
        <v>65.634178161621094</v>
      </c>
      <c r="U1567" t="s">
        <v>27</v>
      </c>
      <c r="V1567">
        <v>27900000</v>
      </c>
      <c r="W1567">
        <v>5.4592251777648899</v>
      </c>
      <c r="X1567">
        <v>0.20999999344348899</v>
      </c>
      <c r="Y1567">
        <v>10.494117736816399</v>
      </c>
      <c r="Z1567">
        <v>4.4796380996704102</v>
      </c>
      <c r="AA1567">
        <v>34174416</v>
      </c>
      <c r="AB1567" t="s">
        <v>83</v>
      </c>
      <c r="AC1567" t="s">
        <v>84</v>
      </c>
      <c r="AD1567">
        <v>0.270000010728836</v>
      </c>
      <c r="AE1567" t="s">
        <v>27</v>
      </c>
      <c r="AF1567">
        <v>20.3963169186285</v>
      </c>
      <c r="AG1567">
        <v>33904640</v>
      </c>
      <c r="AH1567">
        <v>68.135536193847699</v>
      </c>
      <c r="AI1567">
        <v>2.4012899398803702</v>
      </c>
    </row>
    <row r="1568" spans="1:35">
      <c r="A1568">
        <f t="shared" ref="A1568:A1631" si="213">IF(AH1568&lt;T1568,1,0)</f>
        <v>0</v>
      </c>
      <c r="B1568">
        <f t="shared" ref="B1568:B1631" si="214">IF(AI1568&gt;W1568,1,0)</f>
        <v>1</v>
      </c>
      <c r="C1568">
        <f t="shared" ref="C1568:C1631" si="215">IF(V1568&gt;0,1,0)</f>
        <v>1</v>
      </c>
      <c r="D1568">
        <f t="shared" ref="D1568:D1631" si="216">IF(AD1568&gt;X1568,1,0)</f>
        <v>1</v>
      </c>
      <c r="E1568">
        <f t="shared" ref="E1568:E1631" si="217">IF(AA1568=AG1568,1,0)</f>
        <v>0</v>
      </c>
      <c r="F1568">
        <f t="shared" ref="F1568:F1631" si="218">IF(AI1568&gt;0,1,0)</f>
        <v>1</v>
      </c>
      <c r="G1568">
        <f t="shared" ref="G1568:G1631" si="219">IF(AE1568&gt;U1568,1,0)</f>
        <v>1</v>
      </c>
      <c r="H1568">
        <v>0</v>
      </c>
      <c r="I1568">
        <f t="shared" ref="I1568:I1631" si="220">IF(((O1568-R1568)/R1568)&gt;0.075,1,0)</f>
        <v>0</v>
      </c>
      <c r="J1568">
        <f t="shared" si="212"/>
        <v>12.41221809387207</v>
      </c>
      <c r="K1568" t="s">
        <v>2516</v>
      </c>
      <c r="L1568" t="s">
        <v>2517</v>
      </c>
      <c r="M1568" t="s">
        <v>27</v>
      </c>
      <c r="N1568" t="s">
        <v>27</v>
      </c>
      <c r="O1568">
        <v>14.06</v>
      </c>
      <c r="P1568" t="s">
        <v>27</v>
      </c>
      <c r="Q1568">
        <v>6.8288850784301802</v>
      </c>
      <c r="R1568">
        <v>18.5</v>
      </c>
      <c r="S1568">
        <v>9</v>
      </c>
      <c r="T1568">
        <v>1.36909103393555</v>
      </c>
      <c r="U1568">
        <v>40.0148315429688</v>
      </c>
      <c r="V1568">
        <v>1263999.875</v>
      </c>
      <c r="W1568">
        <v>2.5055909156799299</v>
      </c>
      <c r="X1568">
        <v>0.129999995231628</v>
      </c>
      <c r="Y1568">
        <v>7.4893617630004901</v>
      </c>
      <c r="Z1568">
        <v>5.5833330154418901</v>
      </c>
      <c r="AA1568">
        <v>12498000</v>
      </c>
      <c r="AB1568" t="s">
        <v>27</v>
      </c>
      <c r="AC1568" t="s">
        <v>27</v>
      </c>
      <c r="AD1568">
        <v>0.140000000596046</v>
      </c>
      <c r="AE1568">
        <v>40.507503509521499</v>
      </c>
      <c r="AF1568">
        <v>9.6921422627303304</v>
      </c>
      <c r="AG1568">
        <v>13118000</v>
      </c>
      <c r="AH1568">
        <v>7.5133070945739702</v>
      </c>
      <c r="AI1568">
        <v>5.4500827789306596</v>
      </c>
    </row>
    <row r="1569" spans="1:35">
      <c r="A1569">
        <f t="shared" si="213"/>
        <v>1</v>
      </c>
      <c r="B1569">
        <f t="shared" si="214"/>
        <v>1</v>
      </c>
      <c r="C1569">
        <f t="shared" si="215"/>
        <v>1</v>
      </c>
      <c r="D1569">
        <f t="shared" si="216"/>
        <v>1</v>
      </c>
      <c r="E1569">
        <f t="shared" si="217"/>
        <v>1</v>
      </c>
      <c r="F1569">
        <f t="shared" si="218"/>
        <v>1</v>
      </c>
      <c r="G1569">
        <f t="shared" si="219"/>
        <v>1</v>
      </c>
      <c r="H1569">
        <v>0</v>
      </c>
      <c r="I1569">
        <f t="shared" si="220"/>
        <v>0</v>
      </c>
      <c r="J1569">
        <f t="shared" si="212"/>
        <v>12.403323650360111</v>
      </c>
      <c r="K1569" t="s">
        <v>3097</v>
      </c>
      <c r="L1569" t="s">
        <v>3098</v>
      </c>
      <c r="M1569" t="s">
        <v>27</v>
      </c>
      <c r="N1569" t="s">
        <v>27</v>
      </c>
      <c r="O1569">
        <v>221.82</v>
      </c>
      <c r="P1569">
        <v>1.3477580547332799</v>
      </c>
      <c r="Q1569">
        <v>5.2176098823547399</v>
      </c>
      <c r="R1569">
        <v>308.10000610351602</v>
      </c>
      <c r="S1569">
        <v>168</v>
      </c>
      <c r="T1569">
        <v>31.92214012146</v>
      </c>
      <c r="U1569">
        <v>11.376457214355501</v>
      </c>
      <c r="V1569">
        <v>5222000</v>
      </c>
      <c r="W1569">
        <v>3.7589999847114099E-3</v>
      </c>
      <c r="X1569">
        <v>2.46000003814697</v>
      </c>
      <c r="Y1569">
        <v>6.9723081588745099</v>
      </c>
      <c r="Z1569">
        <v>7.1857137680053702</v>
      </c>
      <c r="AA1569">
        <v>1488000</v>
      </c>
      <c r="AB1569" t="s">
        <v>194</v>
      </c>
      <c r="AC1569" t="s">
        <v>195</v>
      </c>
      <c r="AD1569">
        <v>3.7799999713897701</v>
      </c>
      <c r="AE1569">
        <v>12.524790763855</v>
      </c>
      <c r="AF1569">
        <v>4.2552748252155199</v>
      </c>
      <c r="AG1569">
        <v>1488000</v>
      </c>
      <c r="AH1569">
        <v>28.988756179809599</v>
      </c>
      <c r="AI1569">
        <v>7.6358771324157697</v>
      </c>
    </row>
    <row r="1570" spans="1:35">
      <c r="A1570">
        <f t="shared" si="213"/>
        <v>1</v>
      </c>
      <c r="B1570">
        <f t="shared" si="214"/>
        <v>1</v>
      </c>
      <c r="C1570">
        <f t="shared" si="215"/>
        <v>1</v>
      </c>
      <c r="D1570">
        <f t="shared" si="216"/>
        <v>0</v>
      </c>
      <c r="E1570">
        <f t="shared" si="217"/>
        <v>0</v>
      </c>
      <c r="F1570">
        <f t="shared" si="218"/>
        <v>1</v>
      </c>
      <c r="G1570">
        <f t="shared" si="219"/>
        <v>1</v>
      </c>
      <c r="H1570">
        <v>0</v>
      </c>
      <c r="I1570">
        <f t="shared" si="220"/>
        <v>0</v>
      </c>
      <c r="J1570">
        <f t="shared" si="212"/>
        <v>12.39499354362488</v>
      </c>
      <c r="K1570" t="s">
        <v>46</v>
      </c>
      <c r="L1570" t="s">
        <v>47</v>
      </c>
      <c r="M1570" t="s">
        <v>27</v>
      </c>
      <c r="N1570" t="s">
        <v>27</v>
      </c>
      <c r="O1570">
        <v>8.01</v>
      </c>
      <c r="P1570">
        <v>5.29695701599121</v>
      </c>
      <c r="Q1570">
        <v>3.5867040157318102</v>
      </c>
      <c r="R1570">
        <v>11.75</v>
      </c>
      <c r="S1570">
        <v>10.1499996185303</v>
      </c>
      <c r="T1570">
        <v>63.800582885742202</v>
      </c>
      <c r="U1570">
        <v>31.396030426025401</v>
      </c>
      <c r="V1570">
        <v>107137992</v>
      </c>
      <c r="W1570">
        <v>3.2203450202941899</v>
      </c>
      <c r="X1570">
        <v>0.38999998569488498</v>
      </c>
      <c r="Y1570">
        <v>6.7843141555786097</v>
      </c>
      <c r="Z1570">
        <v>8.80828952789307</v>
      </c>
      <c r="AA1570">
        <v>104765000</v>
      </c>
      <c r="AB1570" t="s">
        <v>27</v>
      </c>
      <c r="AC1570" t="s">
        <v>27</v>
      </c>
      <c r="AD1570">
        <v>0.38999998569488498</v>
      </c>
      <c r="AE1570">
        <v>32.100299835205099</v>
      </c>
      <c r="AF1570" t="s">
        <v>27</v>
      </c>
      <c r="AG1570">
        <v>104804104</v>
      </c>
      <c r="AH1570">
        <v>62.629379272460902</v>
      </c>
      <c r="AI1570">
        <v>3.9901590347289999</v>
      </c>
    </row>
    <row r="1571" spans="1:35">
      <c r="A1571">
        <f t="shared" si="213"/>
        <v>1</v>
      </c>
      <c r="B1571">
        <f t="shared" si="214"/>
        <v>1</v>
      </c>
      <c r="C1571">
        <f t="shared" si="215"/>
        <v>1</v>
      </c>
      <c r="D1571">
        <f t="shared" si="216"/>
        <v>0</v>
      </c>
      <c r="E1571">
        <f t="shared" si="217"/>
        <v>0</v>
      </c>
      <c r="F1571">
        <f t="shared" si="218"/>
        <v>1</v>
      </c>
      <c r="G1571">
        <f t="shared" si="219"/>
        <v>1</v>
      </c>
      <c r="H1571">
        <v>0</v>
      </c>
      <c r="I1571">
        <f t="shared" si="220"/>
        <v>0</v>
      </c>
      <c r="J1571">
        <f t="shared" si="212"/>
        <v>12.392140865325921</v>
      </c>
      <c r="K1571" t="s">
        <v>746</v>
      </c>
      <c r="L1571" t="s">
        <v>747</v>
      </c>
      <c r="M1571" t="s">
        <v>27</v>
      </c>
      <c r="N1571" t="s">
        <v>27</v>
      </c>
      <c r="O1571">
        <v>17</v>
      </c>
      <c r="P1571">
        <v>4.3278779983520499</v>
      </c>
      <c r="Q1571">
        <v>5.3023748397827104</v>
      </c>
      <c r="R1571">
        <v>17.399999618530298</v>
      </c>
      <c r="S1571">
        <v>13.6000003814697</v>
      </c>
      <c r="T1571">
        <v>34.577404022216797</v>
      </c>
      <c r="U1571">
        <v>42.576438903808601</v>
      </c>
      <c r="V1571">
        <v>11160000</v>
      </c>
      <c r="W1571">
        <v>3.0311419963836701</v>
      </c>
      <c r="X1571">
        <v>0.37999999523162797</v>
      </c>
      <c r="Y1571">
        <v>7.7546019554138201</v>
      </c>
      <c r="Z1571">
        <v>7.0897660255432102</v>
      </c>
      <c r="AA1571">
        <v>11506000</v>
      </c>
      <c r="AB1571" t="s">
        <v>27</v>
      </c>
      <c r="AC1571" t="s">
        <v>27</v>
      </c>
      <c r="AD1571">
        <v>0.270000010728836</v>
      </c>
      <c r="AE1571">
        <v>43.377918243408203</v>
      </c>
      <c r="AF1571">
        <v>6.7134237930434404</v>
      </c>
      <c r="AG1571">
        <v>11558000</v>
      </c>
      <c r="AH1571">
        <v>33.778129577636697</v>
      </c>
      <c r="AI1571">
        <v>3.2692599296569802</v>
      </c>
    </row>
    <row r="1572" spans="1:35">
      <c r="A1572">
        <f t="shared" si="213"/>
        <v>1</v>
      </c>
      <c r="B1572">
        <f t="shared" si="214"/>
        <v>1</v>
      </c>
      <c r="C1572">
        <f t="shared" si="215"/>
        <v>1</v>
      </c>
      <c r="D1572">
        <f t="shared" si="216"/>
        <v>0</v>
      </c>
      <c r="E1572">
        <f t="shared" si="217"/>
        <v>0</v>
      </c>
      <c r="F1572">
        <f t="shared" si="218"/>
        <v>1</v>
      </c>
      <c r="G1572">
        <f t="shared" si="219"/>
        <v>0</v>
      </c>
      <c r="H1572">
        <v>0</v>
      </c>
      <c r="I1572">
        <f t="shared" si="220"/>
        <v>1</v>
      </c>
      <c r="J1572">
        <f t="shared" si="212"/>
        <v>12.38838386535644</v>
      </c>
      <c r="K1572" t="s">
        <v>2388</v>
      </c>
      <c r="L1572" t="s">
        <v>2389</v>
      </c>
      <c r="M1572" t="s">
        <v>27</v>
      </c>
      <c r="N1572" t="s">
        <v>27</v>
      </c>
      <c r="O1572">
        <v>25.4</v>
      </c>
      <c r="P1572" t="s">
        <v>27</v>
      </c>
      <c r="Q1572">
        <v>10.448166847229</v>
      </c>
      <c r="R1572">
        <v>21.3024997711182</v>
      </c>
      <c r="S1572">
        <v>13.5</v>
      </c>
      <c r="T1572">
        <v>4.0099902153015101</v>
      </c>
      <c r="U1572" t="s">
        <v>27</v>
      </c>
      <c r="V1572">
        <v>6656000</v>
      </c>
      <c r="W1572">
        <v>-0.59701997041702304</v>
      </c>
      <c r="X1572">
        <v>0.18999999761581399</v>
      </c>
      <c r="Y1572">
        <v>2.5411760807037398</v>
      </c>
      <c r="Z1572">
        <v>1.9402170181274401</v>
      </c>
      <c r="AA1572">
        <v>8414000</v>
      </c>
      <c r="AB1572" t="s">
        <v>34</v>
      </c>
      <c r="AC1572" t="s">
        <v>447</v>
      </c>
      <c r="AD1572">
        <v>-0.34999999403953602</v>
      </c>
      <c r="AE1572" t="s">
        <v>27</v>
      </c>
      <c r="AF1572" t="s">
        <v>27</v>
      </c>
      <c r="AG1572">
        <v>8420000</v>
      </c>
      <c r="AH1572">
        <v>3.14857006072998</v>
      </c>
      <c r="AI1572">
        <v>1.1284610033035301</v>
      </c>
    </row>
    <row r="1573" spans="1:35">
      <c r="A1573">
        <f t="shared" si="213"/>
        <v>1</v>
      </c>
      <c r="B1573">
        <f t="shared" si="214"/>
        <v>0</v>
      </c>
      <c r="C1573">
        <f t="shared" si="215"/>
        <v>1</v>
      </c>
      <c r="D1573">
        <f t="shared" si="216"/>
        <v>0</v>
      </c>
      <c r="E1573">
        <f t="shared" si="217"/>
        <v>0</v>
      </c>
      <c r="F1573">
        <f t="shared" si="218"/>
        <v>1</v>
      </c>
      <c r="G1573">
        <f t="shared" si="219"/>
        <v>1</v>
      </c>
      <c r="H1573">
        <v>0</v>
      </c>
      <c r="I1573">
        <f t="shared" si="220"/>
        <v>0</v>
      </c>
      <c r="J1573">
        <f t="shared" si="212"/>
        <v>12.376322746276859</v>
      </c>
      <c r="K1573" t="s">
        <v>2684</v>
      </c>
      <c r="L1573" t="s">
        <v>2685</v>
      </c>
      <c r="M1573" t="s">
        <v>27</v>
      </c>
      <c r="N1573" t="s">
        <v>27</v>
      </c>
      <c r="O1573">
        <v>12.01</v>
      </c>
      <c r="P1573" t="s">
        <v>27</v>
      </c>
      <c r="Q1573">
        <v>5.2849769592285201</v>
      </c>
      <c r="R1573">
        <v>25.370000839233398</v>
      </c>
      <c r="S1573">
        <v>10.579999923706101</v>
      </c>
      <c r="T1573">
        <v>61.464672088622997</v>
      </c>
      <c r="U1573">
        <v>12.8748826980591</v>
      </c>
      <c r="V1573">
        <v>86331000</v>
      </c>
      <c r="W1573" t="s">
        <v>27</v>
      </c>
      <c r="X1573">
        <v>0.519999980926514</v>
      </c>
      <c r="Y1573">
        <v>13.939393997192401</v>
      </c>
      <c r="Z1573">
        <v>7.0913457870483398</v>
      </c>
      <c r="AA1573">
        <v>20456000</v>
      </c>
      <c r="AB1573" t="s">
        <v>30</v>
      </c>
      <c r="AC1573" t="s">
        <v>68</v>
      </c>
      <c r="AD1573">
        <v>0.50999999046325695</v>
      </c>
      <c r="AE1573">
        <v>14.0766134262085</v>
      </c>
      <c r="AF1573">
        <v>8.8647482491877394</v>
      </c>
      <c r="AG1573">
        <v>23354000</v>
      </c>
      <c r="AH1573">
        <v>60.993801116943402</v>
      </c>
      <c r="AI1573" t="s">
        <v>27</v>
      </c>
    </row>
    <row r="1574" spans="1:35">
      <c r="A1574">
        <f t="shared" si="213"/>
        <v>0</v>
      </c>
      <c r="B1574">
        <f t="shared" si="214"/>
        <v>0</v>
      </c>
      <c r="C1574">
        <f t="shared" si="215"/>
        <v>1</v>
      </c>
      <c r="D1574">
        <f t="shared" si="216"/>
        <v>1</v>
      </c>
      <c r="E1574">
        <f t="shared" si="217"/>
        <v>0</v>
      </c>
      <c r="F1574">
        <f t="shared" si="218"/>
        <v>1</v>
      </c>
      <c r="G1574">
        <f t="shared" si="219"/>
        <v>0</v>
      </c>
      <c r="H1574">
        <v>0</v>
      </c>
      <c r="I1574">
        <f t="shared" si="220"/>
        <v>0</v>
      </c>
      <c r="J1574">
        <f t="shared" si="212"/>
        <v>12.358173370361341</v>
      </c>
      <c r="K1574" t="s">
        <v>2965</v>
      </c>
      <c r="L1574" t="s">
        <v>2966</v>
      </c>
      <c r="M1574" t="s">
        <v>27</v>
      </c>
      <c r="N1574" t="s">
        <v>27</v>
      </c>
      <c r="O1574">
        <v>33.15</v>
      </c>
      <c r="P1574">
        <v>25.283275604248001</v>
      </c>
      <c r="Q1574">
        <v>10.488094329834</v>
      </c>
      <c r="R1574">
        <v>43</v>
      </c>
      <c r="S1574">
        <v>42</v>
      </c>
      <c r="T1574">
        <v>5.5081248283386204</v>
      </c>
      <c r="U1574">
        <v>67.843124389648395</v>
      </c>
      <c r="V1574">
        <v>8574000</v>
      </c>
      <c r="W1574">
        <v>21.632932662963899</v>
      </c>
      <c r="X1574">
        <v>0.20999999344348899</v>
      </c>
      <c r="Y1574">
        <v>2.3680000305175799</v>
      </c>
      <c r="Z1574">
        <v>1.87007904052734</v>
      </c>
      <c r="AA1574">
        <v>30983000</v>
      </c>
      <c r="AB1574" t="s">
        <v>73</v>
      </c>
      <c r="AC1574" t="s">
        <v>74</v>
      </c>
      <c r="AD1574">
        <v>0.270000010728836</v>
      </c>
      <c r="AE1574">
        <v>66.8408203125</v>
      </c>
      <c r="AF1574">
        <v>16.9972072560025</v>
      </c>
      <c r="AG1574">
        <v>31917000</v>
      </c>
      <c r="AH1574">
        <v>52.713268280029297</v>
      </c>
      <c r="AI1574">
        <v>5.7619328498840297</v>
      </c>
    </row>
    <row r="1575" spans="1:35">
      <c r="A1575">
        <f t="shared" si="213"/>
        <v>1</v>
      </c>
      <c r="B1575">
        <f t="shared" si="214"/>
        <v>0</v>
      </c>
      <c r="C1575">
        <f t="shared" si="215"/>
        <v>1</v>
      </c>
      <c r="D1575">
        <f t="shared" si="216"/>
        <v>0</v>
      </c>
      <c r="E1575">
        <f t="shared" si="217"/>
        <v>0</v>
      </c>
      <c r="F1575">
        <f t="shared" si="218"/>
        <v>1</v>
      </c>
      <c r="G1575">
        <f t="shared" si="219"/>
        <v>0</v>
      </c>
      <c r="H1575">
        <v>0</v>
      </c>
      <c r="I1575">
        <f t="shared" si="220"/>
        <v>1</v>
      </c>
      <c r="J1575">
        <f t="shared" si="212"/>
        <v>12.353982925415039</v>
      </c>
      <c r="K1575" t="s">
        <v>2392</v>
      </c>
      <c r="L1575" t="s">
        <v>2393</v>
      </c>
      <c r="M1575" t="s">
        <v>27</v>
      </c>
      <c r="N1575" t="s">
        <v>27</v>
      </c>
      <c r="O1575">
        <v>21.6</v>
      </c>
      <c r="P1575">
        <v>8.8240919113159197</v>
      </c>
      <c r="Q1575">
        <v>4.7313418388366699</v>
      </c>
      <c r="R1575">
        <v>17.100000381469702</v>
      </c>
      <c r="S1575">
        <v>20.5</v>
      </c>
      <c r="T1575">
        <v>48.019783020019503</v>
      </c>
      <c r="U1575">
        <v>25.684839248657202</v>
      </c>
      <c r="V1575">
        <v>47716000</v>
      </c>
      <c r="W1575">
        <v>5.1477780342102104</v>
      </c>
      <c r="X1575">
        <v>0.89999997615814198</v>
      </c>
      <c r="Y1575">
        <v>15.678714752197299</v>
      </c>
      <c r="Z1575">
        <v>7.62264108657837</v>
      </c>
      <c r="AA1575">
        <v>17675000</v>
      </c>
      <c r="AB1575" t="s">
        <v>61</v>
      </c>
      <c r="AC1575" t="s">
        <v>62</v>
      </c>
      <c r="AD1575">
        <v>0.28999999165535001</v>
      </c>
      <c r="AE1575">
        <v>21.2252388000488</v>
      </c>
      <c r="AF1575">
        <v>7.2458973113326097</v>
      </c>
      <c r="AG1575">
        <v>18300000</v>
      </c>
      <c r="AH1575">
        <v>43.811962127685497</v>
      </c>
      <c r="AI1575">
        <v>1.93648505210876</v>
      </c>
    </row>
    <row r="1576" spans="1:35">
      <c r="A1576">
        <f t="shared" si="213"/>
        <v>0</v>
      </c>
      <c r="B1576">
        <f t="shared" si="214"/>
        <v>0</v>
      </c>
      <c r="C1576">
        <f t="shared" si="215"/>
        <v>1</v>
      </c>
      <c r="D1576">
        <f t="shared" si="216"/>
        <v>1</v>
      </c>
      <c r="E1576">
        <f t="shared" si="217"/>
        <v>0</v>
      </c>
      <c r="F1576">
        <f t="shared" si="218"/>
        <v>1</v>
      </c>
      <c r="G1576">
        <f t="shared" si="219"/>
        <v>0</v>
      </c>
      <c r="H1576">
        <v>0</v>
      </c>
      <c r="I1576">
        <f t="shared" si="220"/>
        <v>1</v>
      </c>
      <c r="J1576">
        <f t="shared" si="212"/>
        <v>12.32785177230835</v>
      </c>
      <c r="K1576" t="s">
        <v>160</v>
      </c>
      <c r="L1576" t="s">
        <v>161</v>
      </c>
      <c r="M1576" t="s">
        <v>27</v>
      </c>
      <c r="N1576" t="s">
        <v>27</v>
      </c>
      <c r="O1576">
        <v>42.25</v>
      </c>
      <c r="P1576">
        <v>5.98761081695557</v>
      </c>
      <c r="Q1576">
        <v>5.2975487709045401</v>
      </c>
      <c r="R1576">
        <v>33.702499389648402</v>
      </c>
      <c r="S1576">
        <v>29</v>
      </c>
      <c r="T1576">
        <v>13.3577375411987</v>
      </c>
      <c r="U1576" t="s">
        <v>27</v>
      </c>
      <c r="V1576">
        <v>15734000</v>
      </c>
      <c r="W1576">
        <v>1.2393660545349101</v>
      </c>
      <c r="X1576">
        <v>0.56000000238418601</v>
      </c>
      <c r="Y1576">
        <v>9.5722541809081996</v>
      </c>
      <c r="Z1576">
        <v>7.0303030014038104</v>
      </c>
      <c r="AA1576">
        <v>11047000</v>
      </c>
      <c r="AB1576" t="s">
        <v>27</v>
      </c>
      <c r="AC1576" t="s">
        <v>27</v>
      </c>
      <c r="AD1576">
        <v>0.62999999523162797</v>
      </c>
      <c r="AE1576" t="s">
        <v>27</v>
      </c>
      <c r="AF1576" t="s">
        <v>27</v>
      </c>
      <c r="AG1576">
        <v>11865000</v>
      </c>
      <c r="AH1576">
        <v>18.2045574188232</v>
      </c>
      <c r="AI1576">
        <v>1.19238305091858</v>
      </c>
    </row>
    <row r="1577" spans="1:35">
      <c r="A1577">
        <f t="shared" si="213"/>
        <v>0</v>
      </c>
      <c r="B1577">
        <f t="shared" si="214"/>
        <v>0</v>
      </c>
      <c r="C1577">
        <f t="shared" si="215"/>
        <v>1</v>
      </c>
      <c r="D1577">
        <f t="shared" si="216"/>
        <v>0</v>
      </c>
      <c r="E1577">
        <f t="shared" si="217"/>
        <v>0</v>
      </c>
      <c r="F1577">
        <f t="shared" si="218"/>
        <v>1</v>
      </c>
      <c r="G1577">
        <f t="shared" si="219"/>
        <v>0</v>
      </c>
      <c r="H1577">
        <v>0</v>
      </c>
      <c r="I1577">
        <f t="shared" si="220"/>
        <v>0</v>
      </c>
      <c r="J1577">
        <f t="shared" si="212"/>
        <v>12.32322883605957</v>
      </c>
      <c r="K1577" t="s">
        <v>1302</v>
      </c>
      <c r="L1577" t="s">
        <v>1303</v>
      </c>
      <c r="M1577" t="s">
        <v>27</v>
      </c>
      <c r="N1577" t="s">
        <v>27</v>
      </c>
      <c r="O1577">
        <v>30.79</v>
      </c>
      <c r="P1577">
        <v>8.6986188888549805</v>
      </c>
      <c r="Q1577">
        <v>6.8448748588562003</v>
      </c>
      <c r="R1577">
        <v>33.950000762939503</v>
      </c>
      <c r="S1577">
        <v>32.25</v>
      </c>
      <c r="T1577">
        <v>8.3251161575317401</v>
      </c>
      <c r="U1577" t="s">
        <v>27</v>
      </c>
      <c r="V1577">
        <v>4655000</v>
      </c>
      <c r="W1577">
        <v>1.3709789514541599</v>
      </c>
      <c r="X1577">
        <v>0.519999980926514</v>
      </c>
      <c r="Y1577">
        <v>5.1756520271301296</v>
      </c>
      <c r="Z1577">
        <v>5.47835397720337</v>
      </c>
      <c r="AA1577">
        <v>7210000</v>
      </c>
      <c r="AB1577" t="s">
        <v>34</v>
      </c>
      <c r="AC1577" t="s">
        <v>35</v>
      </c>
      <c r="AD1577">
        <v>0.43999999761581399</v>
      </c>
      <c r="AE1577" t="s">
        <v>27</v>
      </c>
      <c r="AF1577" t="s">
        <v>27</v>
      </c>
      <c r="AG1577">
        <v>6942000</v>
      </c>
      <c r="AH1577">
        <v>12.0605573654175</v>
      </c>
      <c r="AI1577">
        <v>1.28133201599121</v>
      </c>
    </row>
    <row r="1578" spans="1:35">
      <c r="A1578">
        <f t="shared" si="213"/>
        <v>1</v>
      </c>
      <c r="B1578">
        <f t="shared" si="214"/>
        <v>0</v>
      </c>
      <c r="C1578">
        <f t="shared" si="215"/>
        <v>1</v>
      </c>
      <c r="D1578">
        <f t="shared" si="216"/>
        <v>1</v>
      </c>
      <c r="E1578">
        <f t="shared" si="217"/>
        <v>0</v>
      </c>
      <c r="F1578">
        <f t="shared" si="218"/>
        <v>1</v>
      </c>
      <c r="G1578">
        <f t="shared" si="219"/>
        <v>0</v>
      </c>
      <c r="H1578">
        <v>0</v>
      </c>
      <c r="I1578">
        <f t="shared" si="220"/>
        <v>0</v>
      </c>
      <c r="J1578">
        <f t="shared" si="212"/>
        <v>12.313344001770009</v>
      </c>
      <c r="K1578" t="s">
        <v>2374</v>
      </c>
      <c r="L1578" t="s">
        <v>2375</v>
      </c>
      <c r="M1578" t="s">
        <v>27</v>
      </c>
      <c r="N1578" t="s">
        <v>27</v>
      </c>
      <c r="O1578">
        <v>100.16</v>
      </c>
      <c r="P1578">
        <v>18.195045471191399</v>
      </c>
      <c r="Q1578">
        <v>1.43161201477051</v>
      </c>
      <c r="R1578">
        <v>105.199996948242</v>
      </c>
      <c r="S1578">
        <v>107.046875</v>
      </c>
      <c r="T1578">
        <v>0.61876499652862504</v>
      </c>
      <c r="U1578" t="s">
        <v>27</v>
      </c>
      <c r="V1578" t="s">
        <v>27</v>
      </c>
      <c r="W1578">
        <v>1.6449489593505899</v>
      </c>
      <c r="X1578">
        <v>2.1700000762939502</v>
      </c>
      <c r="Y1578">
        <v>20.625</v>
      </c>
      <c r="Z1578">
        <v>10.881731986999499</v>
      </c>
      <c r="AA1578">
        <v>3502000</v>
      </c>
      <c r="AB1578" t="s">
        <v>34</v>
      </c>
      <c r="AC1578" t="s">
        <v>447</v>
      </c>
      <c r="AD1578">
        <v>4.6199998855590803</v>
      </c>
      <c r="AE1578" t="s">
        <v>27</v>
      </c>
      <c r="AF1578" t="s">
        <v>27</v>
      </c>
      <c r="AG1578">
        <v>3504000</v>
      </c>
      <c r="AH1578">
        <v>0</v>
      </c>
      <c r="AI1578">
        <v>0.77336001396179199</v>
      </c>
    </row>
    <row r="1579" spans="1:35">
      <c r="A1579">
        <f t="shared" si="213"/>
        <v>1</v>
      </c>
      <c r="B1579">
        <f t="shared" si="214"/>
        <v>0</v>
      </c>
      <c r="C1579">
        <f t="shared" si="215"/>
        <v>0</v>
      </c>
      <c r="D1579">
        <f t="shared" si="216"/>
        <v>1</v>
      </c>
      <c r="E1579">
        <f t="shared" si="217"/>
        <v>0</v>
      </c>
      <c r="F1579">
        <f t="shared" si="218"/>
        <v>1</v>
      </c>
      <c r="G1579">
        <f t="shared" si="219"/>
        <v>1</v>
      </c>
      <c r="H1579">
        <v>0</v>
      </c>
      <c r="I1579">
        <f t="shared" si="220"/>
        <v>1</v>
      </c>
      <c r="J1579">
        <f t="shared" si="212"/>
        <v>12.27843546867371</v>
      </c>
      <c r="K1579" t="s">
        <v>1914</v>
      </c>
      <c r="L1579" t="s">
        <v>1915</v>
      </c>
      <c r="M1579" t="s">
        <v>27</v>
      </c>
      <c r="N1579" t="s">
        <v>27</v>
      </c>
      <c r="O1579">
        <v>40</v>
      </c>
      <c r="P1579">
        <v>8.6526365280151403</v>
      </c>
      <c r="Q1579">
        <v>8.5415143966674805</v>
      </c>
      <c r="R1579">
        <v>33.880013181423799</v>
      </c>
      <c r="S1579">
        <v>26.0818956920223</v>
      </c>
      <c r="T1579">
        <v>29.213823318481399</v>
      </c>
      <c r="U1579">
        <v>32.014225006103501</v>
      </c>
      <c r="V1579">
        <v>-9317000</v>
      </c>
      <c r="W1579">
        <v>5.8575210571289098</v>
      </c>
      <c r="X1579">
        <v>0.26452227277536799</v>
      </c>
      <c r="Y1579">
        <v>5.0337080955505398</v>
      </c>
      <c r="Z1579">
        <v>3.73692107200623</v>
      </c>
      <c r="AA1579">
        <v>22858188.600000001</v>
      </c>
      <c r="AB1579" t="s">
        <v>194</v>
      </c>
      <c r="AC1579" t="s">
        <v>195</v>
      </c>
      <c r="AD1579">
        <v>0.35975029475852099</v>
      </c>
      <c r="AE1579">
        <v>32.295017242431598</v>
      </c>
      <c r="AF1579">
        <v>13.9483296489887</v>
      </c>
      <c r="AG1579">
        <v>23097786.571600001</v>
      </c>
      <c r="AH1579">
        <v>27.6408805847168</v>
      </c>
      <c r="AI1579">
        <v>5.7569208145141602</v>
      </c>
    </row>
    <row r="1580" spans="1:35">
      <c r="A1580">
        <f t="shared" si="213"/>
        <v>0</v>
      </c>
      <c r="B1580">
        <f t="shared" si="214"/>
        <v>0</v>
      </c>
      <c r="C1580">
        <f t="shared" si="215"/>
        <v>1</v>
      </c>
      <c r="D1580">
        <f t="shared" si="216"/>
        <v>1</v>
      </c>
      <c r="E1580">
        <f t="shared" si="217"/>
        <v>0</v>
      </c>
      <c r="F1580">
        <f t="shared" si="218"/>
        <v>1</v>
      </c>
      <c r="G1580">
        <f t="shared" si="219"/>
        <v>0</v>
      </c>
      <c r="H1580">
        <v>0</v>
      </c>
      <c r="I1580">
        <f t="shared" si="220"/>
        <v>0</v>
      </c>
      <c r="J1580">
        <f t="shared" si="212"/>
        <v>12.274960994720459</v>
      </c>
      <c r="K1580" t="s">
        <v>502</v>
      </c>
      <c r="L1580" t="s">
        <v>503</v>
      </c>
      <c r="M1580" t="s">
        <v>27</v>
      </c>
      <c r="N1580" t="s">
        <v>27</v>
      </c>
      <c r="O1580">
        <v>22.75</v>
      </c>
      <c r="P1580" t="s">
        <v>27</v>
      </c>
      <c r="Q1580">
        <v>4.4898729324340803</v>
      </c>
      <c r="R1580">
        <v>21.200000762939499</v>
      </c>
      <c r="S1580">
        <v>17</v>
      </c>
      <c r="T1580">
        <v>11.7050132751465</v>
      </c>
      <c r="U1580" t="s">
        <v>27</v>
      </c>
      <c r="V1580">
        <v>3692999.75</v>
      </c>
      <c r="W1580">
        <v>0.69336700439453103</v>
      </c>
      <c r="X1580">
        <v>0.34999999403953602</v>
      </c>
      <c r="Y1580" t="s">
        <v>27</v>
      </c>
      <c r="Z1580">
        <v>7.7850880622863796</v>
      </c>
      <c r="AA1580">
        <v>7674000</v>
      </c>
      <c r="AB1580" t="s">
        <v>34</v>
      </c>
      <c r="AC1580" t="s">
        <v>35</v>
      </c>
      <c r="AD1580">
        <v>0.41999998688697798</v>
      </c>
      <c r="AE1580" t="s">
        <v>27</v>
      </c>
      <c r="AF1580" t="s">
        <v>27</v>
      </c>
      <c r="AG1580">
        <v>6839000</v>
      </c>
      <c r="AH1580">
        <v>13.275719642639199</v>
      </c>
      <c r="AI1580">
        <v>0.49455198645591703</v>
      </c>
    </row>
    <row r="1581" spans="1:35">
      <c r="A1581">
        <f t="shared" si="213"/>
        <v>0</v>
      </c>
      <c r="B1581">
        <f t="shared" si="214"/>
        <v>1</v>
      </c>
      <c r="C1581">
        <f t="shared" si="215"/>
        <v>1</v>
      </c>
      <c r="D1581">
        <f t="shared" si="216"/>
        <v>0</v>
      </c>
      <c r="E1581">
        <f t="shared" si="217"/>
        <v>0</v>
      </c>
      <c r="F1581">
        <f t="shared" si="218"/>
        <v>1</v>
      </c>
      <c r="G1581">
        <f t="shared" si="219"/>
        <v>0</v>
      </c>
      <c r="H1581">
        <v>0</v>
      </c>
      <c r="I1581">
        <f t="shared" si="220"/>
        <v>1</v>
      </c>
      <c r="J1581">
        <f t="shared" si="212"/>
        <v>12.262178897857659</v>
      </c>
      <c r="K1581" t="s">
        <v>454</v>
      </c>
      <c r="L1581" t="s">
        <v>455</v>
      </c>
      <c r="M1581" t="s">
        <v>27</v>
      </c>
      <c r="N1581" t="s">
        <v>27</v>
      </c>
      <c r="O1581">
        <v>37.14</v>
      </c>
      <c r="P1581">
        <v>9.1741752624511701</v>
      </c>
      <c r="Q1581">
        <v>5.5711369514465297</v>
      </c>
      <c r="R1581">
        <v>33.799999237060497</v>
      </c>
      <c r="S1581">
        <v>41.909999847412102</v>
      </c>
      <c r="T1581">
        <v>15.3890075683594</v>
      </c>
      <c r="U1581">
        <v>37.458366394042997</v>
      </c>
      <c r="V1581">
        <v>32974000</v>
      </c>
      <c r="W1581">
        <v>7.0804719924926802</v>
      </c>
      <c r="X1581">
        <v>0.87000000476837203</v>
      </c>
      <c r="Y1581">
        <v>8.1530437469482404</v>
      </c>
      <c r="Z1581">
        <v>6.6910419464111301</v>
      </c>
      <c r="AA1581">
        <v>20678000</v>
      </c>
      <c r="AB1581" t="s">
        <v>27</v>
      </c>
      <c r="AC1581" t="s">
        <v>27</v>
      </c>
      <c r="AD1581">
        <v>0.70999997854232799</v>
      </c>
      <c r="AE1581">
        <v>34.9795532226563</v>
      </c>
      <c r="AF1581">
        <v>5.3120210699473196</v>
      </c>
      <c r="AG1581">
        <v>20640000</v>
      </c>
      <c r="AH1581">
        <v>15.4937686920166</v>
      </c>
      <c r="AI1581">
        <v>8.3972520828247106</v>
      </c>
    </row>
    <row r="1582" spans="1:35">
      <c r="A1582">
        <f t="shared" si="213"/>
        <v>0</v>
      </c>
      <c r="B1582">
        <f t="shared" si="214"/>
        <v>0</v>
      </c>
      <c r="C1582">
        <f t="shared" si="215"/>
        <v>1</v>
      </c>
      <c r="D1582">
        <f t="shared" si="216"/>
        <v>0</v>
      </c>
      <c r="E1582">
        <f t="shared" si="217"/>
        <v>0</v>
      </c>
      <c r="F1582">
        <f t="shared" si="218"/>
        <v>1</v>
      </c>
      <c r="G1582">
        <f t="shared" si="219"/>
        <v>0</v>
      </c>
      <c r="H1582">
        <v>0</v>
      </c>
      <c r="I1582">
        <f t="shared" si="220"/>
        <v>1</v>
      </c>
      <c r="J1582">
        <f t="shared" si="212"/>
        <v>12.25303173065185</v>
      </c>
      <c r="K1582" t="s">
        <v>679</v>
      </c>
      <c r="L1582" t="s">
        <v>680</v>
      </c>
      <c r="M1582" t="s">
        <v>27</v>
      </c>
      <c r="N1582" t="s">
        <v>27</v>
      </c>
      <c r="O1582">
        <v>40.799999999999997</v>
      </c>
      <c r="P1582">
        <v>13.281517982482899</v>
      </c>
      <c r="Q1582">
        <v>6.47350978851318</v>
      </c>
      <c r="R1582">
        <v>35.759998321533203</v>
      </c>
      <c r="S1582">
        <v>40.200000762939503</v>
      </c>
      <c r="T1582">
        <v>37.16259765625</v>
      </c>
      <c r="U1582">
        <v>21.558982849121101</v>
      </c>
      <c r="V1582">
        <v>74118000</v>
      </c>
      <c r="W1582">
        <v>9.1079969406127894</v>
      </c>
      <c r="X1582">
        <v>0.93000000715255704</v>
      </c>
      <c r="Y1582">
        <v>8.4096393585205096</v>
      </c>
      <c r="Z1582">
        <v>5.7795219421386701</v>
      </c>
      <c r="AA1582">
        <v>30256000</v>
      </c>
      <c r="AB1582" t="s">
        <v>61</v>
      </c>
      <c r="AC1582" t="s">
        <v>681</v>
      </c>
      <c r="AD1582">
        <v>0.36000001430511502</v>
      </c>
      <c r="AE1582">
        <v>17.604047775268601</v>
      </c>
      <c r="AF1582">
        <v>9.5621818181818199</v>
      </c>
      <c r="AG1582">
        <v>30262000</v>
      </c>
      <c r="AH1582">
        <v>37.433986663818402</v>
      </c>
      <c r="AI1582">
        <v>8.0608768463134801</v>
      </c>
    </row>
    <row r="1583" spans="1:35">
      <c r="A1583">
        <f t="shared" si="213"/>
        <v>0</v>
      </c>
      <c r="B1583">
        <f t="shared" si="214"/>
        <v>0</v>
      </c>
      <c r="C1583">
        <f t="shared" si="215"/>
        <v>1</v>
      </c>
      <c r="D1583">
        <f t="shared" si="216"/>
        <v>0</v>
      </c>
      <c r="E1583">
        <f t="shared" si="217"/>
        <v>0</v>
      </c>
      <c r="F1583">
        <f t="shared" si="218"/>
        <v>1</v>
      </c>
      <c r="G1583">
        <f t="shared" si="219"/>
        <v>0</v>
      </c>
      <c r="H1583">
        <v>0</v>
      </c>
      <c r="I1583">
        <f t="shared" si="220"/>
        <v>0</v>
      </c>
      <c r="J1583">
        <f t="shared" si="212"/>
        <v>12.2266731262207</v>
      </c>
      <c r="K1583" t="s">
        <v>1318</v>
      </c>
      <c r="L1583" t="s">
        <v>1319</v>
      </c>
      <c r="M1583" t="s">
        <v>27</v>
      </c>
      <c r="N1583" t="s">
        <v>27</v>
      </c>
      <c r="O1583">
        <v>23</v>
      </c>
      <c r="P1583">
        <v>14.3883609771729</v>
      </c>
      <c r="Q1583">
        <v>6.4458270072937003</v>
      </c>
      <c r="R1583">
        <v>25.5</v>
      </c>
      <c r="S1583">
        <v>23.540000915527301</v>
      </c>
      <c r="T1583">
        <v>33.283634185791001</v>
      </c>
      <c r="U1583">
        <v>26.8350734710693</v>
      </c>
      <c r="V1583">
        <v>60191004</v>
      </c>
      <c r="W1583">
        <v>8.0195951461791992</v>
      </c>
      <c r="X1583">
        <v>0.5</v>
      </c>
      <c r="Y1583">
        <v>10.3344259262085</v>
      </c>
      <c r="Z1583">
        <v>5.7808461189270002</v>
      </c>
      <c r="AA1583">
        <v>34328000</v>
      </c>
      <c r="AB1583" t="s">
        <v>52</v>
      </c>
      <c r="AC1583" t="s">
        <v>53</v>
      </c>
      <c r="AD1583">
        <v>0.34000000357627902</v>
      </c>
      <c r="AE1583">
        <v>23.443649291992202</v>
      </c>
      <c r="AF1583" t="s">
        <v>27</v>
      </c>
      <c r="AG1583">
        <v>34260000</v>
      </c>
      <c r="AH1583">
        <v>50.947437286377003</v>
      </c>
      <c r="AI1583">
        <v>6.9697508811950701</v>
      </c>
    </row>
    <row r="1584" spans="1:35">
      <c r="A1584">
        <f t="shared" si="213"/>
        <v>1</v>
      </c>
      <c r="B1584">
        <f t="shared" si="214"/>
        <v>0</v>
      </c>
      <c r="C1584">
        <f t="shared" si="215"/>
        <v>0</v>
      </c>
      <c r="D1584">
        <f t="shared" si="216"/>
        <v>1</v>
      </c>
      <c r="E1584">
        <f t="shared" si="217"/>
        <v>0</v>
      </c>
      <c r="F1584">
        <f t="shared" si="218"/>
        <v>1</v>
      </c>
      <c r="G1584">
        <f t="shared" si="219"/>
        <v>0</v>
      </c>
      <c r="H1584">
        <v>0</v>
      </c>
      <c r="I1584">
        <f t="shared" si="220"/>
        <v>0</v>
      </c>
      <c r="J1584">
        <f t="shared" si="212"/>
        <v>12.22545385360718</v>
      </c>
      <c r="K1584" t="s">
        <v>3639</v>
      </c>
      <c r="L1584" t="s">
        <v>3640</v>
      </c>
      <c r="M1584" t="s">
        <v>27</v>
      </c>
      <c r="N1584" t="s">
        <v>27</v>
      </c>
      <c r="O1584">
        <v>29.03</v>
      </c>
      <c r="P1584">
        <v>5.25006008148193</v>
      </c>
      <c r="Q1584">
        <v>5.4106388092040998</v>
      </c>
      <c r="R1584">
        <v>28.940000534057599</v>
      </c>
      <c r="S1584">
        <v>21.6875</v>
      </c>
      <c r="T1584">
        <v>23.646877288818398</v>
      </c>
      <c r="U1584" t="s">
        <v>27</v>
      </c>
      <c r="V1584">
        <v>-35801000</v>
      </c>
      <c r="W1584">
        <v>1.4578729867935201</v>
      </c>
      <c r="X1584">
        <v>0.43999999761581399</v>
      </c>
      <c r="Y1584">
        <v>8.6624202728271502</v>
      </c>
      <c r="Z1584">
        <v>6.8148150444030797</v>
      </c>
      <c r="AA1584">
        <v>41826000</v>
      </c>
      <c r="AB1584" t="s">
        <v>34</v>
      </c>
      <c r="AC1584" t="s">
        <v>35</v>
      </c>
      <c r="AD1584">
        <v>0.479999989271164</v>
      </c>
      <c r="AE1584" t="s">
        <v>27</v>
      </c>
      <c r="AF1584" t="s">
        <v>27</v>
      </c>
      <c r="AG1584">
        <v>41180000</v>
      </c>
      <c r="AH1584">
        <v>22.606636047363299</v>
      </c>
      <c r="AI1584">
        <v>1.18262898921967</v>
      </c>
    </row>
    <row r="1585" spans="1:35">
      <c r="A1585">
        <f t="shared" si="213"/>
        <v>1</v>
      </c>
      <c r="B1585">
        <f t="shared" si="214"/>
        <v>1</v>
      </c>
      <c r="C1585">
        <f t="shared" si="215"/>
        <v>1</v>
      </c>
      <c r="D1585">
        <f t="shared" si="216"/>
        <v>0</v>
      </c>
      <c r="E1585">
        <f t="shared" si="217"/>
        <v>0</v>
      </c>
      <c r="F1585">
        <f t="shared" si="218"/>
        <v>1</v>
      </c>
      <c r="G1585">
        <f t="shared" si="219"/>
        <v>0</v>
      </c>
      <c r="H1585">
        <v>0</v>
      </c>
      <c r="I1585">
        <f t="shared" si="220"/>
        <v>0</v>
      </c>
      <c r="J1585">
        <f t="shared" si="212"/>
        <v>12.215396881103509</v>
      </c>
      <c r="K1585" t="s">
        <v>1195</v>
      </c>
      <c r="L1585" t="s">
        <v>1196</v>
      </c>
      <c r="M1585" t="s">
        <v>27</v>
      </c>
      <c r="N1585" t="s">
        <v>27</v>
      </c>
      <c r="O1585">
        <v>9.1620000000000008</v>
      </c>
      <c r="P1585">
        <v>6.8208680152893102</v>
      </c>
      <c r="Q1585">
        <v>7.6594119071960396</v>
      </c>
      <c r="R1585">
        <v>12.9700002670288</v>
      </c>
      <c r="S1585">
        <v>8.3125</v>
      </c>
      <c r="T1585">
        <v>26.0020942687988</v>
      </c>
      <c r="U1585">
        <v>14.809552192688001</v>
      </c>
      <c r="V1585">
        <v>6576000</v>
      </c>
      <c r="W1585">
        <v>3.88640189170837</v>
      </c>
      <c r="X1585">
        <v>0.140000000596046</v>
      </c>
      <c r="Y1585">
        <v>6.5964908599853498</v>
      </c>
      <c r="Z1585">
        <v>4.5559849739074698</v>
      </c>
      <c r="AA1585">
        <v>15150000</v>
      </c>
      <c r="AB1585" t="s">
        <v>61</v>
      </c>
      <c r="AC1585" t="s">
        <v>106</v>
      </c>
      <c r="AD1585">
        <v>0.140000000596046</v>
      </c>
      <c r="AE1585">
        <v>13.5716190338135</v>
      </c>
      <c r="AF1585">
        <v>7.8259856537332899</v>
      </c>
      <c r="AG1585">
        <v>15015000</v>
      </c>
      <c r="AH1585">
        <v>16.920160293579102</v>
      </c>
      <c r="AI1585">
        <v>4.5450820922851598</v>
      </c>
    </row>
    <row r="1586" spans="1:35">
      <c r="A1586">
        <f t="shared" si="213"/>
        <v>0</v>
      </c>
      <c r="B1586">
        <f t="shared" si="214"/>
        <v>0</v>
      </c>
      <c r="C1586">
        <f t="shared" si="215"/>
        <v>1</v>
      </c>
      <c r="D1586">
        <f t="shared" si="216"/>
        <v>1</v>
      </c>
      <c r="E1586">
        <f t="shared" si="217"/>
        <v>0</v>
      </c>
      <c r="F1586">
        <f t="shared" si="218"/>
        <v>1</v>
      </c>
      <c r="G1586">
        <f t="shared" si="219"/>
        <v>0</v>
      </c>
      <c r="H1586">
        <v>0</v>
      </c>
      <c r="I1586">
        <f t="shared" si="220"/>
        <v>1</v>
      </c>
      <c r="J1586">
        <f t="shared" si="212"/>
        <v>12.188721418380739</v>
      </c>
      <c r="K1586" t="s">
        <v>3773</v>
      </c>
      <c r="L1586" t="s">
        <v>3774</v>
      </c>
      <c r="M1586" t="s">
        <v>27</v>
      </c>
      <c r="N1586" t="s">
        <v>27</v>
      </c>
      <c r="O1586">
        <v>17.059999999999999</v>
      </c>
      <c r="P1586" t="s">
        <v>27</v>
      </c>
      <c r="Q1586">
        <v>3.8315780162811302</v>
      </c>
      <c r="R1586">
        <v>10.319999694824199</v>
      </c>
      <c r="S1586">
        <v>8.4166666666666696</v>
      </c>
      <c r="T1586">
        <v>29.940618515014599</v>
      </c>
      <c r="U1586" t="s">
        <v>27</v>
      </c>
      <c r="V1586">
        <v>31837000</v>
      </c>
      <c r="W1586">
        <v>1.2679519653320299</v>
      </c>
      <c r="X1586">
        <v>0.16666666666666699</v>
      </c>
      <c r="Y1586" t="s">
        <v>27</v>
      </c>
      <c r="Z1586">
        <v>8.3571434020996094</v>
      </c>
      <c r="AA1586">
        <v>62272500</v>
      </c>
      <c r="AB1586" t="s">
        <v>27</v>
      </c>
      <c r="AC1586" t="s">
        <v>27</v>
      </c>
      <c r="AD1586">
        <v>0.220000008742015</v>
      </c>
      <c r="AE1586" t="s">
        <v>27</v>
      </c>
      <c r="AF1586" t="s">
        <v>27</v>
      </c>
      <c r="AG1586">
        <v>62253000</v>
      </c>
      <c r="AH1586">
        <v>33.704795837402301</v>
      </c>
      <c r="AI1586">
        <v>1.16792404651642</v>
      </c>
    </row>
    <row r="1587" spans="1:35">
      <c r="A1587">
        <f t="shared" si="213"/>
        <v>1</v>
      </c>
      <c r="B1587">
        <f t="shared" si="214"/>
        <v>1</v>
      </c>
      <c r="C1587">
        <f t="shared" si="215"/>
        <v>1</v>
      </c>
      <c r="D1587">
        <f t="shared" si="216"/>
        <v>1</v>
      </c>
      <c r="E1587">
        <f t="shared" si="217"/>
        <v>0</v>
      </c>
      <c r="F1587">
        <f t="shared" si="218"/>
        <v>1</v>
      </c>
      <c r="G1587">
        <f t="shared" si="219"/>
        <v>0</v>
      </c>
      <c r="H1587">
        <v>0</v>
      </c>
      <c r="I1587">
        <f t="shared" si="220"/>
        <v>1</v>
      </c>
      <c r="J1587">
        <f t="shared" si="212"/>
        <v>12.15280818939209</v>
      </c>
      <c r="K1587" t="s">
        <v>3613</v>
      </c>
      <c r="L1587" t="s">
        <v>3614</v>
      </c>
      <c r="M1587" t="s">
        <v>27</v>
      </c>
      <c r="N1587" t="s">
        <v>27</v>
      </c>
      <c r="O1587">
        <v>42.9</v>
      </c>
      <c r="P1587">
        <v>5.5627107620239302</v>
      </c>
      <c r="Q1587">
        <v>7.1836509704589799</v>
      </c>
      <c r="R1587">
        <v>30.799999237060501</v>
      </c>
      <c r="S1587">
        <v>24.34375</v>
      </c>
      <c r="T1587">
        <v>15.43616771698</v>
      </c>
      <c r="U1587" t="s">
        <v>27</v>
      </c>
      <c r="V1587">
        <v>15976999</v>
      </c>
      <c r="W1587">
        <v>0.86044400930404696</v>
      </c>
      <c r="X1587">
        <v>0.33000001311302202</v>
      </c>
      <c r="Y1587">
        <v>6.6178011894226101</v>
      </c>
      <c r="Z1587">
        <v>4.9691572189331099</v>
      </c>
      <c r="AA1587">
        <v>18736000</v>
      </c>
      <c r="AB1587" t="s">
        <v>27</v>
      </c>
      <c r="AC1587" t="s">
        <v>27</v>
      </c>
      <c r="AD1587">
        <v>0.40999999642372098</v>
      </c>
      <c r="AE1587" t="s">
        <v>27</v>
      </c>
      <c r="AF1587" t="s">
        <v>27</v>
      </c>
      <c r="AG1587">
        <v>19344000</v>
      </c>
      <c r="AH1587">
        <v>9.49090480804443</v>
      </c>
      <c r="AI1587">
        <v>1.0080809593200699</v>
      </c>
    </row>
    <row r="1588" spans="1:35">
      <c r="A1588">
        <f t="shared" si="213"/>
        <v>0</v>
      </c>
      <c r="B1588">
        <f t="shared" si="214"/>
        <v>1</v>
      </c>
      <c r="C1588">
        <f t="shared" si="215"/>
        <v>1</v>
      </c>
      <c r="D1588">
        <f t="shared" si="216"/>
        <v>0</v>
      </c>
      <c r="E1588">
        <f t="shared" si="217"/>
        <v>0</v>
      </c>
      <c r="F1588">
        <f t="shared" si="218"/>
        <v>1</v>
      </c>
      <c r="G1588">
        <f t="shared" si="219"/>
        <v>0</v>
      </c>
      <c r="H1588">
        <v>0</v>
      </c>
      <c r="I1588">
        <f t="shared" si="220"/>
        <v>0</v>
      </c>
      <c r="J1588">
        <f t="shared" si="212"/>
        <v>12.143562793731689</v>
      </c>
      <c r="K1588" t="s">
        <v>1168</v>
      </c>
      <c r="L1588" t="s">
        <v>1169</v>
      </c>
      <c r="M1588" t="s">
        <v>27</v>
      </c>
      <c r="N1588" t="s">
        <v>27</v>
      </c>
      <c r="O1588">
        <v>18.07</v>
      </c>
      <c r="P1588">
        <v>29.154338836669901</v>
      </c>
      <c r="Q1588">
        <v>7.5932979583740199</v>
      </c>
      <c r="R1588">
        <v>31.2700004577637</v>
      </c>
      <c r="S1588">
        <v>35.5</v>
      </c>
      <c r="T1588">
        <v>0</v>
      </c>
      <c r="U1588">
        <v>57.228191375732401</v>
      </c>
      <c r="V1588">
        <v>5682000</v>
      </c>
      <c r="W1588">
        <v>15.9154300689697</v>
      </c>
      <c r="X1588">
        <v>1.0299999713897701</v>
      </c>
      <c r="Y1588">
        <v>11.6253156661987</v>
      </c>
      <c r="Z1588">
        <v>4.5502648353576696</v>
      </c>
      <c r="AA1588">
        <v>26933000</v>
      </c>
      <c r="AB1588" t="s">
        <v>38</v>
      </c>
      <c r="AC1588" t="s">
        <v>146</v>
      </c>
      <c r="AD1588">
        <v>-7.9999998211860698E-2</v>
      </c>
      <c r="AE1588">
        <v>49.661666870117202</v>
      </c>
      <c r="AF1588" t="s">
        <v>27</v>
      </c>
      <c r="AG1588">
        <v>27301000</v>
      </c>
      <c r="AH1588">
        <v>0</v>
      </c>
      <c r="AI1588">
        <v>28.6048374176025</v>
      </c>
    </row>
    <row r="1589" spans="1:35">
      <c r="A1589">
        <f t="shared" si="213"/>
        <v>1</v>
      </c>
      <c r="B1589">
        <f t="shared" si="214"/>
        <v>1</v>
      </c>
      <c r="C1589">
        <f t="shared" si="215"/>
        <v>1</v>
      </c>
      <c r="D1589">
        <f t="shared" si="216"/>
        <v>1</v>
      </c>
      <c r="E1589">
        <f t="shared" si="217"/>
        <v>0</v>
      </c>
      <c r="F1589">
        <f t="shared" si="218"/>
        <v>1</v>
      </c>
      <c r="G1589">
        <f t="shared" si="219"/>
        <v>0</v>
      </c>
      <c r="H1589">
        <v>0</v>
      </c>
      <c r="I1589">
        <f t="shared" si="220"/>
        <v>1</v>
      </c>
      <c r="J1589">
        <f t="shared" si="212"/>
        <v>12.115844130515999</v>
      </c>
      <c r="K1589" t="s">
        <v>1388</v>
      </c>
      <c r="L1589" t="s">
        <v>1389</v>
      </c>
      <c r="M1589" t="s">
        <v>27</v>
      </c>
      <c r="N1589" t="s">
        <v>27</v>
      </c>
      <c r="O1589">
        <v>28.35</v>
      </c>
      <c r="P1589">
        <v>1.1896500587463399</v>
      </c>
      <c r="Q1589">
        <v>1.2537750005721999</v>
      </c>
      <c r="R1589">
        <v>18.75</v>
      </c>
      <c r="S1589">
        <v>16.350000381469702</v>
      </c>
      <c r="T1589">
        <v>51.4682006835938</v>
      </c>
      <c r="U1589" t="s">
        <v>27</v>
      </c>
      <c r="V1589">
        <v>16010000</v>
      </c>
      <c r="W1589">
        <v>0.55064702033996604</v>
      </c>
      <c r="X1589">
        <v>0.37000000476837203</v>
      </c>
      <c r="Y1589">
        <v>10.690264701843301</v>
      </c>
      <c r="Z1589">
        <v>10.8620691299438</v>
      </c>
      <c r="AA1589">
        <v>5843000</v>
      </c>
      <c r="AB1589" t="s">
        <v>27</v>
      </c>
      <c r="AC1589" t="s">
        <v>27</v>
      </c>
      <c r="AD1589">
        <v>0.490000009536743</v>
      </c>
      <c r="AE1589" t="s">
        <v>27</v>
      </c>
      <c r="AF1589" t="s">
        <v>27</v>
      </c>
      <c r="AG1589">
        <v>5806000</v>
      </c>
      <c r="AH1589">
        <v>47.683891296386697</v>
      </c>
      <c r="AI1589">
        <v>0.56375497579574596</v>
      </c>
    </row>
    <row r="1590" spans="1:35">
      <c r="A1590">
        <f t="shared" si="213"/>
        <v>1</v>
      </c>
      <c r="B1590">
        <f t="shared" si="214"/>
        <v>0</v>
      </c>
      <c r="C1590">
        <f t="shared" si="215"/>
        <v>1</v>
      </c>
      <c r="D1590">
        <f t="shared" si="216"/>
        <v>1</v>
      </c>
      <c r="E1590">
        <f t="shared" si="217"/>
        <v>0</v>
      </c>
      <c r="F1590">
        <f t="shared" si="218"/>
        <v>1</v>
      </c>
      <c r="G1590">
        <f t="shared" si="219"/>
        <v>0</v>
      </c>
      <c r="H1590">
        <v>0</v>
      </c>
      <c r="I1590">
        <f t="shared" si="220"/>
        <v>0</v>
      </c>
      <c r="J1590">
        <f t="shared" si="212"/>
        <v>12.11259794235229</v>
      </c>
      <c r="K1590" t="s">
        <v>925</v>
      </c>
      <c r="L1590" t="s">
        <v>926</v>
      </c>
      <c r="M1590" t="s">
        <v>27</v>
      </c>
      <c r="N1590" t="s">
        <v>27</v>
      </c>
      <c r="O1590">
        <v>14.63</v>
      </c>
      <c r="P1590">
        <v>7.0024127960205096</v>
      </c>
      <c r="Q1590">
        <v>6.6135401725768999</v>
      </c>
      <c r="R1590">
        <v>20.5</v>
      </c>
      <c r="S1590">
        <v>13</v>
      </c>
      <c r="T1590">
        <v>57.548595428466797</v>
      </c>
      <c r="U1590">
        <v>51.985374450683601</v>
      </c>
      <c r="V1590">
        <v>1954000</v>
      </c>
      <c r="W1590">
        <v>4.2076148986816397</v>
      </c>
      <c r="X1590">
        <v>0.120000004768372</v>
      </c>
      <c r="Y1590">
        <v>10.6666669845581</v>
      </c>
      <c r="Z1590">
        <v>5.4990577697753897</v>
      </c>
      <c r="AA1590">
        <v>22978500</v>
      </c>
      <c r="AB1590" t="s">
        <v>73</v>
      </c>
      <c r="AC1590" t="s">
        <v>74</v>
      </c>
      <c r="AD1590">
        <v>0.20000000298023199</v>
      </c>
      <c r="AE1590">
        <v>51.259994506835902</v>
      </c>
      <c r="AF1590">
        <v>6.4122681863382498</v>
      </c>
      <c r="AG1590">
        <v>25212000</v>
      </c>
      <c r="AH1590">
        <v>52.534214019775398</v>
      </c>
      <c r="AI1590">
        <v>2.8789649009704599</v>
      </c>
    </row>
    <row r="1591" spans="1:35">
      <c r="A1591">
        <f t="shared" si="213"/>
        <v>0</v>
      </c>
      <c r="B1591">
        <f t="shared" si="214"/>
        <v>0</v>
      </c>
      <c r="C1591">
        <f t="shared" si="215"/>
        <v>1</v>
      </c>
      <c r="D1591">
        <f t="shared" si="216"/>
        <v>1</v>
      </c>
      <c r="E1591">
        <f t="shared" si="217"/>
        <v>0</v>
      </c>
      <c r="F1591">
        <f t="shared" si="218"/>
        <v>1</v>
      </c>
      <c r="G1591">
        <f t="shared" si="219"/>
        <v>0</v>
      </c>
      <c r="H1591">
        <v>0</v>
      </c>
      <c r="I1591">
        <f t="shared" si="220"/>
        <v>1</v>
      </c>
      <c r="J1591">
        <f t="shared" si="212"/>
        <v>12.104683876037591</v>
      </c>
      <c r="K1591" t="s">
        <v>901</v>
      </c>
      <c r="L1591" t="s">
        <v>902</v>
      </c>
      <c r="M1591" t="s">
        <v>27</v>
      </c>
      <c r="N1591" t="s">
        <v>27</v>
      </c>
      <c r="O1591">
        <v>28.13</v>
      </c>
      <c r="P1591">
        <v>5.50333499908447</v>
      </c>
      <c r="Q1591">
        <v>4.8993759155273402</v>
      </c>
      <c r="R1591">
        <v>24.857143220447401</v>
      </c>
      <c r="S1591">
        <v>19.0022682657047</v>
      </c>
      <c r="T1591">
        <v>20.918052673339801</v>
      </c>
      <c r="U1591" t="s">
        <v>27</v>
      </c>
      <c r="V1591">
        <v>5338000</v>
      </c>
      <c r="W1591">
        <v>1.4576380252838099</v>
      </c>
      <c r="X1591">
        <v>0.39002268222454201</v>
      </c>
      <c r="Y1591">
        <v>7.9932370185852104</v>
      </c>
      <c r="Z1591">
        <v>7.2053079605102504</v>
      </c>
      <c r="AA1591">
        <v>7758292.5</v>
      </c>
      <c r="AB1591" t="s">
        <v>27</v>
      </c>
      <c r="AC1591" t="s">
        <v>27</v>
      </c>
      <c r="AD1591">
        <v>0.466666675749279</v>
      </c>
      <c r="AE1591" t="s">
        <v>27</v>
      </c>
      <c r="AF1591" t="s">
        <v>27</v>
      </c>
      <c r="AG1591">
        <v>9314550</v>
      </c>
      <c r="AH1591">
        <v>21.093505859375</v>
      </c>
      <c r="AI1591">
        <v>1.2203270196914699</v>
      </c>
    </row>
    <row r="1592" spans="1:35">
      <c r="A1592">
        <f t="shared" si="213"/>
        <v>0</v>
      </c>
      <c r="B1592">
        <f t="shared" si="214"/>
        <v>0</v>
      </c>
      <c r="C1592">
        <f t="shared" si="215"/>
        <v>1</v>
      </c>
      <c r="D1592">
        <f t="shared" si="216"/>
        <v>1</v>
      </c>
      <c r="E1592">
        <f t="shared" si="217"/>
        <v>0</v>
      </c>
      <c r="F1592">
        <f t="shared" si="218"/>
        <v>1</v>
      </c>
      <c r="G1592">
        <f t="shared" si="219"/>
        <v>0</v>
      </c>
      <c r="H1592">
        <v>0</v>
      </c>
      <c r="I1592">
        <f t="shared" si="220"/>
        <v>1</v>
      </c>
      <c r="J1592">
        <f t="shared" si="212"/>
        <v>12.10261869430542</v>
      </c>
      <c r="K1592" t="s">
        <v>3111</v>
      </c>
      <c r="L1592" t="s">
        <v>3112</v>
      </c>
      <c r="M1592" t="s">
        <v>27</v>
      </c>
      <c r="N1592" t="s">
        <v>27</v>
      </c>
      <c r="O1592">
        <v>24.55</v>
      </c>
      <c r="P1592" t="s">
        <v>27</v>
      </c>
      <c r="Q1592">
        <v>4.0050578117370597</v>
      </c>
      <c r="R1592">
        <v>21.969999313354499</v>
      </c>
      <c r="S1592">
        <v>14.6875</v>
      </c>
      <c r="T1592">
        <v>23.0018634796143</v>
      </c>
      <c r="U1592" t="s">
        <v>27</v>
      </c>
      <c r="V1592">
        <v>4462000</v>
      </c>
      <c r="W1592">
        <v>1.0903409719467201</v>
      </c>
      <c r="X1592">
        <v>-0.54000002145767201</v>
      </c>
      <c r="Y1592">
        <v>9.9115037918090803</v>
      </c>
      <c r="Z1592">
        <v>8.0975608825683594</v>
      </c>
      <c r="AA1592">
        <v>10137000</v>
      </c>
      <c r="AB1592" t="s">
        <v>27</v>
      </c>
      <c r="AC1592" t="s">
        <v>27</v>
      </c>
      <c r="AD1592">
        <v>0.43999999761581399</v>
      </c>
      <c r="AE1592" t="s">
        <v>27</v>
      </c>
      <c r="AF1592" t="s">
        <v>27</v>
      </c>
      <c r="AG1592">
        <v>10026000</v>
      </c>
      <c r="AH1592">
        <v>25.467504501342798</v>
      </c>
      <c r="AI1592">
        <v>0.39785099029540999</v>
      </c>
    </row>
    <row r="1593" spans="1:35">
      <c r="A1593">
        <f t="shared" si="213"/>
        <v>1</v>
      </c>
      <c r="B1593">
        <f t="shared" si="214"/>
        <v>0</v>
      </c>
      <c r="C1593">
        <f t="shared" si="215"/>
        <v>1</v>
      </c>
      <c r="D1593">
        <f t="shared" si="216"/>
        <v>1</v>
      </c>
      <c r="E1593">
        <f t="shared" si="217"/>
        <v>0</v>
      </c>
      <c r="F1593">
        <f t="shared" si="218"/>
        <v>1</v>
      </c>
      <c r="G1593">
        <f t="shared" si="219"/>
        <v>0</v>
      </c>
      <c r="H1593">
        <v>0</v>
      </c>
      <c r="I1593">
        <f t="shared" si="220"/>
        <v>1</v>
      </c>
      <c r="J1593">
        <f t="shared" si="212"/>
        <v>12.0935549736023</v>
      </c>
      <c r="K1593" t="s">
        <v>2368</v>
      </c>
      <c r="L1593" t="s">
        <v>2369</v>
      </c>
      <c r="M1593" t="s">
        <v>27</v>
      </c>
      <c r="N1593" t="s">
        <v>27</v>
      </c>
      <c r="O1593">
        <v>24.32</v>
      </c>
      <c r="P1593">
        <v>4.8937869071960396</v>
      </c>
      <c r="Q1593">
        <v>5.4935550689697301</v>
      </c>
      <c r="R1593">
        <v>21.714284987676699</v>
      </c>
      <c r="S1593">
        <v>17.799352750809099</v>
      </c>
      <c r="T1593">
        <v>20.7068996429443</v>
      </c>
      <c r="U1593" t="s">
        <v>27</v>
      </c>
      <c r="V1593">
        <v>17046000</v>
      </c>
      <c r="W1593">
        <v>1.2562789916992201</v>
      </c>
      <c r="X1593">
        <v>0.361050565945641</v>
      </c>
      <c r="Y1593">
        <v>8.2456541061401403</v>
      </c>
      <c r="Z1593">
        <v>6.5999999046325701</v>
      </c>
      <c r="AA1593">
        <v>20115575.550000001</v>
      </c>
      <c r="AB1593" t="s">
        <v>34</v>
      </c>
      <c r="AC1593" t="s">
        <v>35</v>
      </c>
      <c r="AD1593">
        <v>0.397595938190067</v>
      </c>
      <c r="AE1593" t="s">
        <v>27</v>
      </c>
      <c r="AF1593" t="s">
        <v>27</v>
      </c>
      <c r="AG1593">
        <v>21004893</v>
      </c>
      <c r="AH1593">
        <v>17.936079025268601</v>
      </c>
      <c r="AI1593">
        <v>1.14403796195984</v>
      </c>
    </row>
    <row r="1594" spans="1:35">
      <c r="A1594">
        <f t="shared" si="213"/>
        <v>0</v>
      </c>
      <c r="B1594">
        <f t="shared" si="214"/>
        <v>1</v>
      </c>
      <c r="C1594">
        <f t="shared" si="215"/>
        <v>1</v>
      </c>
      <c r="D1594">
        <f t="shared" si="216"/>
        <v>0</v>
      </c>
      <c r="E1594">
        <f t="shared" si="217"/>
        <v>0</v>
      </c>
      <c r="F1594">
        <f t="shared" si="218"/>
        <v>1</v>
      </c>
      <c r="G1594">
        <f t="shared" si="219"/>
        <v>0</v>
      </c>
      <c r="H1594">
        <v>0</v>
      </c>
      <c r="I1594">
        <f t="shared" si="220"/>
        <v>1</v>
      </c>
      <c r="J1594">
        <f t="shared" si="212"/>
        <v>12.08739614486694</v>
      </c>
      <c r="K1594" t="s">
        <v>3615</v>
      </c>
      <c r="L1594" t="s">
        <v>3616</v>
      </c>
      <c r="M1594" t="s">
        <v>27</v>
      </c>
      <c r="N1594" t="s">
        <v>27</v>
      </c>
      <c r="O1594">
        <v>41.83</v>
      </c>
      <c r="P1594">
        <v>5.7481107711792001</v>
      </c>
      <c r="Q1594">
        <v>6.1933560371398899</v>
      </c>
      <c r="R1594">
        <v>28.389999389648398</v>
      </c>
      <c r="S1594">
        <v>23.2600002288818</v>
      </c>
      <c r="T1594">
        <v>50.173347473144503</v>
      </c>
      <c r="U1594">
        <v>85.985618591308594</v>
      </c>
      <c r="V1594">
        <v>6399999.5</v>
      </c>
      <c r="W1594">
        <v>2.0953540802002002</v>
      </c>
      <c r="X1594">
        <v>1.16999995708466</v>
      </c>
      <c r="Y1594">
        <v>7.3481478691101101</v>
      </c>
      <c r="Z1594">
        <v>5.8940401077270499</v>
      </c>
      <c r="AA1594">
        <v>27050750</v>
      </c>
      <c r="AB1594" t="s">
        <v>254</v>
      </c>
      <c r="AC1594" t="s">
        <v>400</v>
      </c>
      <c r="AD1594">
        <v>0.87999999523162797</v>
      </c>
      <c r="AE1594">
        <v>85.938003540039105</v>
      </c>
      <c r="AF1594">
        <v>6.8981936938476602</v>
      </c>
      <c r="AG1594">
        <v>27463000</v>
      </c>
      <c r="AH1594">
        <v>51.328540802002003</v>
      </c>
      <c r="AI1594">
        <v>2.4062950611114502</v>
      </c>
    </row>
    <row r="1595" spans="1:35">
      <c r="A1595">
        <f t="shared" si="213"/>
        <v>0</v>
      </c>
      <c r="B1595">
        <f t="shared" si="214"/>
        <v>1</v>
      </c>
      <c r="C1595">
        <f t="shared" si="215"/>
        <v>0</v>
      </c>
      <c r="D1595">
        <f t="shared" si="216"/>
        <v>0</v>
      </c>
      <c r="E1595">
        <f t="shared" si="217"/>
        <v>0</v>
      </c>
      <c r="F1595">
        <f t="shared" si="218"/>
        <v>1</v>
      </c>
      <c r="G1595">
        <f t="shared" si="219"/>
        <v>0</v>
      </c>
      <c r="H1595">
        <v>0</v>
      </c>
      <c r="I1595">
        <f t="shared" si="220"/>
        <v>0</v>
      </c>
      <c r="J1595">
        <f t="shared" si="212"/>
        <v>12.08566522598267</v>
      </c>
      <c r="K1595" t="s">
        <v>2588</v>
      </c>
      <c r="L1595" t="s">
        <v>2589</v>
      </c>
      <c r="M1595" t="s">
        <v>27</v>
      </c>
      <c r="N1595" t="s">
        <v>27</v>
      </c>
      <c r="O1595">
        <v>16.149999999999999</v>
      </c>
      <c r="P1595">
        <v>9.3986349105834996</v>
      </c>
      <c r="Q1595">
        <v>7.0117731094360396</v>
      </c>
      <c r="R1595">
        <v>19.450000762939499</v>
      </c>
      <c r="S1595">
        <v>14.3500003814697</v>
      </c>
      <c r="T1595">
        <v>17.793909072876001</v>
      </c>
      <c r="U1595">
        <v>10.650697708129901</v>
      </c>
      <c r="V1595">
        <v>-48829000</v>
      </c>
      <c r="W1595">
        <v>3.5354518890380899</v>
      </c>
      <c r="X1595">
        <v>0.259999990463257</v>
      </c>
      <c r="Y1595">
        <v>5.84126996994019</v>
      </c>
      <c r="Z1595">
        <v>5.07389211654663</v>
      </c>
      <c r="AA1595">
        <v>33057000</v>
      </c>
      <c r="AB1595" t="s">
        <v>73</v>
      </c>
      <c r="AC1595" t="s">
        <v>210</v>
      </c>
      <c r="AD1595">
        <v>-0.15999999642372101</v>
      </c>
      <c r="AE1595">
        <v>10.644990921020501</v>
      </c>
      <c r="AF1595">
        <v>7.98994232517546</v>
      </c>
      <c r="AG1595">
        <v>33861000</v>
      </c>
      <c r="AH1595">
        <v>22.299514770507798</v>
      </c>
      <c r="AI1595">
        <v>3.8195769786834699</v>
      </c>
    </row>
    <row r="1596" spans="1:35">
      <c r="A1596">
        <f t="shared" si="213"/>
        <v>1</v>
      </c>
      <c r="B1596">
        <f t="shared" si="214"/>
        <v>0</v>
      </c>
      <c r="C1596">
        <f t="shared" si="215"/>
        <v>0</v>
      </c>
      <c r="D1596">
        <f t="shared" si="216"/>
        <v>0</v>
      </c>
      <c r="E1596">
        <f t="shared" si="217"/>
        <v>0</v>
      </c>
      <c r="F1596">
        <f t="shared" si="218"/>
        <v>1</v>
      </c>
      <c r="G1596">
        <f t="shared" si="219"/>
        <v>1</v>
      </c>
      <c r="H1596">
        <v>0</v>
      </c>
      <c r="I1596">
        <f t="shared" si="220"/>
        <v>0</v>
      </c>
      <c r="J1596">
        <f t="shared" si="212"/>
        <v>12.06205797195434</v>
      </c>
      <c r="K1596" t="s">
        <v>2720</v>
      </c>
      <c r="L1596" t="s">
        <v>2721</v>
      </c>
      <c r="M1596" t="s">
        <v>27</v>
      </c>
      <c r="N1596" t="s">
        <v>27</v>
      </c>
      <c r="O1596">
        <v>34.75</v>
      </c>
      <c r="P1596">
        <v>5.6176719665527299</v>
      </c>
      <c r="Q1596">
        <v>5.6784100532531703</v>
      </c>
      <c r="R1596">
        <v>33.709999084472699</v>
      </c>
      <c r="S1596">
        <v>33.509998321533203</v>
      </c>
      <c r="T1596">
        <v>40.311332702636697</v>
      </c>
      <c r="U1596">
        <v>28.885288238525401</v>
      </c>
      <c r="V1596">
        <v>-12475997</v>
      </c>
      <c r="W1596">
        <v>4.6846351623535201</v>
      </c>
      <c r="X1596">
        <v>-0.230000004172325</v>
      </c>
      <c r="Y1596">
        <v>6.1311469078064</v>
      </c>
      <c r="Z1596">
        <v>6.3836479187011701</v>
      </c>
      <c r="AA1596">
        <v>31914000</v>
      </c>
      <c r="AB1596" t="s">
        <v>254</v>
      </c>
      <c r="AC1596" t="s">
        <v>400</v>
      </c>
      <c r="AD1596">
        <v>-0.239999994635582</v>
      </c>
      <c r="AE1596">
        <v>41.730617523193402</v>
      </c>
      <c r="AF1596">
        <v>9.4548952576214305</v>
      </c>
      <c r="AG1596">
        <v>32463002</v>
      </c>
      <c r="AH1596">
        <v>38.962215423583999</v>
      </c>
      <c r="AI1596">
        <v>4.6137948036193803</v>
      </c>
    </row>
    <row r="1597" spans="1:35">
      <c r="A1597">
        <f t="shared" si="213"/>
        <v>0</v>
      </c>
      <c r="B1597">
        <f t="shared" si="214"/>
        <v>0</v>
      </c>
      <c r="C1597">
        <f t="shared" si="215"/>
        <v>1</v>
      </c>
      <c r="D1597">
        <f t="shared" si="216"/>
        <v>0</v>
      </c>
      <c r="E1597">
        <f t="shared" si="217"/>
        <v>0</v>
      </c>
      <c r="F1597">
        <f t="shared" si="218"/>
        <v>1</v>
      </c>
      <c r="G1597">
        <f t="shared" si="219"/>
        <v>0</v>
      </c>
      <c r="H1597">
        <v>0</v>
      </c>
      <c r="I1597">
        <f t="shared" si="220"/>
        <v>0</v>
      </c>
      <c r="J1597">
        <f t="shared" si="212"/>
        <v>12.044266223907471</v>
      </c>
      <c r="K1597" t="s">
        <v>1646</v>
      </c>
      <c r="L1597" t="s">
        <v>1647</v>
      </c>
      <c r="M1597" t="s">
        <v>27</v>
      </c>
      <c r="N1597" t="s">
        <v>27</v>
      </c>
      <c r="O1597">
        <v>10.8</v>
      </c>
      <c r="P1597">
        <v>9.9406366348266602</v>
      </c>
      <c r="Q1597">
        <v>7.1273221969604501</v>
      </c>
      <c r="R1597">
        <v>14.3999996185303</v>
      </c>
      <c r="S1597">
        <v>17.000000693581299</v>
      </c>
      <c r="T1597">
        <v>14.2127981185913</v>
      </c>
      <c r="U1597">
        <v>39.1399536132813</v>
      </c>
      <c r="V1597">
        <v>3067999.75</v>
      </c>
      <c r="W1597">
        <v>9.4853982925415004</v>
      </c>
      <c r="X1597">
        <v>0.66363638097589694</v>
      </c>
      <c r="Y1597">
        <v>7.4611401557922399</v>
      </c>
      <c r="Z1597">
        <v>4.9169440269470197</v>
      </c>
      <c r="AA1597">
        <v>19248900</v>
      </c>
      <c r="AB1597" t="s">
        <v>61</v>
      </c>
      <c r="AC1597" t="s">
        <v>65</v>
      </c>
      <c r="AD1597">
        <v>0.15000000596046401</v>
      </c>
      <c r="AE1597">
        <v>38.449001312255902</v>
      </c>
      <c r="AF1597">
        <v>10.759111637473801</v>
      </c>
      <c r="AG1597">
        <v>20833000</v>
      </c>
      <c r="AH1597">
        <v>20.579166412353501</v>
      </c>
      <c r="AI1597">
        <v>5.2136092185974103</v>
      </c>
    </row>
    <row r="1598" spans="1:35">
      <c r="A1598">
        <f t="shared" si="213"/>
        <v>1</v>
      </c>
      <c r="B1598">
        <f t="shared" si="214"/>
        <v>0</v>
      </c>
      <c r="C1598">
        <f t="shared" si="215"/>
        <v>1</v>
      </c>
      <c r="D1598">
        <f t="shared" si="216"/>
        <v>1</v>
      </c>
      <c r="E1598">
        <f t="shared" si="217"/>
        <v>0</v>
      </c>
      <c r="F1598">
        <f t="shared" si="218"/>
        <v>1</v>
      </c>
      <c r="G1598">
        <f t="shared" si="219"/>
        <v>1</v>
      </c>
      <c r="H1598">
        <v>0</v>
      </c>
      <c r="I1598">
        <f t="shared" si="220"/>
        <v>0</v>
      </c>
      <c r="J1598">
        <f t="shared" si="212"/>
        <v>12.03265476226807</v>
      </c>
      <c r="K1598" t="s">
        <v>3087</v>
      </c>
      <c r="L1598" t="s">
        <v>3088</v>
      </c>
      <c r="M1598" t="s">
        <v>27</v>
      </c>
      <c r="N1598" t="s">
        <v>27</v>
      </c>
      <c r="O1598">
        <v>19.7</v>
      </c>
      <c r="P1598">
        <v>6.3719849586486799</v>
      </c>
      <c r="Q1598">
        <v>7.97324895858765</v>
      </c>
      <c r="R1598">
        <v>24.370000839233398</v>
      </c>
      <c r="S1598">
        <v>22</v>
      </c>
      <c r="T1598">
        <v>39.370521545410199</v>
      </c>
      <c r="U1598">
        <v>35.550575256347699</v>
      </c>
      <c r="V1598">
        <v>36672000</v>
      </c>
      <c r="W1598">
        <v>4.1487541198730504</v>
      </c>
      <c r="X1598">
        <v>0.74000000953674305</v>
      </c>
      <c r="Y1598">
        <v>7.3029050827026403</v>
      </c>
      <c r="Z1598">
        <v>4.0594058036804199</v>
      </c>
      <c r="AA1598">
        <v>17465000</v>
      </c>
      <c r="AB1598" t="s">
        <v>27</v>
      </c>
      <c r="AC1598" t="s">
        <v>27</v>
      </c>
      <c r="AD1598">
        <v>1.0700000524520901</v>
      </c>
      <c r="AE1598">
        <v>37.0227241516113</v>
      </c>
      <c r="AF1598">
        <v>6.7364111791264696</v>
      </c>
      <c r="AG1598">
        <v>17997000</v>
      </c>
      <c r="AH1598">
        <v>34.164943695068402</v>
      </c>
      <c r="AI1598">
        <v>2.4393579959869398</v>
      </c>
    </row>
    <row r="1599" spans="1:35">
      <c r="A1599">
        <f t="shared" si="213"/>
        <v>0</v>
      </c>
      <c r="B1599">
        <f t="shared" si="214"/>
        <v>1</v>
      </c>
      <c r="C1599">
        <f t="shared" si="215"/>
        <v>0</v>
      </c>
      <c r="D1599">
        <f t="shared" si="216"/>
        <v>0</v>
      </c>
      <c r="E1599">
        <f t="shared" si="217"/>
        <v>0</v>
      </c>
      <c r="F1599">
        <f t="shared" si="218"/>
        <v>1</v>
      </c>
      <c r="G1599">
        <f t="shared" si="219"/>
        <v>0</v>
      </c>
      <c r="H1599">
        <v>0</v>
      </c>
      <c r="I1599">
        <f t="shared" si="220"/>
        <v>0</v>
      </c>
      <c r="J1599">
        <f t="shared" si="212"/>
        <v>11.97940468788147</v>
      </c>
      <c r="K1599" t="s">
        <v>651</v>
      </c>
      <c r="L1599" t="s">
        <v>652</v>
      </c>
      <c r="M1599" t="s">
        <v>27</v>
      </c>
      <c r="N1599" t="s">
        <v>27</v>
      </c>
      <c r="O1599">
        <v>13.24</v>
      </c>
      <c r="P1599">
        <v>18.333187103271499</v>
      </c>
      <c r="Q1599">
        <v>8.2377567291259801</v>
      </c>
      <c r="R1599">
        <v>16.306666056315098</v>
      </c>
      <c r="S1599">
        <v>7.75</v>
      </c>
      <c r="T1599">
        <v>0.28537198901176503</v>
      </c>
      <c r="U1599">
        <v>41.919944763183601</v>
      </c>
      <c r="V1599">
        <v>-3569000</v>
      </c>
      <c r="W1599">
        <v>11.026888847351101</v>
      </c>
      <c r="X1599">
        <v>0.100000003973643</v>
      </c>
      <c r="Y1599">
        <v>7.6619720458984402</v>
      </c>
      <c r="Z1599">
        <v>3.7416479587554901</v>
      </c>
      <c r="AA1599">
        <v>6665655</v>
      </c>
      <c r="AB1599" t="s">
        <v>73</v>
      </c>
      <c r="AC1599" t="s">
        <v>74</v>
      </c>
      <c r="AD1599">
        <v>9.3333333730697604E-2</v>
      </c>
      <c r="AE1599">
        <v>37.793529510497997</v>
      </c>
      <c r="AF1599">
        <v>7.6951543063551204</v>
      </c>
      <c r="AG1599">
        <v>9080239.5</v>
      </c>
      <c r="AH1599">
        <v>31.099361419677699</v>
      </c>
      <c r="AI1599">
        <v>15.403277397155801</v>
      </c>
    </row>
    <row r="1600" spans="1:35">
      <c r="A1600">
        <f t="shared" si="213"/>
        <v>1</v>
      </c>
      <c r="B1600">
        <f t="shared" si="214"/>
        <v>1</v>
      </c>
      <c r="C1600">
        <f t="shared" si="215"/>
        <v>1</v>
      </c>
      <c r="D1600">
        <f t="shared" si="216"/>
        <v>0</v>
      </c>
      <c r="E1600">
        <f t="shared" si="217"/>
        <v>0</v>
      </c>
      <c r="F1600">
        <f t="shared" si="218"/>
        <v>1</v>
      </c>
      <c r="G1600">
        <f t="shared" si="219"/>
        <v>0</v>
      </c>
      <c r="H1600">
        <v>0</v>
      </c>
      <c r="I1600">
        <f t="shared" si="220"/>
        <v>1</v>
      </c>
      <c r="J1600">
        <f t="shared" si="212"/>
        <v>11.975687026977539</v>
      </c>
      <c r="K1600" t="s">
        <v>286</v>
      </c>
      <c r="L1600" t="s">
        <v>287</v>
      </c>
      <c r="M1600" t="s">
        <v>27</v>
      </c>
      <c r="N1600" t="s">
        <v>27</v>
      </c>
      <c r="O1600">
        <v>19.399999999999999</v>
      </c>
      <c r="P1600">
        <v>4.3383059501647896</v>
      </c>
      <c r="Q1600">
        <v>4.7684798240661603</v>
      </c>
      <c r="R1600">
        <v>11.800000190734901</v>
      </c>
      <c r="S1600">
        <v>9.3800001144409197</v>
      </c>
      <c r="T1600">
        <v>27.5821533203125</v>
      </c>
      <c r="U1600">
        <v>29.683708190918001</v>
      </c>
      <c r="V1600">
        <v>10545996</v>
      </c>
      <c r="W1600">
        <v>1.6013720035553001</v>
      </c>
      <c r="X1600">
        <v>0.230000004172325</v>
      </c>
      <c r="Y1600">
        <v>7.6619720458984402</v>
      </c>
      <c r="Z1600">
        <v>7.2072072029113796</v>
      </c>
      <c r="AA1600">
        <v>8592000</v>
      </c>
      <c r="AB1600" t="s">
        <v>27</v>
      </c>
      <c r="AC1600" t="s">
        <v>27</v>
      </c>
      <c r="AD1600">
        <v>0.20999999344348899</v>
      </c>
      <c r="AE1600">
        <v>26.950859069824201</v>
      </c>
      <c r="AF1600">
        <v>6.0929082320977299</v>
      </c>
      <c r="AG1600">
        <v>8607999</v>
      </c>
      <c r="AH1600">
        <v>24.130607604980501</v>
      </c>
      <c r="AI1600">
        <v>2.0269289016723602</v>
      </c>
    </row>
    <row r="1601" spans="1:35">
      <c r="A1601">
        <f t="shared" si="213"/>
        <v>1</v>
      </c>
      <c r="B1601">
        <f t="shared" si="214"/>
        <v>1</v>
      </c>
      <c r="C1601">
        <f t="shared" si="215"/>
        <v>1</v>
      </c>
      <c r="D1601">
        <f t="shared" si="216"/>
        <v>0</v>
      </c>
      <c r="E1601">
        <f t="shared" si="217"/>
        <v>0</v>
      </c>
      <c r="F1601">
        <f t="shared" si="218"/>
        <v>1</v>
      </c>
      <c r="G1601">
        <f t="shared" si="219"/>
        <v>0</v>
      </c>
      <c r="H1601">
        <v>0</v>
      </c>
      <c r="I1601">
        <f t="shared" si="220"/>
        <v>0</v>
      </c>
      <c r="J1601">
        <f t="shared" si="212"/>
        <v>11.947160243988041</v>
      </c>
      <c r="K1601" t="s">
        <v>2332</v>
      </c>
      <c r="L1601" t="s">
        <v>2333</v>
      </c>
      <c r="M1601" t="s">
        <v>27</v>
      </c>
      <c r="N1601" t="s">
        <v>27</v>
      </c>
      <c r="O1601">
        <v>8.0399999999999991</v>
      </c>
      <c r="P1601">
        <v>12.8641109466553</v>
      </c>
      <c r="Q1601">
        <v>6.3570981025695801</v>
      </c>
      <c r="R1601">
        <v>20.159999847412099</v>
      </c>
      <c r="S1601">
        <v>10.439999580383301</v>
      </c>
      <c r="T1601">
        <v>38.180404663085902</v>
      </c>
      <c r="U1601">
        <v>75.400199890136705</v>
      </c>
      <c r="V1601">
        <v>6028000.5</v>
      </c>
      <c r="W1601">
        <v>3.1094720363616899</v>
      </c>
      <c r="X1601">
        <v>0.18999999761581399</v>
      </c>
      <c r="Y1601">
        <v>9.1509428024291992</v>
      </c>
      <c r="Z1601">
        <v>5.5900621414184597</v>
      </c>
      <c r="AA1601">
        <v>14124000</v>
      </c>
      <c r="AB1601" t="s">
        <v>27</v>
      </c>
      <c r="AC1601" t="s">
        <v>27</v>
      </c>
      <c r="AD1601">
        <v>-9.9999997764825804E-3</v>
      </c>
      <c r="AE1601">
        <v>56.577728271484403</v>
      </c>
      <c r="AF1601">
        <v>7.7729375593731502</v>
      </c>
      <c r="AG1601">
        <v>28446000</v>
      </c>
      <c r="AH1601">
        <v>8.4915523529052699</v>
      </c>
      <c r="AI1601">
        <v>5.6245169639587402</v>
      </c>
    </row>
    <row r="1602" spans="1:35">
      <c r="A1602">
        <f t="shared" si="213"/>
        <v>1</v>
      </c>
      <c r="B1602">
        <f t="shared" si="214"/>
        <v>1</v>
      </c>
      <c r="C1602">
        <f t="shared" si="215"/>
        <v>0</v>
      </c>
      <c r="D1602">
        <f t="shared" si="216"/>
        <v>1</v>
      </c>
      <c r="E1602">
        <f t="shared" si="217"/>
        <v>0</v>
      </c>
      <c r="F1602">
        <f t="shared" si="218"/>
        <v>1</v>
      </c>
      <c r="G1602">
        <f t="shared" si="219"/>
        <v>1</v>
      </c>
      <c r="H1602">
        <v>0</v>
      </c>
      <c r="I1602">
        <f t="shared" si="220"/>
        <v>0</v>
      </c>
      <c r="J1602">
        <f t="shared" si="212"/>
        <v>11.923497438430779</v>
      </c>
      <c r="K1602" t="s">
        <v>226</v>
      </c>
      <c r="L1602" t="s">
        <v>227</v>
      </c>
      <c r="M1602" t="s">
        <v>27</v>
      </c>
      <c r="N1602" t="s">
        <v>27</v>
      </c>
      <c r="O1602">
        <v>5.67</v>
      </c>
      <c r="P1602" t="s">
        <v>27</v>
      </c>
      <c r="Q1602">
        <v>3.6049129962921098</v>
      </c>
      <c r="R1602">
        <v>7</v>
      </c>
      <c r="S1602">
        <v>4.5100002288818404</v>
      </c>
      <c r="T1602">
        <v>13.784870147705099</v>
      </c>
      <c r="U1602">
        <v>23.246799468994102</v>
      </c>
      <c r="V1602">
        <v>-5845000</v>
      </c>
      <c r="W1602">
        <v>6.5220031738281303</v>
      </c>
      <c r="X1602">
        <v>0.109999999403954</v>
      </c>
      <c r="Y1602">
        <v>6.9743590354919398</v>
      </c>
      <c r="Z1602">
        <v>8.3185844421386701</v>
      </c>
      <c r="AA1602">
        <v>28356000</v>
      </c>
      <c r="AB1602" t="s">
        <v>27</v>
      </c>
      <c r="AC1602" t="s">
        <v>27</v>
      </c>
      <c r="AD1602">
        <v>0.15000000596046401</v>
      </c>
      <c r="AE1602">
        <v>24.438716888427699</v>
      </c>
      <c r="AF1602">
        <v>4.8155592589596301</v>
      </c>
      <c r="AG1602">
        <v>28222000</v>
      </c>
      <c r="AH1602">
        <v>12.148974418640099</v>
      </c>
      <c r="AI1602">
        <v>94.600112915039105</v>
      </c>
    </row>
    <row r="1603" spans="1:35">
      <c r="A1603">
        <f t="shared" si="213"/>
        <v>0</v>
      </c>
      <c r="B1603">
        <f t="shared" si="214"/>
        <v>0</v>
      </c>
      <c r="C1603">
        <f t="shared" si="215"/>
        <v>1</v>
      </c>
      <c r="D1603">
        <f t="shared" si="216"/>
        <v>0</v>
      </c>
      <c r="E1603">
        <f t="shared" si="217"/>
        <v>0</v>
      </c>
      <c r="F1603">
        <f t="shared" si="218"/>
        <v>1</v>
      </c>
      <c r="G1603">
        <f t="shared" si="219"/>
        <v>0</v>
      </c>
      <c r="H1603">
        <v>0</v>
      </c>
      <c r="I1603">
        <f t="shared" si="220"/>
        <v>1</v>
      </c>
      <c r="J1603">
        <f t="shared" si="212"/>
        <v>11.916940212249751</v>
      </c>
      <c r="K1603" t="s">
        <v>1516</v>
      </c>
      <c r="L1603" t="s">
        <v>1517</v>
      </c>
      <c r="M1603" t="s">
        <v>27</v>
      </c>
      <c r="N1603" t="s">
        <v>27</v>
      </c>
      <c r="O1603">
        <v>24.189</v>
      </c>
      <c r="P1603">
        <v>3.6563479900360099</v>
      </c>
      <c r="Q1603">
        <v>4.9695720672607404</v>
      </c>
      <c r="R1603">
        <v>21.389999389648398</v>
      </c>
      <c r="S1603">
        <v>13.625</v>
      </c>
      <c r="T1603">
        <v>20.134965896606399</v>
      </c>
      <c r="U1603" t="s">
        <v>27</v>
      </c>
      <c r="V1603" t="s">
        <v>27</v>
      </c>
      <c r="W1603">
        <v>1.4705049991607699</v>
      </c>
      <c r="X1603">
        <v>0.34000000357627902</v>
      </c>
      <c r="Y1603">
        <v>10.124616622924799</v>
      </c>
      <c r="Z1603">
        <v>6.9473681449890101</v>
      </c>
      <c r="AA1603">
        <v>11441000</v>
      </c>
      <c r="AB1603" t="s">
        <v>34</v>
      </c>
      <c r="AC1603" t="s">
        <v>35</v>
      </c>
      <c r="AD1603">
        <v>0.34000000357627902</v>
      </c>
      <c r="AE1603" t="s">
        <v>27</v>
      </c>
      <c r="AF1603" t="s">
        <v>27</v>
      </c>
      <c r="AG1603">
        <v>16728000</v>
      </c>
      <c r="AH1603">
        <v>20.862686157226602</v>
      </c>
      <c r="AI1603">
        <v>1.37912201881409</v>
      </c>
    </row>
    <row r="1604" spans="1:35">
      <c r="A1604">
        <f t="shared" si="213"/>
        <v>1</v>
      </c>
      <c r="B1604">
        <f t="shared" si="214"/>
        <v>1</v>
      </c>
      <c r="C1604">
        <f t="shared" si="215"/>
        <v>1</v>
      </c>
      <c r="D1604">
        <f t="shared" si="216"/>
        <v>1</v>
      </c>
      <c r="E1604">
        <f t="shared" si="217"/>
        <v>0</v>
      </c>
      <c r="F1604">
        <f t="shared" si="218"/>
        <v>1</v>
      </c>
      <c r="G1604">
        <f t="shared" si="219"/>
        <v>0</v>
      </c>
      <c r="H1604">
        <v>0</v>
      </c>
      <c r="I1604">
        <f t="shared" si="220"/>
        <v>0</v>
      </c>
      <c r="J1604">
        <f t="shared" si="212"/>
        <v>11.912788391113281</v>
      </c>
      <c r="K1604" t="s">
        <v>1842</v>
      </c>
      <c r="L1604" t="s">
        <v>1843</v>
      </c>
      <c r="M1604" t="s">
        <v>27</v>
      </c>
      <c r="N1604" t="s">
        <v>27</v>
      </c>
      <c r="O1604">
        <v>37.771000000000001</v>
      </c>
      <c r="P1604">
        <v>4.1423521041870099</v>
      </c>
      <c r="Q1604">
        <v>4.3023982048034703</v>
      </c>
      <c r="R1604">
        <v>35.200000000000003</v>
      </c>
      <c r="S1604">
        <v>21.76</v>
      </c>
      <c r="T1604">
        <v>29.655979156494102</v>
      </c>
      <c r="U1604" t="s">
        <v>27</v>
      </c>
      <c r="V1604">
        <v>35815000</v>
      </c>
      <c r="W1604">
        <v>1.27281498908997</v>
      </c>
      <c r="X1604">
        <v>0.56319999694824197</v>
      </c>
      <c r="Y1604">
        <v>11.696327209472701</v>
      </c>
      <c r="Z1604">
        <v>7.61039018630981</v>
      </c>
      <c r="AA1604">
        <v>33373437.5</v>
      </c>
      <c r="AB1604" t="s">
        <v>34</v>
      </c>
      <c r="AC1604" t="s">
        <v>35</v>
      </c>
      <c r="AD1604">
        <v>0.64800000190734897</v>
      </c>
      <c r="AE1604" t="s">
        <v>27</v>
      </c>
      <c r="AF1604" t="s">
        <v>27</v>
      </c>
      <c r="AG1604">
        <v>32820000</v>
      </c>
      <c r="AH1604">
        <v>24.618869781494102</v>
      </c>
      <c r="AI1604">
        <v>1.33257496356964</v>
      </c>
    </row>
    <row r="1605" spans="1:35">
      <c r="A1605">
        <f t="shared" si="213"/>
        <v>1</v>
      </c>
      <c r="B1605">
        <f t="shared" si="214"/>
        <v>0</v>
      </c>
      <c r="C1605">
        <f t="shared" si="215"/>
        <v>0</v>
      </c>
      <c r="D1605">
        <f t="shared" si="216"/>
        <v>0</v>
      </c>
      <c r="E1605">
        <f t="shared" si="217"/>
        <v>0</v>
      </c>
      <c r="F1605">
        <f t="shared" si="218"/>
        <v>1</v>
      </c>
      <c r="G1605">
        <f t="shared" si="219"/>
        <v>0</v>
      </c>
      <c r="H1605">
        <v>0</v>
      </c>
      <c r="I1605">
        <f t="shared" si="220"/>
        <v>0</v>
      </c>
      <c r="J1605">
        <f t="shared" si="212"/>
        <v>11.875465869903572</v>
      </c>
      <c r="K1605" t="s">
        <v>2082</v>
      </c>
      <c r="L1605" t="s">
        <v>2083</v>
      </c>
      <c r="M1605" t="s">
        <v>27</v>
      </c>
      <c r="N1605" t="s">
        <v>27</v>
      </c>
      <c r="O1605">
        <v>21.33</v>
      </c>
      <c r="P1605">
        <v>7.3690271377563503</v>
      </c>
      <c r="Q1605">
        <v>6.3587918281555202</v>
      </c>
      <c r="R1605">
        <v>22.25</v>
      </c>
      <c r="S1605">
        <v>24.5200004577637</v>
      </c>
      <c r="T1605">
        <v>18.141330718994102</v>
      </c>
      <c r="U1605">
        <v>25.579942703247099</v>
      </c>
      <c r="V1605">
        <v>-6750999.5</v>
      </c>
      <c r="W1605" t="s">
        <v>27</v>
      </c>
      <c r="X1605">
        <v>0.20999999344348899</v>
      </c>
      <c r="Y1605">
        <v>7.6477990150451696</v>
      </c>
      <c r="Z1605">
        <v>5.5166740417480504</v>
      </c>
      <c r="AA1605">
        <v>37381000</v>
      </c>
      <c r="AB1605" t="s">
        <v>27</v>
      </c>
      <c r="AC1605" t="s">
        <v>27</v>
      </c>
      <c r="AD1605">
        <v>7.0000000298023196E-2</v>
      </c>
      <c r="AE1605">
        <v>25.1986198425293</v>
      </c>
      <c r="AF1605">
        <v>5.9275113363303999</v>
      </c>
      <c r="AG1605">
        <v>37909000</v>
      </c>
      <c r="AH1605">
        <v>16.5511589050293</v>
      </c>
      <c r="AI1605">
        <v>3.4210500717163099</v>
      </c>
    </row>
    <row r="1606" spans="1:35">
      <c r="A1606">
        <f t="shared" si="213"/>
        <v>1</v>
      </c>
      <c r="B1606">
        <f t="shared" si="214"/>
        <v>1</v>
      </c>
      <c r="C1606">
        <f t="shared" si="215"/>
        <v>1</v>
      </c>
      <c r="D1606">
        <f t="shared" si="216"/>
        <v>1</v>
      </c>
      <c r="E1606">
        <f t="shared" si="217"/>
        <v>0</v>
      </c>
      <c r="F1606">
        <f t="shared" si="218"/>
        <v>1</v>
      </c>
      <c r="G1606">
        <f t="shared" si="219"/>
        <v>0</v>
      </c>
      <c r="H1606">
        <v>0</v>
      </c>
      <c r="I1606">
        <f t="shared" si="220"/>
        <v>0</v>
      </c>
      <c r="J1606">
        <f t="shared" si="212"/>
        <v>11.863512754440311</v>
      </c>
      <c r="K1606" t="s">
        <v>1832</v>
      </c>
      <c r="L1606" t="s">
        <v>1833</v>
      </c>
      <c r="M1606" t="s">
        <v>27</v>
      </c>
      <c r="N1606" t="s">
        <v>27</v>
      </c>
      <c r="O1606">
        <v>16.87</v>
      </c>
      <c r="P1606">
        <v>6.0603790283203098</v>
      </c>
      <c r="Q1606">
        <v>8.9704027175903303</v>
      </c>
      <c r="R1606">
        <v>24.629999160766602</v>
      </c>
      <c r="S1606">
        <v>24.401960185929799</v>
      </c>
      <c r="T1606">
        <v>6.2081971168518102</v>
      </c>
      <c r="U1606">
        <v>42.791057586669901</v>
      </c>
      <c r="V1606">
        <v>2767000.25</v>
      </c>
      <c r="W1606">
        <v>5.0916409492492702</v>
      </c>
      <c r="X1606">
        <v>0.19999999626010101</v>
      </c>
      <c r="Y1606">
        <v>2.5060091018676798</v>
      </c>
      <c r="Z1606">
        <v>2.89311003684998</v>
      </c>
      <c r="AA1606">
        <v>15665160</v>
      </c>
      <c r="AB1606" t="s">
        <v>27</v>
      </c>
      <c r="AC1606" t="s">
        <v>27</v>
      </c>
      <c r="AD1606">
        <v>0.63999998569488503</v>
      </c>
      <c r="AE1606">
        <v>41.1434135437012</v>
      </c>
      <c r="AF1606">
        <v>8.2069050376147192</v>
      </c>
      <c r="AG1606">
        <v>16356001</v>
      </c>
      <c r="AH1606">
        <v>3.7814059257507302</v>
      </c>
      <c r="AI1606">
        <v>7.9011912345886204</v>
      </c>
    </row>
    <row r="1607" spans="1:35">
      <c r="A1607">
        <f t="shared" si="213"/>
        <v>1</v>
      </c>
      <c r="B1607">
        <f t="shared" si="214"/>
        <v>0</v>
      </c>
      <c r="C1607">
        <f t="shared" si="215"/>
        <v>1</v>
      </c>
      <c r="D1607">
        <f t="shared" si="216"/>
        <v>1</v>
      </c>
      <c r="E1607">
        <f t="shared" si="217"/>
        <v>0</v>
      </c>
      <c r="F1607">
        <f t="shared" si="218"/>
        <v>0</v>
      </c>
      <c r="G1607">
        <f t="shared" si="219"/>
        <v>1</v>
      </c>
      <c r="H1607">
        <v>0</v>
      </c>
      <c r="I1607">
        <f t="shared" si="220"/>
        <v>0</v>
      </c>
      <c r="J1607">
        <f t="shared" si="212"/>
        <v>11.863101005554199</v>
      </c>
      <c r="K1607" t="s">
        <v>1820</v>
      </c>
      <c r="L1607" t="s">
        <v>1821</v>
      </c>
      <c r="M1607" t="s">
        <v>27</v>
      </c>
      <c r="N1607" t="s">
        <v>27</v>
      </c>
      <c r="O1607">
        <v>21.839099999999998</v>
      </c>
      <c r="P1607" t="s">
        <v>27</v>
      </c>
      <c r="Q1607">
        <v>6.8892788887023899</v>
      </c>
      <c r="R1607">
        <v>22.190000534057599</v>
      </c>
      <c r="S1607">
        <v>11.375</v>
      </c>
      <c r="T1607">
        <v>1.5075819492340099</v>
      </c>
      <c r="U1607">
        <v>42.667316436767599</v>
      </c>
      <c r="V1607">
        <v>26998000</v>
      </c>
      <c r="W1607">
        <v>12.4158716201782</v>
      </c>
      <c r="X1607">
        <v>7.9999998211860698E-2</v>
      </c>
      <c r="Y1607">
        <v>5.4505491256713903</v>
      </c>
      <c r="Z1607">
        <v>4.9738221168518102</v>
      </c>
      <c r="AA1607">
        <v>26443000</v>
      </c>
      <c r="AB1607" t="s">
        <v>27</v>
      </c>
      <c r="AC1607" t="s">
        <v>27</v>
      </c>
      <c r="AD1607">
        <v>0.18000000715255701</v>
      </c>
      <c r="AE1607">
        <v>46.290927886962898</v>
      </c>
      <c r="AF1607">
        <v>8.3567641098725201</v>
      </c>
      <c r="AG1607">
        <v>24071000</v>
      </c>
      <c r="AH1607">
        <v>0.65573799610137895</v>
      </c>
      <c r="AI1607">
        <v>-11.9671058654785</v>
      </c>
    </row>
    <row r="1608" spans="1:35">
      <c r="A1608">
        <f t="shared" si="213"/>
        <v>1</v>
      </c>
      <c r="B1608">
        <f t="shared" si="214"/>
        <v>1</v>
      </c>
      <c r="C1608">
        <f t="shared" si="215"/>
        <v>1</v>
      </c>
      <c r="D1608">
        <f t="shared" si="216"/>
        <v>1</v>
      </c>
      <c r="E1608">
        <f t="shared" si="217"/>
        <v>0</v>
      </c>
      <c r="F1608">
        <f t="shared" si="218"/>
        <v>1</v>
      </c>
      <c r="G1608">
        <f t="shared" si="219"/>
        <v>0</v>
      </c>
      <c r="H1608">
        <v>0</v>
      </c>
      <c r="I1608">
        <f t="shared" si="220"/>
        <v>1</v>
      </c>
      <c r="J1608">
        <f t="shared" si="212"/>
        <v>11.8498158454895</v>
      </c>
      <c r="K1608" t="s">
        <v>3649</v>
      </c>
      <c r="L1608" t="s">
        <v>3650</v>
      </c>
      <c r="M1608" t="s">
        <v>27</v>
      </c>
      <c r="N1608" t="s">
        <v>27</v>
      </c>
      <c r="O1608">
        <v>24.22</v>
      </c>
      <c r="P1608">
        <v>5.5310568809509304</v>
      </c>
      <c r="Q1608">
        <v>5.3007960319518999</v>
      </c>
      <c r="R1608">
        <v>21.959999084472699</v>
      </c>
      <c r="S1608">
        <v>19.75</v>
      </c>
      <c r="T1608">
        <v>20.1436977386475</v>
      </c>
      <c r="U1608" t="s">
        <v>27</v>
      </c>
      <c r="V1608">
        <v>9165000</v>
      </c>
      <c r="W1608">
        <v>0.60585302114486705</v>
      </c>
      <c r="X1608">
        <v>0.40999999642372098</v>
      </c>
      <c r="Y1608">
        <v>8.9577455520629901</v>
      </c>
      <c r="Z1608">
        <v>6.5490198135376003</v>
      </c>
      <c r="AA1608">
        <v>15308000</v>
      </c>
      <c r="AB1608" t="s">
        <v>27</v>
      </c>
      <c r="AC1608" t="s">
        <v>27</v>
      </c>
      <c r="AD1608">
        <v>0.43999999761581399</v>
      </c>
      <c r="AE1608" t="s">
        <v>27</v>
      </c>
      <c r="AF1608" t="s">
        <v>27</v>
      </c>
      <c r="AG1608">
        <v>15030000</v>
      </c>
      <c r="AH1608">
        <v>15.5033578872681</v>
      </c>
      <c r="AI1608">
        <v>1.1850390434265099</v>
      </c>
    </row>
    <row r="1609" spans="1:35">
      <c r="A1609">
        <f t="shared" si="213"/>
        <v>1</v>
      </c>
      <c r="B1609">
        <f t="shared" si="214"/>
        <v>1</v>
      </c>
      <c r="C1609">
        <f t="shared" si="215"/>
        <v>1</v>
      </c>
      <c r="D1609">
        <f t="shared" si="216"/>
        <v>1</v>
      </c>
      <c r="E1609">
        <f t="shared" si="217"/>
        <v>0</v>
      </c>
      <c r="F1609">
        <f t="shared" si="218"/>
        <v>1</v>
      </c>
      <c r="G1609">
        <f t="shared" si="219"/>
        <v>0</v>
      </c>
      <c r="H1609">
        <v>0</v>
      </c>
      <c r="I1609">
        <f t="shared" si="220"/>
        <v>0</v>
      </c>
      <c r="J1609">
        <f t="shared" si="212"/>
        <v>11.839049100875851</v>
      </c>
      <c r="K1609" t="s">
        <v>2394</v>
      </c>
      <c r="L1609" t="s">
        <v>2395</v>
      </c>
      <c r="M1609" t="s">
        <v>27</v>
      </c>
      <c r="N1609" t="s">
        <v>27</v>
      </c>
      <c r="O1609">
        <v>21.74</v>
      </c>
      <c r="P1609">
        <v>7.8166241645812997</v>
      </c>
      <c r="Q1609">
        <v>8.5006570816040004</v>
      </c>
      <c r="R1609">
        <v>31.7299995422363</v>
      </c>
      <c r="S1609">
        <v>23.612300926208501</v>
      </c>
      <c r="T1609">
        <v>32.194080352783203</v>
      </c>
      <c r="U1609">
        <v>50.204387664794901</v>
      </c>
      <c r="V1609">
        <v>19854000</v>
      </c>
      <c r="W1609">
        <v>-5.7287359237670898</v>
      </c>
      <c r="X1609">
        <v>0.18999999761581399</v>
      </c>
      <c r="Y1609">
        <v>3.5419850349426301</v>
      </c>
      <c r="Z1609">
        <v>3.3383920192718501</v>
      </c>
      <c r="AA1609">
        <v>32932998</v>
      </c>
      <c r="AB1609" t="s">
        <v>27</v>
      </c>
      <c r="AC1609" t="s">
        <v>27</v>
      </c>
      <c r="AD1609">
        <v>0.34999999403953602</v>
      </c>
      <c r="AE1609">
        <v>48.682903289794901</v>
      </c>
      <c r="AF1609">
        <v>10.540469616175599</v>
      </c>
      <c r="AG1609">
        <v>34098000</v>
      </c>
      <c r="AH1609">
        <v>30.222801208496101</v>
      </c>
      <c r="AI1609">
        <v>6.3740749359130904</v>
      </c>
    </row>
    <row r="1610" spans="1:35">
      <c r="A1610">
        <f t="shared" si="213"/>
        <v>1</v>
      </c>
      <c r="B1610">
        <f t="shared" si="214"/>
        <v>0</v>
      </c>
      <c r="C1610">
        <f t="shared" si="215"/>
        <v>1</v>
      </c>
      <c r="D1610">
        <f t="shared" si="216"/>
        <v>1</v>
      </c>
      <c r="E1610">
        <f t="shared" si="217"/>
        <v>0</v>
      </c>
      <c r="F1610">
        <f t="shared" si="218"/>
        <v>1</v>
      </c>
      <c r="G1610">
        <f t="shared" si="219"/>
        <v>0</v>
      </c>
      <c r="H1610">
        <v>0</v>
      </c>
      <c r="I1610">
        <f t="shared" si="220"/>
        <v>1</v>
      </c>
      <c r="J1610">
        <f t="shared" si="212"/>
        <v>11.811875343322761</v>
      </c>
      <c r="K1610" t="s">
        <v>2452</v>
      </c>
      <c r="L1610" t="s">
        <v>2453</v>
      </c>
      <c r="M1610" t="s">
        <v>27</v>
      </c>
      <c r="N1610" t="s">
        <v>27</v>
      </c>
      <c r="O1610">
        <v>15.18</v>
      </c>
      <c r="P1610">
        <v>5.8225140571594203</v>
      </c>
      <c r="Q1610">
        <v>5.6180691719055202</v>
      </c>
      <c r="R1610">
        <v>11.4899997711182</v>
      </c>
      <c r="S1610">
        <v>9.6875</v>
      </c>
      <c r="T1610">
        <v>9.0595312118530291</v>
      </c>
      <c r="U1610" t="s">
        <v>27</v>
      </c>
      <c r="V1610">
        <v>8878000</v>
      </c>
      <c r="W1610">
        <v>0.83880597352981601</v>
      </c>
      <c r="X1610">
        <v>0.140000000596046</v>
      </c>
      <c r="Y1610">
        <v>6.9253730773925799</v>
      </c>
      <c r="Z1610">
        <v>6.1938061714172399</v>
      </c>
      <c r="AA1610">
        <v>47373000</v>
      </c>
      <c r="AB1610" t="s">
        <v>34</v>
      </c>
      <c r="AC1610" t="s">
        <v>458</v>
      </c>
      <c r="AD1610">
        <v>0.15000000596046401</v>
      </c>
      <c r="AE1610" t="s">
        <v>27</v>
      </c>
      <c r="AF1610" t="s">
        <v>27</v>
      </c>
      <c r="AG1610">
        <v>47434000</v>
      </c>
      <c r="AH1610">
        <v>6.7066087722778303</v>
      </c>
      <c r="AI1610">
        <v>0.737645983695984</v>
      </c>
    </row>
    <row r="1611" spans="1:35">
      <c r="A1611">
        <f t="shared" si="213"/>
        <v>1</v>
      </c>
      <c r="B1611">
        <f t="shared" si="214"/>
        <v>1</v>
      </c>
      <c r="C1611">
        <f t="shared" si="215"/>
        <v>1</v>
      </c>
      <c r="D1611">
        <f t="shared" si="216"/>
        <v>1</v>
      </c>
      <c r="E1611">
        <f t="shared" si="217"/>
        <v>0</v>
      </c>
      <c r="F1611">
        <f t="shared" si="218"/>
        <v>1</v>
      </c>
      <c r="G1611">
        <f t="shared" si="219"/>
        <v>0</v>
      </c>
      <c r="H1611">
        <v>0</v>
      </c>
      <c r="I1611">
        <f t="shared" si="220"/>
        <v>0</v>
      </c>
      <c r="J1611">
        <f t="shared" si="212"/>
        <v>11.775034666061401</v>
      </c>
      <c r="K1611" t="s">
        <v>1158</v>
      </c>
      <c r="L1611" t="s">
        <v>1159</v>
      </c>
      <c r="M1611" t="s">
        <v>27</v>
      </c>
      <c r="N1611" t="s">
        <v>27</v>
      </c>
      <c r="O1611">
        <v>7.54</v>
      </c>
      <c r="P1611" t="s">
        <v>27</v>
      </c>
      <c r="Q1611">
        <v>8.2915515899658203</v>
      </c>
      <c r="R1611">
        <v>17.440000534057599</v>
      </c>
      <c r="S1611">
        <v>12.25</v>
      </c>
      <c r="T1611">
        <v>4.2697877883911097</v>
      </c>
      <c r="U1611">
        <v>38.968105316162102</v>
      </c>
      <c r="V1611">
        <v>3552999.5</v>
      </c>
      <c r="W1611">
        <v>-3.4543869495391801</v>
      </c>
      <c r="X1611">
        <v>9.00000035762787E-2</v>
      </c>
      <c r="Y1611" t="s">
        <v>27</v>
      </c>
      <c r="Z1611">
        <v>3.4834830760955802</v>
      </c>
      <c r="AA1611">
        <v>45500000</v>
      </c>
      <c r="AB1611" t="s">
        <v>27</v>
      </c>
      <c r="AC1611" t="s">
        <v>27</v>
      </c>
      <c r="AD1611">
        <v>0.30000001192092901</v>
      </c>
      <c r="AE1611">
        <v>27.680055618286101</v>
      </c>
      <c r="AF1611" t="s">
        <v>27</v>
      </c>
      <c r="AG1611">
        <v>46322556</v>
      </c>
      <c r="AH1611">
        <v>0.64170598983764604</v>
      </c>
      <c r="AI1611">
        <v>1.3671009540557899</v>
      </c>
    </row>
    <row r="1612" spans="1:35">
      <c r="A1612">
        <f t="shared" si="213"/>
        <v>1</v>
      </c>
      <c r="B1612">
        <f t="shared" si="214"/>
        <v>1</v>
      </c>
      <c r="C1612">
        <f t="shared" si="215"/>
        <v>1</v>
      </c>
      <c r="D1612">
        <f t="shared" si="216"/>
        <v>0</v>
      </c>
      <c r="E1612">
        <f t="shared" si="217"/>
        <v>0</v>
      </c>
      <c r="F1612">
        <f t="shared" si="218"/>
        <v>1</v>
      </c>
      <c r="G1612">
        <f t="shared" si="219"/>
        <v>0</v>
      </c>
      <c r="H1612">
        <v>0</v>
      </c>
      <c r="I1612">
        <f t="shared" si="220"/>
        <v>0</v>
      </c>
      <c r="J1612">
        <f t="shared" si="212"/>
        <v>11.75666999816894</v>
      </c>
      <c r="K1612" t="s">
        <v>766</v>
      </c>
      <c r="L1612" t="s">
        <v>767</v>
      </c>
      <c r="M1612" t="s">
        <v>27</v>
      </c>
      <c r="N1612" t="s">
        <v>27</v>
      </c>
      <c r="O1612">
        <v>43.18</v>
      </c>
      <c r="P1612">
        <v>5.42075395584106</v>
      </c>
      <c r="Q1612">
        <v>5.4019899368286097</v>
      </c>
      <c r="R1612">
        <v>46.950000762939503</v>
      </c>
      <c r="S1612">
        <v>42.529998779296903</v>
      </c>
      <c r="T1612">
        <v>32.191825866699197</v>
      </c>
      <c r="U1612">
        <v>56.967071533203097</v>
      </c>
      <c r="V1612">
        <v>312999.71875</v>
      </c>
      <c r="W1612">
        <v>3.9068050384521502</v>
      </c>
      <c r="X1612">
        <v>0.87000000476837203</v>
      </c>
      <c r="Y1612">
        <v>7.3228840827941903</v>
      </c>
      <c r="Z1612">
        <v>6.3546800613403303</v>
      </c>
      <c r="AA1612">
        <v>16617001</v>
      </c>
      <c r="AB1612" t="s">
        <v>27</v>
      </c>
      <c r="AC1612" t="s">
        <v>27</v>
      </c>
      <c r="AD1612">
        <v>0.57999998331069902</v>
      </c>
      <c r="AE1612">
        <v>42.613864898681598</v>
      </c>
      <c r="AF1612">
        <v>10.203923749114299</v>
      </c>
      <c r="AG1612">
        <v>16362000</v>
      </c>
      <c r="AH1612">
        <v>18.805936813354499</v>
      </c>
      <c r="AI1612">
        <v>4.0628929138183603</v>
      </c>
    </row>
    <row r="1613" spans="1:35">
      <c r="A1613">
        <f t="shared" si="213"/>
        <v>1</v>
      </c>
      <c r="B1613">
        <f t="shared" si="214"/>
        <v>1</v>
      </c>
      <c r="C1613">
        <f t="shared" si="215"/>
        <v>0</v>
      </c>
      <c r="D1613">
        <f t="shared" si="216"/>
        <v>0</v>
      </c>
      <c r="E1613">
        <f t="shared" si="217"/>
        <v>0</v>
      </c>
      <c r="F1613">
        <f t="shared" si="218"/>
        <v>1</v>
      </c>
      <c r="G1613">
        <f t="shared" si="219"/>
        <v>0</v>
      </c>
      <c r="H1613">
        <v>0</v>
      </c>
      <c r="I1613">
        <f t="shared" si="220"/>
        <v>0</v>
      </c>
      <c r="J1613">
        <f t="shared" si="212"/>
        <v>11.725889205932621</v>
      </c>
      <c r="K1613" t="s">
        <v>1504</v>
      </c>
      <c r="L1613" t="s">
        <v>1505</v>
      </c>
      <c r="M1613" t="s">
        <v>27</v>
      </c>
      <c r="N1613" t="s">
        <v>27</v>
      </c>
      <c r="O1613">
        <v>7.05</v>
      </c>
      <c r="P1613">
        <v>7.66935110092163</v>
      </c>
      <c r="Q1613">
        <v>7.6132130622863796</v>
      </c>
      <c r="R1613">
        <v>17.799999237060501</v>
      </c>
      <c r="S1613">
        <v>6.75</v>
      </c>
      <c r="T1613">
        <v>53.093063354492202</v>
      </c>
      <c r="U1613">
        <v>22.7994499206543</v>
      </c>
      <c r="V1613">
        <v>-2483000</v>
      </c>
      <c r="W1613">
        <v>2.1993649005889901</v>
      </c>
      <c r="X1613">
        <v>0.20999999344348899</v>
      </c>
      <c r="Y1613">
        <v>10.8613138198853</v>
      </c>
      <c r="Z1613">
        <v>4.1126761436462402</v>
      </c>
      <c r="AA1613">
        <v>9294000</v>
      </c>
      <c r="AB1613" t="s">
        <v>27</v>
      </c>
      <c r="AC1613" t="s">
        <v>27</v>
      </c>
      <c r="AD1613">
        <v>0.15000000596046401</v>
      </c>
      <c r="AE1613">
        <v>22.054908752441399</v>
      </c>
      <c r="AF1613">
        <v>6.2319858483442996</v>
      </c>
      <c r="AG1613">
        <v>9407000</v>
      </c>
      <c r="AH1613">
        <v>20.715913772583001</v>
      </c>
      <c r="AI1613">
        <v>2.6091899871826199</v>
      </c>
    </row>
    <row r="1614" spans="1:35">
      <c r="A1614">
        <f t="shared" si="213"/>
        <v>0</v>
      </c>
      <c r="B1614">
        <f t="shared" si="214"/>
        <v>0</v>
      </c>
      <c r="C1614">
        <f t="shared" si="215"/>
        <v>0</v>
      </c>
      <c r="D1614">
        <f t="shared" si="216"/>
        <v>1</v>
      </c>
      <c r="E1614">
        <f t="shared" si="217"/>
        <v>0</v>
      </c>
      <c r="F1614">
        <f t="shared" si="218"/>
        <v>1</v>
      </c>
      <c r="G1614">
        <f t="shared" si="219"/>
        <v>0</v>
      </c>
      <c r="H1614">
        <v>0</v>
      </c>
      <c r="I1614">
        <f t="shared" si="220"/>
        <v>0</v>
      </c>
      <c r="J1614">
        <f t="shared" si="212"/>
        <v>11.685060977935791</v>
      </c>
      <c r="K1614" t="s">
        <v>1283</v>
      </c>
      <c r="L1614" t="s">
        <v>1284</v>
      </c>
      <c r="M1614" t="s">
        <v>27</v>
      </c>
      <c r="N1614" t="s">
        <v>27</v>
      </c>
      <c r="O1614">
        <v>9.33</v>
      </c>
      <c r="P1614">
        <v>6.28897905349731</v>
      </c>
      <c r="Q1614">
        <v>6.7405138015747097</v>
      </c>
      <c r="R1614">
        <v>15.6000003814697</v>
      </c>
      <c r="S1614">
        <v>38.369998931884801</v>
      </c>
      <c r="T1614">
        <v>15.8560028076172</v>
      </c>
      <c r="U1614">
        <v>25.320238113403299</v>
      </c>
      <c r="V1614">
        <v>-277952992</v>
      </c>
      <c r="W1614">
        <v>5.8990588188171396</v>
      </c>
      <c r="X1614">
        <v>0.239999994635582</v>
      </c>
      <c r="Y1614">
        <v>2.48956394195557</v>
      </c>
      <c r="Z1614">
        <v>4.9445471763610804</v>
      </c>
      <c r="AA1614">
        <v>66286004</v>
      </c>
      <c r="AB1614" t="s">
        <v>27</v>
      </c>
      <c r="AC1614" t="s">
        <v>27</v>
      </c>
      <c r="AD1614">
        <v>0.31000000238418601</v>
      </c>
      <c r="AE1614">
        <v>24.0823459625244</v>
      </c>
      <c r="AF1614">
        <v>7.2369540618779604</v>
      </c>
      <c r="AG1614">
        <v>79079000</v>
      </c>
      <c r="AH1614">
        <v>20.1081142425537</v>
      </c>
      <c r="AI1614">
        <v>5.0953412055969203</v>
      </c>
    </row>
    <row r="1615" spans="1:35">
      <c r="A1615">
        <f t="shared" si="213"/>
        <v>0</v>
      </c>
      <c r="B1615">
        <f t="shared" si="214"/>
        <v>0</v>
      </c>
      <c r="C1615">
        <f t="shared" si="215"/>
        <v>0</v>
      </c>
      <c r="D1615">
        <f t="shared" si="216"/>
        <v>0</v>
      </c>
      <c r="E1615">
        <f t="shared" si="217"/>
        <v>0</v>
      </c>
      <c r="F1615">
        <f t="shared" si="218"/>
        <v>1</v>
      </c>
      <c r="G1615">
        <f t="shared" si="219"/>
        <v>0</v>
      </c>
      <c r="H1615">
        <v>0</v>
      </c>
      <c r="I1615">
        <f t="shared" si="220"/>
        <v>1</v>
      </c>
      <c r="J1615">
        <f t="shared" si="212"/>
        <v>11.679635047912599</v>
      </c>
      <c r="K1615" t="s">
        <v>1634</v>
      </c>
      <c r="L1615" t="s">
        <v>1635</v>
      </c>
      <c r="M1615" t="s">
        <v>27</v>
      </c>
      <c r="N1615" t="s">
        <v>27</v>
      </c>
      <c r="O1615">
        <v>13.07</v>
      </c>
      <c r="P1615">
        <v>5.20641994476318</v>
      </c>
      <c r="Q1615">
        <v>5.2598819732665998</v>
      </c>
      <c r="R1615">
        <v>10.5</v>
      </c>
      <c r="S1615">
        <v>5.375</v>
      </c>
      <c r="T1615">
        <v>0</v>
      </c>
      <c r="U1615">
        <v>12.0179080963135</v>
      </c>
      <c r="V1615">
        <v>-974999.9375</v>
      </c>
      <c r="W1615">
        <v>5.7927098274231001</v>
      </c>
      <c r="X1615">
        <v>0.17000000178813901</v>
      </c>
      <c r="Y1615">
        <v>13.792405128479</v>
      </c>
      <c r="Z1615">
        <v>6.4197530746459996</v>
      </c>
      <c r="AA1615">
        <v>10939000</v>
      </c>
      <c r="AB1615" t="s">
        <v>61</v>
      </c>
      <c r="AC1615" t="s">
        <v>77</v>
      </c>
      <c r="AD1615">
        <v>0.17000000178813901</v>
      </c>
      <c r="AE1615">
        <v>11.50758934021</v>
      </c>
      <c r="AF1615">
        <v>7.1713172747377696</v>
      </c>
      <c r="AG1615">
        <v>10906000</v>
      </c>
      <c r="AH1615">
        <v>0</v>
      </c>
      <c r="AI1615">
        <v>5.4152030944824201</v>
      </c>
    </row>
    <row r="1616" spans="1:35">
      <c r="A1616">
        <f t="shared" si="213"/>
        <v>0</v>
      </c>
      <c r="B1616">
        <f t="shared" si="214"/>
        <v>0</v>
      </c>
      <c r="C1616">
        <f t="shared" si="215"/>
        <v>1</v>
      </c>
      <c r="D1616">
        <f t="shared" si="216"/>
        <v>1</v>
      </c>
      <c r="E1616">
        <f t="shared" si="217"/>
        <v>0</v>
      </c>
      <c r="F1616">
        <f t="shared" si="218"/>
        <v>1</v>
      </c>
      <c r="G1616">
        <f t="shared" si="219"/>
        <v>0</v>
      </c>
      <c r="H1616">
        <v>0</v>
      </c>
      <c r="I1616">
        <f t="shared" si="220"/>
        <v>0</v>
      </c>
      <c r="J1616">
        <f t="shared" si="212"/>
        <v>11.66991567611694</v>
      </c>
      <c r="K1616" t="s">
        <v>252</v>
      </c>
      <c r="L1616" t="s">
        <v>253</v>
      </c>
      <c r="M1616" t="s">
        <v>27</v>
      </c>
      <c r="N1616" t="s">
        <v>27</v>
      </c>
      <c r="O1616">
        <v>22.89</v>
      </c>
      <c r="P1616">
        <v>5.8727908134460396</v>
      </c>
      <c r="Q1616">
        <v>6.2104558944702104</v>
      </c>
      <c r="R1616">
        <v>24.133333841959601</v>
      </c>
      <c r="S1616">
        <v>20.9266662597656</v>
      </c>
      <c r="T1616">
        <v>32.043849945068402</v>
      </c>
      <c r="U1616">
        <v>65.037651062011705</v>
      </c>
      <c r="V1616">
        <v>8593000</v>
      </c>
      <c r="W1616">
        <v>3.1637210845947301</v>
      </c>
      <c r="X1616">
        <v>0.57333334287007598</v>
      </c>
      <c r="Y1616">
        <v>6.0826449394226101</v>
      </c>
      <c r="Z1616">
        <v>5.4594597816467303</v>
      </c>
      <c r="AA1616">
        <v>15117060</v>
      </c>
      <c r="AB1616" t="s">
        <v>254</v>
      </c>
      <c r="AC1616" t="s">
        <v>255</v>
      </c>
      <c r="AD1616">
        <v>0.62000000476837203</v>
      </c>
      <c r="AE1616">
        <v>64.793807983398395</v>
      </c>
      <c r="AF1616">
        <v>8.6141326582278506</v>
      </c>
      <c r="AG1616">
        <v>15119445</v>
      </c>
      <c r="AH1616">
        <v>35.886676788330099</v>
      </c>
      <c r="AI1616">
        <v>3.1458649635314901</v>
      </c>
    </row>
    <row r="1617" spans="1:35">
      <c r="A1617">
        <f t="shared" si="213"/>
        <v>0</v>
      </c>
      <c r="B1617">
        <f t="shared" si="214"/>
        <v>1</v>
      </c>
      <c r="C1617">
        <f t="shared" si="215"/>
        <v>1</v>
      </c>
      <c r="D1617">
        <f t="shared" si="216"/>
        <v>1</v>
      </c>
      <c r="E1617">
        <f t="shared" si="217"/>
        <v>0</v>
      </c>
      <c r="F1617">
        <f t="shared" si="218"/>
        <v>1</v>
      </c>
      <c r="G1617">
        <f t="shared" si="219"/>
        <v>0</v>
      </c>
      <c r="H1617">
        <v>0</v>
      </c>
      <c r="I1617">
        <f t="shared" si="220"/>
        <v>1</v>
      </c>
      <c r="J1617">
        <f t="shared" si="212"/>
        <v>11.622390747070311</v>
      </c>
      <c r="K1617" t="s">
        <v>2282</v>
      </c>
      <c r="L1617" t="s">
        <v>2283</v>
      </c>
      <c r="M1617" t="s">
        <v>27</v>
      </c>
      <c r="N1617" t="s">
        <v>27</v>
      </c>
      <c r="O1617">
        <v>20.5</v>
      </c>
      <c r="P1617">
        <v>5.2029380798339799</v>
      </c>
      <c r="Q1617">
        <v>4.4193978309631303</v>
      </c>
      <c r="R1617">
        <v>13.913333892822299</v>
      </c>
      <c r="S1617">
        <v>11.8333333333333</v>
      </c>
      <c r="T1617">
        <v>20.248353958129901</v>
      </c>
      <c r="U1617" t="s">
        <v>27</v>
      </c>
      <c r="V1617">
        <v>32415000</v>
      </c>
      <c r="W1617">
        <v>1.02166199684143</v>
      </c>
      <c r="X1617">
        <v>0.23333332935969001</v>
      </c>
      <c r="Y1617">
        <v>9.2857141494750994</v>
      </c>
      <c r="Z1617">
        <v>7.2029929161071804</v>
      </c>
      <c r="AA1617">
        <v>16110000</v>
      </c>
      <c r="AB1617" t="s">
        <v>27</v>
      </c>
      <c r="AC1617" t="s">
        <v>27</v>
      </c>
      <c r="AD1617">
        <v>0.29999999205271399</v>
      </c>
      <c r="AE1617" t="s">
        <v>27</v>
      </c>
      <c r="AF1617" t="s">
        <v>27</v>
      </c>
      <c r="AG1617">
        <v>16111563</v>
      </c>
      <c r="AH1617">
        <v>21.295078277587901</v>
      </c>
      <c r="AI1617">
        <v>1.07281601428986</v>
      </c>
    </row>
    <row r="1618" spans="1:35">
      <c r="A1618">
        <f t="shared" si="213"/>
        <v>1</v>
      </c>
      <c r="B1618">
        <f t="shared" si="214"/>
        <v>0</v>
      </c>
      <c r="C1618">
        <f t="shared" si="215"/>
        <v>1</v>
      </c>
      <c r="D1618">
        <f t="shared" si="216"/>
        <v>0</v>
      </c>
      <c r="E1618">
        <f t="shared" si="217"/>
        <v>0</v>
      </c>
      <c r="F1618">
        <f t="shared" si="218"/>
        <v>1</v>
      </c>
      <c r="G1618">
        <f t="shared" si="219"/>
        <v>1</v>
      </c>
      <c r="H1618">
        <v>0</v>
      </c>
      <c r="I1618">
        <f t="shared" si="220"/>
        <v>0</v>
      </c>
      <c r="J1618">
        <f t="shared" si="212"/>
        <v>11.59822988510132</v>
      </c>
      <c r="K1618" t="s">
        <v>1690</v>
      </c>
      <c r="L1618" t="s">
        <v>1691</v>
      </c>
      <c r="M1618" t="s">
        <v>27</v>
      </c>
      <c r="N1618" t="s">
        <v>27</v>
      </c>
      <c r="O1618">
        <v>24.82</v>
      </c>
      <c r="P1618">
        <v>7.8961858749389604</v>
      </c>
      <c r="Q1618">
        <v>4.40093994140625</v>
      </c>
      <c r="R1618">
        <v>30.440000534057599</v>
      </c>
      <c r="S1618">
        <v>17.409999847412099</v>
      </c>
      <c r="T1618">
        <v>38.836055755615199</v>
      </c>
      <c r="U1618">
        <v>22.737623214721701</v>
      </c>
      <c r="V1618">
        <v>70674000</v>
      </c>
      <c r="W1618">
        <v>5.2854800224304199</v>
      </c>
      <c r="X1618">
        <v>0.80000001192092896</v>
      </c>
      <c r="Y1618">
        <v>15.3066673278809</v>
      </c>
      <c r="Z1618">
        <v>7.1972899436950701</v>
      </c>
      <c r="AA1618">
        <v>24321000</v>
      </c>
      <c r="AB1618" t="s">
        <v>27</v>
      </c>
      <c r="AC1618" t="s">
        <v>27</v>
      </c>
      <c r="AD1618">
        <v>0.769999980926514</v>
      </c>
      <c r="AE1618">
        <v>23.162569046020501</v>
      </c>
      <c r="AF1618">
        <v>7.4128781610174901</v>
      </c>
      <c r="AG1618">
        <v>23556000</v>
      </c>
      <c r="AH1618">
        <v>32.6259155273438</v>
      </c>
      <c r="AI1618">
        <v>3.3515760898590101</v>
      </c>
    </row>
    <row r="1619" spans="1:35">
      <c r="A1619">
        <f t="shared" si="213"/>
        <v>0</v>
      </c>
      <c r="B1619">
        <f t="shared" si="214"/>
        <v>1</v>
      </c>
      <c r="C1619">
        <f t="shared" si="215"/>
        <v>0</v>
      </c>
      <c r="D1619">
        <f t="shared" si="216"/>
        <v>0</v>
      </c>
      <c r="E1619">
        <f t="shared" si="217"/>
        <v>0</v>
      </c>
      <c r="F1619">
        <f t="shared" si="218"/>
        <v>1</v>
      </c>
      <c r="G1619">
        <f t="shared" si="219"/>
        <v>0</v>
      </c>
      <c r="H1619">
        <v>0</v>
      </c>
      <c r="I1619">
        <f t="shared" si="220"/>
        <v>0</v>
      </c>
      <c r="J1619">
        <f t="shared" si="212"/>
        <v>11.547459602355961</v>
      </c>
      <c r="K1619" t="s">
        <v>780</v>
      </c>
      <c r="L1619" t="s">
        <v>781</v>
      </c>
      <c r="M1619" t="s">
        <v>27</v>
      </c>
      <c r="N1619" t="s">
        <v>27</v>
      </c>
      <c r="O1619">
        <v>20.7</v>
      </c>
      <c r="P1619">
        <v>8.6252260208129901</v>
      </c>
      <c r="Q1619">
        <v>7.16715383529663</v>
      </c>
      <c r="R1619">
        <v>29.379999160766602</v>
      </c>
      <c r="S1619">
        <v>31.040000915527301</v>
      </c>
      <c r="T1619">
        <v>49.578296661377003</v>
      </c>
      <c r="U1619" t="s">
        <v>27</v>
      </c>
      <c r="V1619">
        <v>-2780000.75</v>
      </c>
      <c r="W1619">
        <v>3.5680959224700901</v>
      </c>
      <c r="X1619">
        <v>0.31999999284744302</v>
      </c>
      <c r="Y1619">
        <v>4.66200494766235</v>
      </c>
      <c r="Z1619">
        <v>4.3803057670593297</v>
      </c>
      <c r="AA1619">
        <v>28468000</v>
      </c>
      <c r="AB1619" t="s">
        <v>27</v>
      </c>
      <c r="AC1619" t="s">
        <v>27</v>
      </c>
      <c r="AD1619">
        <v>0.31000000238418601</v>
      </c>
      <c r="AE1619" t="s">
        <v>27</v>
      </c>
      <c r="AF1619">
        <v>11.273675840113199</v>
      </c>
      <c r="AG1619">
        <v>28762000</v>
      </c>
      <c r="AH1619">
        <v>63.920318603515597</v>
      </c>
      <c r="AI1619">
        <v>3.7794749736785902</v>
      </c>
    </row>
    <row r="1620" spans="1:35">
      <c r="A1620">
        <f t="shared" si="213"/>
        <v>0</v>
      </c>
      <c r="B1620">
        <f t="shared" si="214"/>
        <v>1</v>
      </c>
      <c r="C1620">
        <f t="shared" si="215"/>
        <v>0</v>
      </c>
      <c r="D1620">
        <f t="shared" si="216"/>
        <v>0</v>
      </c>
      <c r="E1620">
        <f t="shared" si="217"/>
        <v>0</v>
      </c>
      <c r="F1620">
        <f t="shared" si="218"/>
        <v>1</v>
      </c>
      <c r="G1620">
        <f t="shared" si="219"/>
        <v>1</v>
      </c>
      <c r="H1620">
        <v>0</v>
      </c>
      <c r="I1620">
        <f t="shared" si="220"/>
        <v>0</v>
      </c>
      <c r="J1620">
        <f t="shared" si="212"/>
        <v>11.54641723632813</v>
      </c>
      <c r="K1620" t="s">
        <v>3551</v>
      </c>
      <c r="L1620" t="s">
        <v>3552</v>
      </c>
      <c r="M1620" t="s">
        <v>27</v>
      </c>
      <c r="N1620" t="s">
        <v>27</v>
      </c>
      <c r="O1620">
        <v>12.7</v>
      </c>
      <c r="P1620">
        <v>7.6356739997863796</v>
      </c>
      <c r="Q1620">
        <v>5.1346521377563503</v>
      </c>
      <c r="R1620">
        <v>17.790000915527301</v>
      </c>
      <c r="S1620">
        <v>16.899999618530298</v>
      </c>
      <c r="T1620">
        <v>25.466567993164102</v>
      </c>
      <c r="U1620">
        <v>17.834964752197301</v>
      </c>
      <c r="V1620">
        <v>-1844999.75</v>
      </c>
      <c r="W1620">
        <v>8.4259376525878906</v>
      </c>
      <c r="X1620">
        <v>1.2400000095367401</v>
      </c>
      <c r="Y1620">
        <v>17.9061374664307</v>
      </c>
      <c r="Z1620">
        <v>6.41176509857178</v>
      </c>
      <c r="AA1620">
        <v>38018000</v>
      </c>
      <c r="AB1620" t="s">
        <v>52</v>
      </c>
      <c r="AC1620" t="s">
        <v>53</v>
      </c>
      <c r="AD1620">
        <v>-2.9999999329447701E-2</v>
      </c>
      <c r="AE1620">
        <v>18.8837890625</v>
      </c>
      <c r="AF1620">
        <v>5.9569046954242104</v>
      </c>
      <c r="AG1620">
        <v>38125000</v>
      </c>
      <c r="AH1620">
        <v>30.080493927001999</v>
      </c>
      <c r="AI1620">
        <v>13.1319875717163</v>
      </c>
    </row>
    <row r="1621" spans="1:35">
      <c r="A1621">
        <f t="shared" si="213"/>
        <v>1</v>
      </c>
      <c r="B1621">
        <f t="shared" si="214"/>
        <v>0</v>
      </c>
      <c r="C1621">
        <f t="shared" si="215"/>
        <v>1</v>
      </c>
      <c r="D1621">
        <f t="shared" si="216"/>
        <v>0</v>
      </c>
      <c r="E1621">
        <f t="shared" si="217"/>
        <v>0</v>
      </c>
      <c r="F1621">
        <f t="shared" si="218"/>
        <v>1</v>
      </c>
      <c r="G1621">
        <f t="shared" si="219"/>
        <v>0</v>
      </c>
      <c r="H1621">
        <v>0</v>
      </c>
      <c r="I1621">
        <f t="shared" si="220"/>
        <v>1</v>
      </c>
      <c r="J1621">
        <f t="shared" si="212"/>
        <v>11.517006158828741</v>
      </c>
      <c r="K1621" t="s">
        <v>3390</v>
      </c>
      <c r="L1621" t="s">
        <v>3391</v>
      </c>
      <c r="M1621" t="s">
        <v>27</v>
      </c>
      <c r="N1621" t="s">
        <v>27</v>
      </c>
      <c r="O1621">
        <v>18.6477</v>
      </c>
      <c r="P1621">
        <v>2.5112059116363499</v>
      </c>
      <c r="Q1621">
        <v>2.83904004096985</v>
      </c>
      <c r="R1621">
        <v>15.449999809265099</v>
      </c>
      <c r="S1621">
        <v>13.25</v>
      </c>
      <c r="T1621">
        <v>28.184036254882798</v>
      </c>
      <c r="U1621" t="s">
        <v>27</v>
      </c>
      <c r="V1621">
        <v>3372000.25</v>
      </c>
      <c r="W1621">
        <v>0.76656299829482999</v>
      </c>
      <c r="X1621">
        <v>0.33000001311302202</v>
      </c>
      <c r="Y1621">
        <v>11.2888889312744</v>
      </c>
      <c r="Z1621">
        <v>8.6779661178588903</v>
      </c>
      <c r="AA1621">
        <v>9107000</v>
      </c>
      <c r="AB1621" t="s">
        <v>27</v>
      </c>
      <c r="AC1621" t="s">
        <v>27</v>
      </c>
      <c r="AD1621">
        <v>0.31000000238418601</v>
      </c>
      <c r="AE1621" t="s">
        <v>27</v>
      </c>
      <c r="AF1621" t="s">
        <v>27</v>
      </c>
      <c r="AG1621">
        <v>8863000</v>
      </c>
      <c r="AH1621">
        <v>21.438499450683601</v>
      </c>
      <c r="AI1621">
        <v>0.72631502151489302</v>
      </c>
    </row>
    <row r="1622" spans="1:35">
      <c r="A1622">
        <f t="shared" si="213"/>
        <v>1</v>
      </c>
      <c r="B1622">
        <f t="shared" si="214"/>
        <v>1</v>
      </c>
      <c r="C1622">
        <f t="shared" si="215"/>
        <v>1</v>
      </c>
      <c r="D1622">
        <f t="shared" si="216"/>
        <v>1</v>
      </c>
      <c r="E1622">
        <f t="shared" si="217"/>
        <v>0</v>
      </c>
      <c r="F1622">
        <f t="shared" si="218"/>
        <v>1</v>
      </c>
      <c r="G1622">
        <f t="shared" si="219"/>
        <v>0</v>
      </c>
      <c r="H1622">
        <v>0</v>
      </c>
      <c r="I1622">
        <f t="shared" si="220"/>
        <v>0</v>
      </c>
      <c r="J1622">
        <f t="shared" si="212"/>
        <v>11.516503095626829</v>
      </c>
      <c r="K1622" t="s">
        <v>3282</v>
      </c>
      <c r="L1622" t="s">
        <v>3283</v>
      </c>
      <c r="M1622" t="s">
        <v>27</v>
      </c>
      <c r="N1622" t="s">
        <v>27</v>
      </c>
      <c r="O1622">
        <v>24.39</v>
      </c>
      <c r="P1622">
        <v>1.6098209619522099</v>
      </c>
      <c r="Q1622">
        <v>2.7108819484710698</v>
      </c>
      <c r="R1622">
        <v>22.850000381469702</v>
      </c>
      <c r="S1622">
        <v>16.5625</v>
      </c>
      <c r="T1622">
        <v>34.6830024719238</v>
      </c>
      <c r="U1622" t="s">
        <v>27</v>
      </c>
      <c r="V1622">
        <v>14282000</v>
      </c>
      <c r="W1622">
        <v>0.44792699813842801</v>
      </c>
      <c r="X1622">
        <v>0.41999998688697798</v>
      </c>
      <c r="Y1622">
        <v>11.3170728683472</v>
      </c>
      <c r="Z1622">
        <v>8.8056211471557599</v>
      </c>
      <c r="AA1622">
        <v>9437000</v>
      </c>
      <c r="AB1622" t="s">
        <v>27</v>
      </c>
      <c r="AC1622" t="s">
        <v>27</v>
      </c>
      <c r="AD1622">
        <v>0.58999997377395597</v>
      </c>
      <c r="AE1622" t="s">
        <v>27</v>
      </c>
      <c r="AF1622" t="s">
        <v>27</v>
      </c>
      <c r="AG1622">
        <v>9208000</v>
      </c>
      <c r="AH1622">
        <v>25.900457382202099</v>
      </c>
      <c r="AI1622">
        <v>0.76538300514221203</v>
      </c>
    </row>
    <row r="1623" spans="1:35">
      <c r="A1623">
        <f t="shared" si="213"/>
        <v>0</v>
      </c>
      <c r="B1623">
        <f t="shared" si="214"/>
        <v>0</v>
      </c>
      <c r="C1623">
        <f t="shared" si="215"/>
        <v>1</v>
      </c>
      <c r="D1623">
        <f t="shared" si="216"/>
        <v>1</v>
      </c>
      <c r="E1623">
        <f t="shared" si="217"/>
        <v>0</v>
      </c>
      <c r="F1623">
        <f t="shared" si="218"/>
        <v>1</v>
      </c>
      <c r="G1623">
        <f t="shared" si="219"/>
        <v>0</v>
      </c>
      <c r="H1623">
        <v>0</v>
      </c>
      <c r="I1623">
        <f t="shared" si="220"/>
        <v>1</v>
      </c>
      <c r="J1623">
        <f t="shared" si="212"/>
        <v>11.471740007400509</v>
      </c>
      <c r="K1623" t="s">
        <v>3103</v>
      </c>
      <c r="L1623" t="s">
        <v>3104</v>
      </c>
      <c r="M1623" t="s">
        <v>27</v>
      </c>
      <c r="N1623" t="s">
        <v>27</v>
      </c>
      <c r="O1623">
        <v>19.68</v>
      </c>
      <c r="P1623">
        <v>4.7707009315490696</v>
      </c>
      <c r="Q1623">
        <v>3.6707990169525102</v>
      </c>
      <c r="R1623">
        <v>18.159999847412099</v>
      </c>
      <c r="S1623">
        <v>12.5</v>
      </c>
      <c r="T1623">
        <v>15.6616020202637</v>
      </c>
      <c r="U1623" t="s">
        <v>27</v>
      </c>
      <c r="V1623">
        <v>18854000</v>
      </c>
      <c r="W1623">
        <v>1.2483619451522801</v>
      </c>
      <c r="X1623">
        <v>0.259999990463257</v>
      </c>
      <c r="Y1623">
        <v>9</v>
      </c>
      <c r="Z1623">
        <v>7.8009409904479998</v>
      </c>
      <c r="AA1623">
        <v>25155000</v>
      </c>
      <c r="AB1623" t="s">
        <v>27</v>
      </c>
      <c r="AC1623" t="s">
        <v>27</v>
      </c>
      <c r="AD1623">
        <v>0.34000000357627902</v>
      </c>
      <c r="AE1623" t="s">
        <v>27</v>
      </c>
      <c r="AF1623" t="s">
        <v>27</v>
      </c>
      <c r="AG1623">
        <v>24629000</v>
      </c>
      <c r="AH1623">
        <v>24.621049880981399</v>
      </c>
      <c r="AI1623">
        <v>0.95457297563552901</v>
      </c>
    </row>
    <row r="1624" spans="1:35">
      <c r="A1624">
        <f t="shared" si="213"/>
        <v>1</v>
      </c>
      <c r="B1624">
        <f t="shared" si="214"/>
        <v>1</v>
      </c>
      <c r="C1624">
        <f t="shared" si="215"/>
        <v>0</v>
      </c>
      <c r="D1624">
        <f t="shared" si="216"/>
        <v>1</v>
      </c>
      <c r="E1624">
        <f t="shared" si="217"/>
        <v>0</v>
      </c>
      <c r="F1624">
        <f t="shared" si="218"/>
        <v>0</v>
      </c>
      <c r="G1624">
        <f t="shared" si="219"/>
        <v>0</v>
      </c>
      <c r="H1624">
        <v>0</v>
      </c>
      <c r="I1624">
        <f t="shared" si="220"/>
        <v>0</v>
      </c>
      <c r="J1624">
        <f t="shared" si="212"/>
        <v>11.41793775558472</v>
      </c>
      <c r="K1624" t="s">
        <v>3663</v>
      </c>
      <c r="L1624" t="s">
        <v>3664</v>
      </c>
      <c r="M1624" t="s">
        <v>27</v>
      </c>
      <c r="N1624" t="s">
        <v>27</v>
      </c>
      <c r="O1624">
        <v>18.95</v>
      </c>
      <c r="P1624" t="s">
        <v>27</v>
      </c>
      <c r="Q1624">
        <v>5.8179378509521502</v>
      </c>
      <c r="R1624">
        <v>22.75</v>
      </c>
      <c r="S1624">
        <v>33.200000762939503</v>
      </c>
      <c r="T1624">
        <v>37.884548187255902</v>
      </c>
      <c r="U1624">
        <v>35.427188873291001</v>
      </c>
      <c r="V1624">
        <v>-18411004</v>
      </c>
      <c r="W1624">
        <v>-1.3177180290222199</v>
      </c>
      <c r="X1624">
        <v>0.129999995231628</v>
      </c>
      <c r="Y1624" t="s">
        <v>27</v>
      </c>
      <c r="Z1624">
        <v>5.5999999046325701</v>
      </c>
      <c r="AA1624">
        <v>14662000</v>
      </c>
      <c r="AB1624" t="s">
        <v>27</v>
      </c>
      <c r="AC1624" t="s">
        <v>27</v>
      </c>
      <c r="AD1624">
        <v>0.41999998688697798</v>
      </c>
      <c r="AE1624">
        <v>32.3662719726563</v>
      </c>
      <c r="AF1624">
        <v>5.3529377692936997</v>
      </c>
      <c r="AG1624">
        <v>30555000</v>
      </c>
      <c r="AH1624">
        <v>19.800754547119102</v>
      </c>
      <c r="AI1624">
        <v>-0.53347200155258201</v>
      </c>
    </row>
    <row r="1625" spans="1:35">
      <c r="A1625">
        <f t="shared" si="213"/>
        <v>1</v>
      </c>
      <c r="B1625">
        <f t="shared" si="214"/>
        <v>1</v>
      </c>
      <c r="C1625">
        <f t="shared" si="215"/>
        <v>1</v>
      </c>
      <c r="D1625">
        <f t="shared" si="216"/>
        <v>1</v>
      </c>
      <c r="E1625">
        <f t="shared" si="217"/>
        <v>0</v>
      </c>
      <c r="F1625">
        <f t="shared" si="218"/>
        <v>1</v>
      </c>
      <c r="G1625">
        <f t="shared" si="219"/>
        <v>0</v>
      </c>
      <c r="H1625">
        <v>0</v>
      </c>
      <c r="I1625">
        <f t="shared" si="220"/>
        <v>0</v>
      </c>
      <c r="J1625">
        <f t="shared" si="212"/>
        <v>11.40039634704589</v>
      </c>
      <c r="K1625" t="s">
        <v>857</v>
      </c>
      <c r="L1625" t="s">
        <v>858</v>
      </c>
      <c r="M1625" t="s">
        <v>27</v>
      </c>
      <c r="N1625" t="s">
        <v>27</v>
      </c>
      <c r="O1625">
        <v>29.59</v>
      </c>
      <c r="P1625">
        <v>2.1191749572753902</v>
      </c>
      <c r="Q1625">
        <v>2.1652688980102499</v>
      </c>
      <c r="R1625">
        <v>30.350000381469702</v>
      </c>
      <c r="S1625">
        <v>26</v>
      </c>
      <c r="T1625">
        <v>39.16162109375</v>
      </c>
      <c r="U1625" t="s">
        <v>27</v>
      </c>
      <c r="V1625">
        <v>10377000</v>
      </c>
      <c r="W1625">
        <v>0.371865004301071</v>
      </c>
      <c r="X1625">
        <v>0.730000019073486</v>
      </c>
      <c r="Y1625">
        <v>15.496502876281699</v>
      </c>
      <c r="Z1625">
        <v>9.2351274490356392</v>
      </c>
      <c r="AA1625">
        <v>5649000</v>
      </c>
      <c r="AB1625" t="s">
        <v>27</v>
      </c>
      <c r="AC1625" t="s">
        <v>27</v>
      </c>
      <c r="AD1625">
        <v>0.87999999523162797</v>
      </c>
      <c r="AE1625" t="s">
        <v>27</v>
      </c>
      <c r="AF1625" t="s">
        <v>27</v>
      </c>
      <c r="AG1625">
        <v>5829000</v>
      </c>
      <c r="AH1625">
        <v>36.192134857177699</v>
      </c>
      <c r="AI1625">
        <v>0.65978300571441695</v>
      </c>
    </row>
    <row r="1626" spans="1:35">
      <c r="A1626">
        <f t="shared" si="213"/>
        <v>0</v>
      </c>
      <c r="B1626">
        <f t="shared" si="214"/>
        <v>0</v>
      </c>
      <c r="C1626">
        <f t="shared" si="215"/>
        <v>0</v>
      </c>
      <c r="D1626">
        <f t="shared" si="216"/>
        <v>1</v>
      </c>
      <c r="E1626">
        <f t="shared" si="217"/>
        <v>0</v>
      </c>
      <c r="F1626">
        <f t="shared" si="218"/>
        <v>1</v>
      </c>
      <c r="G1626">
        <f t="shared" si="219"/>
        <v>0</v>
      </c>
      <c r="H1626">
        <v>0</v>
      </c>
      <c r="I1626">
        <f t="shared" si="220"/>
        <v>0</v>
      </c>
      <c r="J1626">
        <f t="shared" si="212"/>
        <v>11.399534225463871</v>
      </c>
      <c r="K1626" t="s">
        <v>3190</v>
      </c>
      <c r="L1626" t="s">
        <v>3191</v>
      </c>
      <c r="M1626" t="s">
        <v>27</v>
      </c>
      <c r="N1626" t="s">
        <v>27</v>
      </c>
      <c r="O1626">
        <v>9.15</v>
      </c>
      <c r="P1626">
        <v>6.37042284011841</v>
      </c>
      <c r="Q1626">
        <v>6.8695230484008798</v>
      </c>
      <c r="R1626">
        <v>9.1899995803833008</v>
      </c>
      <c r="S1626">
        <v>7.9299998283386204</v>
      </c>
      <c r="T1626">
        <v>73.9423828125</v>
      </c>
      <c r="U1626" t="s">
        <v>27</v>
      </c>
      <c r="V1626">
        <v>-836999.9375</v>
      </c>
      <c r="W1626">
        <v>0.82070499658584595</v>
      </c>
      <c r="X1626">
        <v>7.0000000298023196E-2</v>
      </c>
      <c r="Y1626">
        <v>3.67213106155396</v>
      </c>
      <c r="Z1626">
        <v>4.5300111770629901</v>
      </c>
      <c r="AA1626">
        <v>9270000</v>
      </c>
      <c r="AB1626" t="s">
        <v>27</v>
      </c>
      <c r="AC1626" t="s">
        <v>27</v>
      </c>
      <c r="AD1626">
        <v>0.15000000596046401</v>
      </c>
      <c r="AE1626" t="s">
        <v>27</v>
      </c>
      <c r="AF1626">
        <v>10.5552417117852</v>
      </c>
      <c r="AG1626">
        <v>8368000</v>
      </c>
      <c r="AH1626">
        <v>74.171577453613295</v>
      </c>
      <c r="AI1626">
        <v>0.81472998857498202</v>
      </c>
    </row>
    <row r="1627" spans="1:35">
      <c r="A1627">
        <f t="shared" si="213"/>
        <v>1</v>
      </c>
      <c r="B1627">
        <f t="shared" si="214"/>
        <v>1</v>
      </c>
      <c r="C1627">
        <f t="shared" si="215"/>
        <v>1</v>
      </c>
      <c r="D1627">
        <f t="shared" si="216"/>
        <v>0</v>
      </c>
      <c r="E1627">
        <f t="shared" si="217"/>
        <v>0</v>
      </c>
      <c r="F1627">
        <f t="shared" si="218"/>
        <v>1</v>
      </c>
      <c r="G1627">
        <f t="shared" si="219"/>
        <v>1</v>
      </c>
      <c r="H1627">
        <v>0</v>
      </c>
      <c r="I1627">
        <f t="shared" si="220"/>
        <v>0</v>
      </c>
      <c r="J1627">
        <f t="shared" si="212"/>
        <v>11.355545997619629</v>
      </c>
      <c r="K1627" t="s">
        <v>784</v>
      </c>
      <c r="L1627" t="s">
        <v>785</v>
      </c>
      <c r="M1627" t="s">
        <v>27</v>
      </c>
      <c r="N1627" t="s">
        <v>27</v>
      </c>
      <c r="O1627">
        <v>6.09</v>
      </c>
      <c r="P1627" t="s">
        <v>27</v>
      </c>
      <c r="Q1627">
        <v>4.9803180694580096</v>
      </c>
      <c r="R1627">
        <v>5.9099998474121103</v>
      </c>
      <c r="S1627">
        <v>5.25</v>
      </c>
      <c r="T1627">
        <v>37.733421325683601</v>
      </c>
      <c r="U1627">
        <v>29.875726699829102</v>
      </c>
      <c r="V1627">
        <v>3076000</v>
      </c>
      <c r="W1627">
        <v>-17.918113708496101</v>
      </c>
      <c r="X1627">
        <v>9.00000035762787E-2</v>
      </c>
      <c r="Y1627">
        <v>-4.1846160888671902</v>
      </c>
      <c r="Z1627">
        <v>6.3752279281616202</v>
      </c>
      <c r="AA1627">
        <v>9388000</v>
      </c>
      <c r="AB1627" t="s">
        <v>27</v>
      </c>
      <c r="AC1627" t="s">
        <v>27</v>
      </c>
      <c r="AD1627">
        <v>5.0000000745058101E-2</v>
      </c>
      <c r="AE1627">
        <v>32.306720733642599</v>
      </c>
      <c r="AF1627">
        <v>4.1677226474560998</v>
      </c>
      <c r="AG1627">
        <v>10173000</v>
      </c>
      <c r="AH1627">
        <v>30.8016242980957</v>
      </c>
      <c r="AI1627">
        <v>1.60602903366089</v>
      </c>
    </row>
    <row r="1628" spans="1:35">
      <c r="A1628">
        <f t="shared" si="213"/>
        <v>1</v>
      </c>
      <c r="B1628">
        <f t="shared" si="214"/>
        <v>1</v>
      </c>
      <c r="C1628">
        <f t="shared" si="215"/>
        <v>1</v>
      </c>
      <c r="D1628">
        <f t="shared" si="216"/>
        <v>1</v>
      </c>
      <c r="E1628">
        <f t="shared" si="217"/>
        <v>0</v>
      </c>
      <c r="F1628">
        <f t="shared" si="218"/>
        <v>1</v>
      </c>
      <c r="G1628">
        <f t="shared" si="219"/>
        <v>0</v>
      </c>
      <c r="H1628">
        <v>0</v>
      </c>
      <c r="I1628">
        <f t="shared" si="220"/>
        <v>1</v>
      </c>
      <c r="J1628">
        <f t="shared" si="212"/>
        <v>11.31519007682801</v>
      </c>
      <c r="K1628" t="s">
        <v>2821</v>
      </c>
      <c r="L1628" t="s">
        <v>2822</v>
      </c>
      <c r="M1628" t="s">
        <v>27</v>
      </c>
      <c r="N1628" t="s">
        <v>27</v>
      </c>
      <c r="O1628">
        <v>23.43</v>
      </c>
      <c r="P1628">
        <v>4.5191321372985804</v>
      </c>
      <c r="Q1628">
        <v>3.7680199146270801</v>
      </c>
      <c r="R1628">
        <v>15.066666920979801</v>
      </c>
      <c r="S1628">
        <v>9.5</v>
      </c>
      <c r="T1628">
        <v>18.658445358276399</v>
      </c>
      <c r="U1628" t="s">
        <v>27</v>
      </c>
      <c r="V1628">
        <v>11986000</v>
      </c>
      <c r="W1628">
        <v>0.62352597713470503</v>
      </c>
      <c r="X1628">
        <v>0.13999999562899301</v>
      </c>
      <c r="Y1628">
        <v>6.8054299354553196</v>
      </c>
      <c r="Z1628">
        <v>7.5471701622009304</v>
      </c>
      <c r="AA1628">
        <v>6936000</v>
      </c>
      <c r="AB1628" t="s">
        <v>34</v>
      </c>
      <c r="AC1628" t="s">
        <v>35</v>
      </c>
      <c r="AD1628">
        <v>0.226666669050852</v>
      </c>
      <c r="AE1628" t="s">
        <v>27</v>
      </c>
      <c r="AF1628" t="s">
        <v>27</v>
      </c>
      <c r="AG1628">
        <v>7125000</v>
      </c>
      <c r="AH1628">
        <v>15.159289360046399</v>
      </c>
      <c r="AI1628">
        <v>0.65642797946929898</v>
      </c>
    </row>
    <row r="1629" spans="1:35">
      <c r="A1629">
        <f t="shared" si="213"/>
        <v>0</v>
      </c>
      <c r="B1629">
        <f t="shared" si="214"/>
        <v>1</v>
      </c>
      <c r="C1629">
        <f t="shared" si="215"/>
        <v>0</v>
      </c>
      <c r="D1629">
        <f t="shared" si="216"/>
        <v>1</v>
      </c>
      <c r="E1629">
        <f t="shared" si="217"/>
        <v>0</v>
      </c>
      <c r="F1629">
        <f t="shared" si="218"/>
        <v>1</v>
      </c>
      <c r="G1629">
        <f t="shared" si="219"/>
        <v>0</v>
      </c>
      <c r="H1629">
        <v>0</v>
      </c>
      <c r="I1629">
        <f t="shared" si="220"/>
        <v>0</v>
      </c>
      <c r="J1629">
        <f t="shared" si="212"/>
        <v>11.276398420333861</v>
      </c>
      <c r="K1629" t="s">
        <v>948</v>
      </c>
      <c r="L1629" t="s">
        <v>949</v>
      </c>
      <c r="M1629" t="s">
        <v>27</v>
      </c>
      <c r="N1629" t="s">
        <v>27</v>
      </c>
      <c r="O1629">
        <v>7.5</v>
      </c>
      <c r="P1629">
        <v>6.6931900978088397</v>
      </c>
      <c r="Q1629">
        <v>9.1268653869628906</v>
      </c>
      <c r="R1629">
        <v>10.6300001144409</v>
      </c>
      <c r="S1629">
        <v>10.939999580383301</v>
      </c>
      <c r="T1629">
        <v>29.7955131530762</v>
      </c>
      <c r="U1629" t="s">
        <v>27</v>
      </c>
      <c r="V1629">
        <v>-199999.8125</v>
      </c>
      <c r="W1629">
        <v>4.2257628440856898</v>
      </c>
      <c r="X1629">
        <v>2.9999999329447701E-2</v>
      </c>
      <c r="Y1629">
        <v>7.3411760330200204</v>
      </c>
      <c r="Z1629">
        <v>2.1495330333709699</v>
      </c>
      <c r="AA1629">
        <v>35516000</v>
      </c>
      <c r="AB1629" t="s">
        <v>27</v>
      </c>
      <c r="AC1629" t="s">
        <v>27</v>
      </c>
      <c r="AD1629">
        <v>0.119999997317791</v>
      </c>
      <c r="AE1629" t="s">
        <v>27</v>
      </c>
      <c r="AF1629">
        <v>11.5898867514597</v>
      </c>
      <c r="AG1629">
        <v>47248000</v>
      </c>
      <c r="AH1629">
        <v>58.506103515625</v>
      </c>
      <c r="AI1629">
        <v>6.9674530029296902</v>
      </c>
    </row>
    <row r="1630" spans="1:35">
      <c r="A1630">
        <f t="shared" si="213"/>
        <v>1</v>
      </c>
      <c r="B1630">
        <f t="shared" si="214"/>
        <v>1</v>
      </c>
      <c r="C1630">
        <f t="shared" si="215"/>
        <v>1</v>
      </c>
      <c r="D1630">
        <f t="shared" si="216"/>
        <v>1</v>
      </c>
      <c r="E1630">
        <f t="shared" si="217"/>
        <v>0</v>
      </c>
      <c r="F1630">
        <f t="shared" si="218"/>
        <v>1</v>
      </c>
      <c r="G1630">
        <f t="shared" si="219"/>
        <v>0</v>
      </c>
      <c r="H1630">
        <v>0</v>
      </c>
      <c r="I1630">
        <f t="shared" si="220"/>
        <v>0</v>
      </c>
      <c r="J1630">
        <f t="shared" si="212"/>
        <v>11.27099704742432</v>
      </c>
      <c r="K1630" t="s">
        <v>929</v>
      </c>
      <c r="L1630" t="s">
        <v>930</v>
      </c>
      <c r="M1630" t="s">
        <v>27</v>
      </c>
      <c r="N1630" t="s">
        <v>27</v>
      </c>
      <c r="O1630">
        <v>26.3</v>
      </c>
      <c r="P1630">
        <v>6.89646291732788</v>
      </c>
      <c r="Q1630">
        <v>6.9994239807128897</v>
      </c>
      <c r="R1630">
        <v>29.4799995422363</v>
      </c>
      <c r="S1630">
        <v>20.3333333333333</v>
      </c>
      <c r="T1630">
        <v>31.4246940612793</v>
      </c>
      <c r="U1630" t="s">
        <v>27</v>
      </c>
      <c r="V1630">
        <v>80999.8515625</v>
      </c>
      <c r="W1630">
        <v>3.6114580631256099</v>
      </c>
      <c r="X1630">
        <v>0.23333332935969001</v>
      </c>
      <c r="Y1630">
        <v>4.0310077667236301</v>
      </c>
      <c r="Z1630">
        <v>4.2715730667114302</v>
      </c>
      <c r="AA1630">
        <v>7266000</v>
      </c>
      <c r="AB1630" t="s">
        <v>254</v>
      </c>
      <c r="AC1630" t="s">
        <v>255</v>
      </c>
      <c r="AD1630">
        <v>0.38999998569488498</v>
      </c>
      <c r="AE1630" t="s">
        <v>27</v>
      </c>
      <c r="AF1630">
        <v>13.0808744106301</v>
      </c>
      <c r="AG1630">
        <v>7635000</v>
      </c>
      <c r="AH1630">
        <v>30.409645080566399</v>
      </c>
      <c r="AI1630">
        <v>3.6434860229492201</v>
      </c>
    </row>
    <row r="1631" spans="1:35">
      <c r="A1631">
        <f t="shared" si="213"/>
        <v>1</v>
      </c>
      <c r="B1631">
        <f t="shared" si="214"/>
        <v>0</v>
      </c>
      <c r="C1631">
        <f t="shared" si="215"/>
        <v>0</v>
      </c>
      <c r="D1631">
        <f t="shared" si="216"/>
        <v>0</v>
      </c>
      <c r="E1631">
        <f t="shared" si="217"/>
        <v>0</v>
      </c>
      <c r="F1631">
        <f t="shared" si="218"/>
        <v>1</v>
      </c>
      <c r="G1631">
        <f t="shared" si="219"/>
        <v>0</v>
      </c>
      <c r="H1631">
        <v>0</v>
      </c>
      <c r="I1631">
        <f t="shared" si="220"/>
        <v>0</v>
      </c>
      <c r="J1631">
        <f t="shared" ref="J1631:J1694" si="221">Z1631+Q1631</f>
        <v>11.266255855560299</v>
      </c>
      <c r="K1631" t="s">
        <v>694</v>
      </c>
      <c r="L1631" t="s">
        <v>695</v>
      </c>
      <c r="M1631" t="s">
        <v>27</v>
      </c>
      <c r="N1631" t="s">
        <v>27</v>
      </c>
      <c r="O1631">
        <v>11.39</v>
      </c>
      <c r="P1631">
        <v>8.6295623779296893</v>
      </c>
      <c r="Q1631">
        <v>6.28633689880371</v>
      </c>
      <c r="R1631">
        <v>15.1300001144409</v>
      </c>
      <c r="S1631">
        <v>12</v>
      </c>
      <c r="T1631">
        <v>29.175460815429702</v>
      </c>
      <c r="U1631">
        <v>20.157310485839801</v>
      </c>
      <c r="V1631">
        <v>-3955001.75</v>
      </c>
      <c r="W1631">
        <v>6.6498942375183097</v>
      </c>
      <c r="X1631">
        <v>0.28000000119209301</v>
      </c>
      <c r="Y1631">
        <v>6.7199997901916504</v>
      </c>
      <c r="Z1631">
        <v>4.97991895675659</v>
      </c>
      <c r="AA1631">
        <v>49479000</v>
      </c>
      <c r="AB1631" t="s">
        <v>194</v>
      </c>
      <c r="AC1631" t="s">
        <v>696</v>
      </c>
      <c r="AD1631">
        <v>0.25</v>
      </c>
      <c r="AE1631">
        <v>18.339450836181602</v>
      </c>
      <c r="AF1631">
        <v>6.4741402084855197</v>
      </c>
      <c r="AG1631">
        <v>49543000</v>
      </c>
      <c r="AH1631">
        <v>26.6373481750488</v>
      </c>
      <c r="AI1631">
        <v>5.31506395339966</v>
      </c>
    </row>
    <row r="1632" spans="1:35">
      <c r="A1632">
        <f t="shared" ref="A1632:A1695" si="222">IF(AH1632&lt;T1632,1,0)</f>
        <v>0</v>
      </c>
      <c r="B1632">
        <f t="shared" ref="B1632:B1695" si="223">IF(AI1632&gt;W1632,1,0)</f>
        <v>1</v>
      </c>
      <c r="C1632">
        <f t="shared" ref="C1632:C1695" si="224">IF(V1632&gt;0,1,0)</f>
        <v>1</v>
      </c>
      <c r="D1632">
        <f t="shared" ref="D1632:D1695" si="225">IF(AD1632&gt;X1632,1,0)</f>
        <v>1</v>
      </c>
      <c r="E1632">
        <f t="shared" ref="E1632:E1695" si="226">IF(AA1632=AG1632,1,0)</f>
        <v>0</v>
      </c>
      <c r="F1632">
        <f t="shared" ref="F1632:F1695" si="227">IF(AI1632&gt;0,1,0)</f>
        <v>1</v>
      </c>
      <c r="G1632">
        <f t="shared" ref="G1632:G1695" si="228">IF(AE1632&gt;U1632,1,0)</f>
        <v>1</v>
      </c>
      <c r="H1632">
        <v>0</v>
      </c>
      <c r="I1632">
        <f t="shared" ref="I1632:I1695" si="229">IF(((O1632-R1632)/R1632)&gt;0.075,1,0)</f>
        <v>0</v>
      </c>
      <c r="J1632">
        <f t="shared" si="221"/>
        <v>11.26118898391724</v>
      </c>
      <c r="K1632" t="s">
        <v>2262</v>
      </c>
      <c r="L1632" t="s">
        <v>2263</v>
      </c>
      <c r="M1632" t="s">
        <v>27</v>
      </c>
      <c r="N1632" t="s">
        <v>27</v>
      </c>
      <c r="O1632">
        <v>7.95</v>
      </c>
      <c r="P1632">
        <v>7.4319419860839799</v>
      </c>
      <c r="Q1632">
        <v>8.8427629470825195</v>
      </c>
      <c r="R1632">
        <v>19.25</v>
      </c>
      <c r="S1632">
        <v>22.6875</v>
      </c>
      <c r="T1632">
        <v>5.6551761627197301</v>
      </c>
      <c r="U1632">
        <v>30.869012832641602</v>
      </c>
      <c r="V1632">
        <v>446000</v>
      </c>
      <c r="W1632">
        <v>4.1942000389099103</v>
      </c>
      <c r="X1632">
        <v>7.5000002980232197E-2</v>
      </c>
      <c r="Y1632">
        <v>1.80983603000641</v>
      </c>
      <c r="Z1632">
        <v>2.4184260368347199</v>
      </c>
      <c r="AA1632">
        <v>27588000</v>
      </c>
      <c r="AB1632" t="s">
        <v>38</v>
      </c>
      <c r="AC1632" t="s">
        <v>118</v>
      </c>
      <c r="AD1632">
        <v>0.15999999642372101</v>
      </c>
      <c r="AE1632">
        <v>35.799381256103501</v>
      </c>
      <c r="AF1632">
        <v>14.4641271709596</v>
      </c>
      <c r="AG1632">
        <v>28248000</v>
      </c>
      <c r="AH1632">
        <v>8.08465576171875</v>
      </c>
      <c r="AI1632">
        <v>7.6674890518188503</v>
      </c>
    </row>
    <row r="1633" spans="1:35">
      <c r="A1633">
        <f t="shared" si="222"/>
        <v>1</v>
      </c>
      <c r="B1633">
        <f t="shared" si="223"/>
        <v>0</v>
      </c>
      <c r="C1633">
        <f t="shared" si="224"/>
        <v>1</v>
      </c>
      <c r="D1633">
        <f t="shared" si="225"/>
        <v>0</v>
      </c>
      <c r="E1633">
        <f t="shared" si="226"/>
        <v>0</v>
      </c>
      <c r="F1633">
        <f t="shared" si="227"/>
        <v>1</v>
      </c>
      <c r="G1633">
        <f t="shared" si="228"/>
        <v>0</v>
      </c>
      <c r="H1633">
        <v>0</v>
      </c>
      <c r="I1633">
        <f t="shared" si="229"/>
        <v>0</v>
      </c>
      <c r="J1633">
        <f t="shared" si="221"/>
        <v>11.220009803771969</v>
      </c>
      <c r="K1633" t="s">
        <v>2923</v>
      </c>
      <c r="L1633" t="s">
        <v>2924</v>
      </c>
      <c r="M1633" t="s">
        <v>27</v>
      </c>
      <c r="N1633" t="s">
        <v>27</v>
      </c>
      <c r="O1633">
        <v>19.2</v>
      </c>
      <c r="P1633">
        <v>7.44905710220337</v>
      </c>
      <c r="Q1633">
        <v>5.4117908477783203</v>
      </c>
      <c r="R1633">
        <v>21.840000152587901</v>
      </c>
      <c r="S1633">
        <v>17.799999237060501</v>
      </c>
      <c r="T1633">
        <v>49.519813537597699</v>
      </c>
      <c r="U1633">
        <v>25.996519088745099</v>
      </c>
      <c r="V1633">
        <v>22770000</v>
      </c>
      <c r="W1633">
        <v>7.7127251625061</v>
      </c>
      <c r="X1633">
        <v>0.40000000596046398</v>
      </c>
      <c r="Y1633">
        <v>10.377358436584499</v>
      </c>
      <c r="Z1633">
        <v>5.8082189559936497</v>
      </c>
      <c r="AA1633">
        <v>20995000</v>
      </c>
      <c r="AB1633" t="s">
        <v>61</v>
      </c>
      <c r="AC1633" t="s">
        <v>106</v>
      </c>
      <c r="AD1633">
        <v>0.230000004172325</v>
      </c>
      <c r="AE1633">
        <v>24.415929794311499</v>
      </c>
      <c r="AF1633">
        <v>9.3348536908087301</v>
      </c>
      <c r="AG1633">
        <v>20715000</v>
      </c>
      <c r="AH1633">
        <v>46.324783325195298</v>
      </c>
      <c r="AI1633">
        <v>5.2187581062316903</v>
      </c>
    </row>
    <row r="1634" spans="1:35">
      <c r="A1634">
        <f t="shared" si="222"/>
        <v>1</v>
      </c>
      <c r="B1634">
        <f t="shared" si="223"/>
        <v>0</v>
      </c>
      <c r="C1634">
        <f t="shared" si="224"/>
        <v>0</v>
      </c>
      <c r="D1634">
        <f t="shared" si="225"/>
        <v>1</v>
      </c>
      <c r="E1634">
        <f t="shared" si="226"/>
        <v>0</v>
      </c>
      <c r="F1634">
        <f t="shared" si="227"/>
        <v>1</v>
      </c>
      <c r="G1634">
        <f t="shared" si="228"/>
        <v>1</v>
      </c>
      <c r="H1634">
        <v>0</v>
      </c>
      <c r="I1634">
        <f t="shared" si="229"/>
        <v>0</v>
      </c>
      <c r="J1634">
        <f t="shared" si="221"/>
        <v>11.197866916656491</v>
      </c>
      <c r="K1634" t="s">
        <v>2891</v>
      </c>
      <c r="L1634" t="s">
        <v>2892</v>
      </c>
      <c r="M1634" t="s">
        <v>27</v>
      </c>
      <c r="N1634" t="s">
        <v>27</v>
      </c>
      <c r="O1634">
        <v>6.2</v>
      </c>
      <c r="P1634" t="s">
        <v>27</v>
      </c>
      <c r="Q1634">
        <v>6.0778670310974103</v>
      </c>
      <c r="R1634">
        <v>13.2200002670288</v>
      </c>
      <c r="S1634">
        <v>8.1875</v>
      </c>
      <c r="T1634">
        <v>66.089538574218807</v>
      </c>
      <c r="U1634">
        <v>35.316188812255902</v>
      </c>
      <c r="V1634">
        <v>-6330000</v>
      </c>
      <c r="W1634">
        <v>3.4514250755310099</v>
      </c>
      <c r="X1634">
        <v>0</v>
      </c>
      <c r="Y1634">
        <v>9.4720001220703107</v>
      </c>
      <c r="Z1634">
        <v>5.1199998855590803</v>
      </c>
      <c r="AA1634">
        <v>18599000</v>
      </c>
      <c r="AB1634" t="s">
        <v>27</v>
      </c>
      <c r="AC1634" t="s">
        <v>27</v>
      </c>
      <c r="AD1634">
        <v>0.20999999344348899</v>
      </c>
      <c r="AE1634">
        <v>38.220897674560497</v>
      </c>
      <c r="AF1634">
        <v>7.2594320841526496</v>
      </c>
      <c r="AG1634">
        <v>23887000</v>
      </c>
      <c r="AH1634">
        <v>55.559837341308601</v>
      </c>
      <c r="AI1634">
        <v>1.8168760538101201</v>
      </c>
    </row>
    <row r="1635" spans="1:35">
      <c r="A1635">
        <f t="shared" si="222"/>
        <v>0</v>
      </c>
      <c r="B1635">
        <f t="shared" si="223"/>
        <v>0</v>
      </c>
      <c r="C1635">
        <f t="shared" si="224"/>
        <v>1</v>
      </c>
      <c r="D1635">
        <f t="shared" si="225"/>
        <v>0</v>
      </c>
      <c r="E1635">
        <f t="shared" si="226"/>
        <v>0</v>
      </c>
      <c r="F1635">
        <f t="shared" si="227"/>
        <v>1</v>
      </c>
      <c r="G1635">
        <f t="shared" si="228"/>
        <v>0</v>
      </c>
      <c r="H1635">
        <v>0</v>
      </c>
      <c r="I1635">
        <f t="shared" si="229"/>
        <v>0</v>
      </c>
      <c r="J1635">
        <f t="shared" si="221"/>
        <v>11.15717601776123</v>
      </c>
      <c r="K1635" t="s">
        <v>1344</v>
      </c>
      <c r="L1635" t="s">
        <v>1345</v>
      </c>
      <c r="M1635" t="s">
        <v>27</v>
      </c>
      <c r="N1635" t="s">
        <v>27</v>
      </c>
      <c r="O1635">
        <v>17.88</v>
      </c>
      <c r="P1635">
        <v>5.0602498054504403</v>
      </c>
      <c r="Q1635">
        <v>4.1235370635986301</v>
      </c>
      <c r="R1635">
        <v>17.8801879882813</v>
      </c>
      <c r="S1635">
        <v>14.9375</v>
      </c>
      <c r="T1635">
        <v>18.6431274414063</v>
      </c>
      <c r="U1635" t="s">
        <v>27</v>
      </c>
      <c r="V1635">
        <v>5838000.5</v>
      </c>
      <c r="W1635">
        <v>1.55327200889587</v>
      </c>
      <c r="X1635">
        <v>0.31999999284744302</v>
      </c>
      <c r="Y1635">
        <v>7.8961038589477504</v>
      </c>
      <c r="Z1635">
        <v>7.0336389541626003</v>
      </c>
      <c r="AA1635">
        <v>31521000</v>
      </c>
      <c r="AB1635" t="s">
        <v>27</v>
      </c>
      <c r="AC1635" t="s">
        <v>27</v>
      </c>
      <c r="AD1635">
        <v>0.30000001192092901</v>
      </c>
      <c r="AE1635" t="s">
        <v>27</v>
      </c>
      <c r="AF1635" t="s">
        <v>27</v>
      </c>
      <c r="AG1635">
        <v>31223000</v>
      </c>
      <c r="AH1635">
        <v>24.072029113769499</v>
      </c>
      <c r="AI1635">
        <v>0.88529300689697299</v>
      </c>
    </row>
    <row r="1636" spans="1:35">
      <c r="A1636">
        <f t="shared" si="222"/>
        <v>1</v>
      </c>
      <c r="B1636">
        <f t="shared" si="223"/>
        <v>0</v>
      </c>
      <c r="C1636">
        <f t="shared" si="224"/>
        <v>1</v>
      </c>
      <c r="D1636">
        <f t="shared" si="225"/>
        <v>1</v>
      </c>
      <c r="E1636">
        <f t="shared" si="226"/>
        <v>0</v>
      </c>
      <c r="F1636">
        <f t="shared" si="227"/>
        <v>1</v>
      </c>
      <c r="G1636">
        <f t="shared" si="228"/>
        <v>0</v>
      </c>
      <c r="H1636">
        <v>0</v>
      </c>
      <c r="I1636">
        <f t="shared" si="229"/>
        <v>0</v>
      </c>
      <c r="J1636">
        <f t="shared" si="221"/>
        <v>11.144027948379509</v>
      </c>
      <c r="K1636" t="s">
        <v>3306</v>
      </c>
      <c r="L1636" t="s">
        <v>3307</v>
      </c>
      <c r="M1636" t="s">
        <v>27</v>
      </c>
      <c r="N1636" t="s">
        <v>27</v>
      </c>
      <c r="O1636">
        <v>18.38</v>
      </c>
      <c r="P1636">
        <v>1.8646719455719001</v>
      </c>
      <c r="Q1636">
        <v>2.5030539035797101</v>
      </c>
      <c r="R1636">
        <v>19.399999618530298</v>
      </c>
      <c r="S1636">
        <v>11.8800001144409</v>
      </c>
      <c r="T1636">
        <v>41.873439788818402</v>
      </c>
      <c r="U1636" t="s">
        <v>27</v>
      </c>
      <c r="V1636">
        <v>25569000</v>
      </c>
      <c r="W1636">
        <v>1.27929699420929</v>
      </c>
      <c r="X1636">
        <v>0.20499999821186099</v>
      </c>
      <c r="Y1636">
        <v>7.1500000953674299</v>
      </c>
      <c r="Z1636">
        <v>8.6409740447997994</v>
      </c>
      <c r="AA1636">
        <v>65764000</v>
      </c>
      <c r="AB1636" t="s">
        <v>27</v>
      </c>
      <c r="AC1636" t="s">
        <v>27</v>
      </c>
      <c r="AD1636">
        <v>0.37000000476837203</v>
      </c>
      <c r="AE1636" t="s">
        <v>27</v>
      </c>
      <c r="AF1636" t="s">
        <v>27</v>
      </c>
      <c r="AG1636">
        <v>58646000</v>
      </c>
      <c r="AH1636">
        <v>41.5548286437988</v>
      </c>
      <c r="AI1636">
        <v>1.1084280014038099</v>
      </c>
    </row>
    <row r="1637" spans="1:35">
      <c r="A1637">
        <f t="shared" si="222"/>
        <v>1</v>
      </c>
      <c r="B1637">
        <f t="shared" si="223"/>
        <v>1</v>
      </c>
      <c r="C1637">
        <f t="shared" si="224"/>
        <v>1</v>
      </c>
      <c r="D1637">
        <f t="shared" si="225"/>
        <v>1</v>
      </c>
      <c r="E1637">
        <f t="shared" si="226"/>
        <v>0</v>
      </c>
      <c r="F1637">
        <f t="shared" si="227"/>
        <v>1</v>
      </c>
      <c r="G1637">
        <f t="shared" si="228"/>
        <v>0</v>
      </c>
      <c r="H1637">
        <v>0</v>
      </c>
      <c r="I1637">
        <f t="shared" si="229"/>
        <v>1</v>
      </c>
      <c r="J1637">
        <f t="shared" si="221"/>
        <v>11.116631746292111</v>
      </c>
      <c r="K1637" t="s">
        <v>284</v>
      </c>
      <c r="L1637" t="s">
        <v>285</v>
      </c>
      <c r="M1637" t="s">
        <v>27</v>
      </c>
      <c r="N1637" t="s">
        <v>27</v>
      </c>
      <c r="O1637">
        <v>20.97</v>
      </c>
      <c r="P1637">
        <v>2.8042080402374299</v>
      </c>
      <c r="Q1637">
        <v>3.2250659465789799</v>
      </c>
      <c r="R1637">
        <v>18</v>
      </c>
      <c r="S1637">
        <v>15.875</v>
      </c>
      <c r="T1637">
        <v>27.0499267578125</v>
      </c>
      <c r="U1637" t="s">
        <v>27</v>
      </c>
      <c r="V1637">
        <v>19111000</v>
      </c>
      <c r="W1637">
        <v>0.69963997602462802</v>
      </c>
      <c r="X1637">
        <v>0.28999999165535001</v>
      </c>
      <c r="Y1637">
        <v>7.20318698883057</v>
      </c>
      <c r="Z1637">
        <v>7.8915657997131303</v>
      </c>
      <c r="AA1637">
        <v>22996000</v>
      </c>
      <c r="AB1637" t="s">
        <v>27</v>
      </c>
      <c r="AC1637" t="s">
        <v>27</v>
      </c>
      <c r="AD1637">
        <v>0.37999999523162797</v>
      </c>
      <c r="AE1637" t="s">
        <v>27</v>
      </c>
      <c r="AF1637" t="s">
        <v>27</v>
      </c>
      <c r="AG1637">
        <v>22175000</v>
      </c>
      <c r="AH1637">
        <v>19.350404739379901</v>
      </c>
      <c r="AI1637">
        <v>0.89348101615905795</v>
      </c>
    </row>
    <row r="1638" spans="1:35">
      <c r="A1638">
        <f t="shared" si="222"/>
        <v>0</v>
      </c>
      <c r="B1638">
        <f t="shared" si="223"/>
        <v>1</v>
      </c>
      <c r="C1638">
        <f t="shared" si="224"/>
        <v>0</v>
      </c>
      <c r="D1638">
        <f t="shared" si="225"/>
        <v>0</v>
      </c>
      <c r="E1638">
        <f t="shared" si="226"/>
        <v>0</v>
      </c>
      <c r="F1638">
        <f t="shared" si="227"/>
        <v>1</v>
      </c>
      <c r="G1638">
        <f t="shared" si="228"/>
        <v>0</v>
      </c>
      <c r="H1638">
        <v>0</v>
      </c>
      <c r="I1638">
        <f t="shared" si="229"/>
        <v>0</v>
      </c>
      <c r="J1638">
        <f t="shared" si="221"/>
        <v>11.11483907699585</v>
      </c>
      <c r="K1638" t="s">
        <v>3919</v>
      </c>
      <c r="L1638" t="s">
        <v>3920</v>
      </c>
      <c r="M1638" t="s">
        <v>27</v>
      </c>
      <c r="N1638" t="s">
        <v>27</v>
      </c>
      <c r="O1638">
        <v>16.53</v>
      </c>
      <c r="P1638">
        <v>6.9841241836547896</v>
      </c>
      <c r="Q1638">
        <v>6.08011722564697</v>
      </c>
      <c r="R1638">
        <v>25.75</v>
      </c>
      <c r="S1638">
        <v>37</v>
      </c>
      <c r="T1638">
        <v>34.4420166015625</v>
      </c>
      <c r="U1638">
        <v>44.480419158935497</v>
      </c>
      <c r="V1638">
        <v>-1597999.625</v>
      </c>
      <c r="W1638">
        <v>3.5735518932342498</v>
      </c>
      <c r="X1638">
        <v>0.5</v>
      </c>
      <c r="Y1638">
        <v>2.5861890316009499</v>
      </c>
      <c r="Z1638">
        <v>5.0347218513488796</v>
      </c>
      <c r="AA1638">
        <v>40185000</v>
      </c>
      <c r="AB1638" t="s">
        <v>27</v>
      </c>
      <c r="AC1638" t="s">
        <v>27</v>
      </c>
      <c r="AD1638">
        <v>0.15999999642372101</v>
      </c>
      <c r="AE1638">
        <v>40.395378112792997</v>
      </c>
      <c r="AF1638">
        <v>11.140704461474</v>
      </c>
      <c r="AG1638">
        <v>42740332</v>
      </c>
      <c r="AH1638">
        <v>38.338985443115199</v>
      </c>
      <c r="AI1638">
        <v>4.0067839622497603</v>
      </c>
    </row>
    <row r="1639" spans="1:35">
      <c r="A1639">
        <f t="shared" si="222"/>
        <v>1</v>
      </c>
      <c r="B1639">
        <f t="shared" si="223"/>
        <v>0</v>
      </c>
      <c r="C1639">
        <f t="shared" si="224"/>
        <v>1</v>
      </c>
      <c r="D1639">
        <f t="shared" si="225"/>
        <v>0</v>
      </c>
      <c r="E1639">
        <f t="shared" si="226"/>
        <v>0</v>
      </c>
      <c r="F1639">
        <f t="shared" si="227"/>
        <v>1</v>
      </c>
      <c r="G1639">
        <f t="shared" si="228"/>
        <v>0</v>
      </c>
      <c r="H1639">
        <v>0</v>
      </c>
      <c r="I1639">
        <f t="shared" si="229"/>
        <v>0</v>
      </c>
      <c r="J1639">
        <f t="shared" si="221"/>
        <v>11.098703861236579</v>
      </c>
      <c r="K1639" t="s">
        <v>744</v>
      </c>
      <c r="L1639" t="s">
        <v>745</v>
      </c>
      <c r="M1639" t="s">
        <v>27</v>
      </c>
      <c r="N1639" t="s">
        <v>27</v>
      </c>
      <c r="O1639">
        <v>17.13</v>
      </c>
      <c r="P1639">
        <v>5.9468579292297399</v>
      </c>
      <c r="Q1639">
        <v>5.2373747825622603</v>
      </c>
      <c r="R1639">
        <v>19.819999694824201</v>
      </c>
      <c r="S1639">
        <v>22.600000381469702</v>
      </c>
      <c r="T1639">
        <v>41.0146675109863</v>
      </c>
      <c r="U1639">
        <v>20.8416652679443</v>
      </c>
      <c r="V1639">
        <v>8084999.5</v>
      </c>
      <c r="W1639">
        <v>3.4921948909759499</v>
      </c>
      <c r="X1639">
        <v>0.17000000178813901</v>
      </c>
      <c r="Y1639">
        <v>5.5520510673522896</v>
      </c>
      <c r="Z1639">
        <v>5.86132907867432</v>
      </c>
      <c r="AA1639">
        <v>36330000</v>
      </c>
      <c r="AB1639" t="s">
        <v>27</v>
      </c>
      <c r="AC1639" t="s">
        <v>27</v>
      </c>
      <c r="AD1639">
        <v>2.9999999329447701E-2</v>
      </c>
      <c r="AE1639">
        <v>17.2164096832275</v>
      </c>
      <c r="AF1639">
        <v>8.8140932039460704</v>
      </c>
      <c r="AG1639">
        <v>35792000</v>
      </c>
      <c r="AH1639">
        <v>39.160953521728501</v>
      </c>
      <c r="AI1639">
        <v>2.5734798908233598</v>
      </c>
    </row>
    <row r="1640" spans="1:35">
      <c r="A1640">
        <f t="shared" si="222"/>
        <v>0</v>
      </c>
      <c r="B1640">
        <f t="shared" si="223"/>
        <v>0</v>
      </c>
      <c r="C1640">
        <f t="shared" si="224"/>
        <v>0</v>
      </c>
      <c r="D1640">
        <f t="shared" si="225"/>
        <v>1</v>
      </c>
      <c r="E1640">
        <f t="shared" si="226"/>
        <v>1</v>
      </c>
      <c r="F1640">
        <f t="shared" si="227"/>
        <v>1</v>
      </c>
      <c r="G1640">
        <f t="shared" si="228"/>
        <v>1</v>
      </c>
      <c r="H1640">
        <v>0</v>
      </c>
      <c r="I1640">
        <f t="shared" si="229"/>
        <v>0</v>
      </c>
      <c r="J1640">
        <f t="shared" si="221"/>
        <v>11.09346294403076</v>
      </c>
      <c r="K1640" t="s">
        <v>3192</v>
      </c>
      <c r="L1640" t="s">
        <v>3193</v>
      </c>
      <c r="M1640" t="s">
        <v>27</v>
      </c>
      <c r="N1640" t="s">
        <v>27</v>
      </c>
      <c r="O1640">
        <v>79.239999999999995</v>
      </c>
      <c r="P1640">
        <v>6.2786631584167498</v>
      </c>
      <c r="Q1640">
        <v>5.92862796783447</v>
      </c>
      <c r="R1640">
        <v>80.349998474121094</v>
      </c>
      <c r="S1640">
        <v>97.989997863769503</v>
      </c>
      <c r="T1640">
        <v>25.201898574829102</v>
      </c>
      <c r="U1640">
        <v>69.804237365722699</v>
      </c>
      <c r="V1640">
        <v>-4408000</v>
      </c>
      <c r="W1640">
        <v>4.3410348892211896</v>
      </c>
      <c r="X1640">
        <v>1.62999999523163</v>
      </c>
      <c r="Y1640">
        <v>3.3684210777282702</v>
      </c>
      <c r="Z1640">
        <v>5.16483497619629</v>
      </c>
      <c r="AA1640">
        <v>3045000</v>
      </c>
      <c r="AB1640" t="s">
        <v>254</v>
      </c>
      <c r="AC1640" t="s">
        <v>255</v>
      </c>
      <c r="AD1640">
        <v>2.0999999046325701</v>
      </c>
      <c r="AE1640">
        <v>95.029647827148395</v>
      </c>
      <c r="AF1640">
        <v>8.3282706010020604</v>
      </c>
      <c r="AG1640">
        <v>3045000</v>
      </c>
      <c r="AH1640">
        <v>25.488746643066399</v>
      </c>
      <c r="AI1640">
        <v>2.7905809879303001</v>
      </c>
    </row>
    <row r="1641" spans="1:35">
      <c r="A1641">
        <f t="shared" si="222"/>
        <v>1</v>
      </c>
      <c r="B1641">
        <f t="shared" si="223"/>
        <v>0</v>
      </c>
      <c r="C1641">
        <f t="shared" si="224"/>
        <v>0</v>
      </c>
      <c r="D1641">
        <f t="shared" si="225"/>
        <v>1</v>
      </c>
      <c r="E1641">
        <f t="shared" si="226"/>
        <v>0</v>
      </c>
      <c r="F1641">
        <f t="shared" si="227"/>
        <v>1</v>
      </c>
      <c r="G1641">
        <f t="shared" si="228"/>
        <v>0</v>
      </c>
      <c r="H1641">
        <v>0</v>
      </c>
      <c r="I1641">
        <f t="shared" si="229"/>
        <v>0</v>
      </c>
      <c r="J1641">
        <f t="shared" si="221"/>
        <v>11.08540320396423</v>
      </c>
      <c r="K1641" t="s">
        <v>3625</v>
      </c>
      <c r="L1641" t="s">
        <v>3626</v>
      </c>
      <c r="M1641" t="s">
        <v>27</v>
      </c>
      <c r="N1641" t="s">
        <v>27</v>
      </c>
      <c r="O1641">
        <v>38.19</v>
      </c>
      <c r="P1641">
        <v>3.6038119792938201</v>
      </c>
      <c r="Q1641">
        <v>3.54323410987854</v>
      </c>
      <c r="R1641">
        <v>39.880001068115199</v>
      </c>
      <c r="S1641">
        <v>35.119047619047599</v>
      </c>
      <c r="T1641">
        <v>13.3544101715088</v>
      </c>
      <c r="U1641" t="s">
        <v>27</v>
      </c>
      <c r="V1641">
        <v>-38625000</v>
      </c>
      <c r="W1641" t="s">
        <v>27</v>
      </c>
      <c r="X1641">
        <v>0.73333331516810796</v>
      </c>
      <c r="Y1641">
        <v>8.2147645950317401</v>
      </c>
      <c r="Z1641">
        <v>7.5421690940856898</v>
      </c>
      <c r="AA1641">
        <v>22422750</v>
      </c>
      <c r="AB1641" t="s">
        <v>34</v>
      </c>
      <c r="AC1641" t="s">
        <v>35</v>
      </c>
      <c r="AD1641">
        <v>0.76190477325802797</v>
      </c>
      <c r="AE1641" t="s">
        <v>27</v>
      </c>
      <c r="AF1641" t="s">
        <v>27</v>
      </c>
      <c r="AG1641">
        <v>22201200</v>
      </c>
      <c r="AH1641">
        <v>13.0514984130859</v>
      </c>
      <c r="AI1641" t="s">
        <v>27</v>
      </c>
    </row>
    <row r="1642" spans="1:35">
      <c r="A1642">
        <f t="shared" si="222"/>
        <v>0</v>
      </c>
      <c r="B1642">
        <f t="shared" si="223"/>
        <v>0</v>
      </c>
      <c r="C1642">
        <f t="shared" si="224"/>
        <v>0</v>
      </c>
      <c r="D1642">
        <f t="shared" si="225"/>
        <v>1</v>
      </c>
      <c r="E1642">
        <f t="shared" si="226"/>
        <v>0</v>
      </c>
      <c r="F1642">
        <f t="shared" si="227"/>
        <v>1</v>
      </c>
      <c r="G1642">
        <f t="shared" si="228"/>
        <v>1</v>
      </c>
      <c r="H1642">
        <v>0</v>
      </c>
      <c r="I1642">
        <f t="shared" si="229"/>
        <v>0</v>
      </c>
      <c r="J1642">
        <f t="shared" si="221"/>
        <v>11.082760810852051</v>
      </c>
      <c r="K1642" t="s">
        <v>1780</v>
      </c>
      <c r="L1642" t="s">
        <v>1781</v>
      </c>
      <c r="M1642" t="s">
        <v>27</v>
      </c>
      <c r="N1642" t="s">
        <v>27</v>
      </c>
      <c r="O1642">
        <v>11.49</v>
      </c>
      <c r="P1642">
        <v>4.8010010719299299</v>
      </c>
      <c r="Q1642">
        <v>4.4994277954101598</v>
      </c>
      <c r="R1642">
        <v>11.5</v>
      </c>
      <c r="S1642">
        <v>11.5</v>
      </c>
      <c r="T1642">
        <v>55.578380584716797</v>
      </c>
      <c r="U1642">
        <v>25.775917053222699</v>
      </c>
      <c r="V1642">
        <v>-4825275.5</v>
      </c>
      <c r="W1642">
        <v>2.3422210216522199</v>
      </c>
      <c r="X1642">
        <v>0.18000000715255701</v>
      </c>
      <c r="Y1642">
        <v>8.4545459747314506</v>
      </c>
      <c r="Z1642">
        <v>6.5833330154418901</v>
      </c>
      <c r="AA1642">
        <v>22577700</v>
      </c>
      <c r="AB1642" t="s">
        <v>194</v>
      </c>
      <c r="AC1642" t="s">
        <v>696</v>
      </c>
      <c r="AD1642">
        <v>0.18999999761581399</v>
      </c>
      <c r="AE1642">
        <v>26.388486862182599</v>
      </c>
      <c r="AF1642">
        <v>7.4426895134865099</v>
      </c>
      <c r="AG1642">
        <v>22640000</v>
      </c>
      <c r="AH1642">
        <v>57.077793121337898</v>
      </c>
      <c r="AI1642">
        <v>1.88832199573517</v>
      </c>
    </row>
    <row r="1643" spans="1:35">
      <c r="A1643">
        <f t="shared" si="222"/>
        <v>0</v>
      </c>
      <c r="B1643">
        <f t="shared" si="223"/>
        <v>0</v>
      </c>
      <c r="C1643">
        <f t="shared" si="224"/>
        <v>1</v>
      </c>
      <c r="D1643">
        <f t="shared" si="225"/>
        <v>1</v>
      </c>
      <c r="E1643">
        <f t="shared" si="226"/>
        <v>0</v>
      </c>
      <c r="F1643">
        <f t="shared" si="227"/>
        <v>1</v>
      </c>
      <c r="G1643">
        <f t="shared" si="228"/>
        <v>0</v>
      </c>
      <c r="H1643">
        <v>0</v>
      </c>
      <c r="I1643">
        <f t="shared" si="229"/>
        <v>0</v>
      </c>
      <c r="J1643">
        <f t="shared" si="221"/>
        <v>11.067944049835202</v>
      </c>
      <c r="K1643" t="s">
        <v>2835</v>
      </c>
      <c r="L1643" t="s">
        <v>2836</v>
      </c>
      <c r="M1643" t="s">
        <v>27</v>
      </c>
      <c r="N1643" t="s">
        <v>27</v>
      </c>
      <c r="O1643">
        <v>24.09</v>
      </c>
      <c r="P1643" t="s">
        <v>27</v>
      </c>
      <c r="Q1643">
        <v>3.7709579467773402</v>
      </c>
      <c r="R1643">
        <v>24.4799995422363</v>
      </c>
      <c r="S1643">
        <v>22.738095238095202</v>
      </c>
      <c r="T1643">
        <v>23.389245986938501</v>
      </c>
      <c r="U1643" t="s">
        <v>27</v>
      </c>
      <c r="V1643">
        <v>7168000</v>
      </c>
      <c r="W1643">
        <v>0.903752982616425</v>
      </c>
      <c r="X1643">
        <v>0.29523809750874802</v>
      </c>
      <c r="Y1643">
        <v>8.6783227920532209</v>
      </c>
      <c r="Z1643">
        <v>7.2969861030578604</v>
      </c>
      <c r="AA1643">
        <v>28410988.199999999</v>
      </c>
      <c r="AB1643" t="s">
        <v>27</v>
      </c>
      <c r="AC1643" t="s">
        <v>27</v>
      </c>
      <c r="AD1643">
        <v>0.41999998688697798</v>
      </c>
      <c r="AE1643" t="s">
        <v>27</v>
      </c>
      <c r="AF1643" t="s">
        <v>27</v>
      </c>
      <c r="AG1643">
        <v>25645000</v>
      </c>
      <c r="AH1643">
        <v>24.927556991577099</v>
      </c>
      <c r="AI1643">
        <v>0.749580979347229</v>
      </c>
    </row>
    <row r="1644" spans="1:35">
      <c r="A1644">
        <f t="shared" si="222"/>
        <v>0</v>
      </c>
      <c r="B1644">
        <f t="shared" si="223"/>
        <v>1</v>
      </c>
      <c r="C1644">
        <f t="shared" si="224"/>
        <v>0</v>
      </c>
      <c r="D1644">
        <f t="shared" si="225"/>
        <v>0</v>
      </c>
      <c r="E1644">
        <f t="shared" si="226"/>
        <v>0</v>
      </c>
      <c r="F1644">
        <f t="shared" si="227"/>
        <v>1</v>
      </c>
      <c r="G1644">
        <f t="shared" si="228"/>
        <v>0</v>
      </c>
      <c r="H1644">
        <v>0</v>
      </c>
      <c r="I1644">
        <f t="shared" si="229"/>
        <v>0</v>
      </c>
      <c r="J1644">
        <f t="shared" si="221"/>
        <v>11.053330421447759</v>
      </c>
      <c r="K1644" t="s">
        <v>776</v>
      </c>
      <c r="L1644" t="s">
        <v>777</v>
      </c>
      <c r="M1644" t="s">
        <v>27</v>
      </c>
      <c r="N1644" t="s">
        <v>27</v>
      </c>
      <c r="O1644">
        <v>3.36</v>
      </c>
      <c r="P1644">
        <v>9.8512096405029297</v>
      </c>
      <c r="Q1644">
        <v>4.7375411987304696</v>
      </c>
      <c r="R1644">
        <v>5.8899998664856001</v>
      </c>
      <c r="S1644">
        <v>7</v>
      </c>
      <c r="T1644">
        <v>13.587038993835399</v>
      </c>
      <c r="U1644">
        <v>30.383172988891602</v>
      </c>
      <c r="V1644">
        <v>-26541000</v>
      </c>
      <c r="W1644">
        <v>6.1327919960021999</v>
      </c>
      <c r="X1644">
        <v>7.9999998211860698E-2</v>
      </c>
      <c r="Y1644">
        <v>8.7272729873657209</v>
      </c>
      <c r="Z1644">
        <v>6.3157892227172896</v>
      </c>
      <c r="AA1644">
        <v>101211416</v>
      </c>
      <c r="AB1644" t="s">
        <v>27</v>
      </c>
      <c r="AC1644" t="s">
        <v>27</v>
      </c>
      <c r="AD1644">
        <v>0</v>
      </c>
      <c r="AE1644">
        <v>27.902854919433601</v>
      </c>
      <c r="AF1644">
        <v>3.1928541372502299</v>
      </c>
      <c r="AG1644">
        <v>110933712</v>
      </c>
      <c r="AH1644">
        <v>28.1384162902832</v>
      </c>
      <c r="AI1644">
        <v>6.2407369613647496</v>
      </c>
    </row>
    <row r="1645" spans="1:35">
      <c r="A1645">
        <f t="shared" si="222"/>
        <v>1</v>
      </c>
      <c r="B1645">
        <f t="shared" si="223"/>
        <v>0</v>
      </c>
      <c r="C1645">
        <f t="shared" si="224"/>
        <v>0</v>
      </c>
      <c r="D1645">
        <f t="shared" si="225"/>
        <v>0</v>
      </c>
      <c r="E1645">
        <f t="shared" si="226"/>
        <v>0</v>
      </c>
      <c r="F1645">
        <f t="shared" si="227"/>
        <v>1</v>
      </c>
      <c r="G1645">
        <f t="shared" si="228"/>
        <v>1</v>
      </c>
      <c r="H1645">
        <v>0</v>
      </c>
      <c r="I1645">
        <f t="shared" si="229"/>
        <v>0</v>
      </c>
      <c r="J1645">
        <f t="shared" si="221"/>
        <v>11.05191707611084</v>
      </c>
      <c r="K1645" t="s">
        <v>3248</v>
      </c>
      <c r="L1645" t="s">
        <v>3249</v>
      </c>
      <c r="M1645" t="s">
        <v>27</v>
      </c>
      <c r="N1645" t="s">
        <v>27</v>
      </c>
      <c r="O1645">
        <v>13.31</v>
      </c>
      <c r="P1645">
        <v>8.0205192565918004</v>
      </c>
      <c r="Q1645">
        <v>6.6608691215515101</v>
      </c>
      <c r="R1645">
        <v>13.3333333333333</v>
      </c>
      <c r="S1645">
        <v>11.3378684807256</v>
      </c>
      <c r="T1645">
        <v>28.572019577026399</v>
      </c>
      <c r="U1645">
        <v>24.974256515502901</v>
      </c>
      <c r="V1645">
        <v>-3038000</v>
      </c>
      <c r="W1645">
        <v>4.2649250030517596</v>
      </c>
      <c r="X1645">
        <v>0.239455791828043</v>
      </c>
      <c r="Y1645">
        <v>5.6113739013671902</v>
      </c>
      <c r="Z1645">
        <v>4.3910479545593297</v>
      </c>
      <c r="AA1645">
        <v>9400190.625</v>
      </c>
      <c r="AB1645" t="s">
        <v>27</v>
      </c>
      <c r="AC1645" t="s">
        <v>27</v>
      </c>
      <c r="AD1645">
        <v>0.238095238095238</v>
      </c>
      <c r="AE1645">
        <v>27.607303619384801</v>
      </c>
      <c r="AF1645" t="s">
        <v>27</v>
      </c>
      <c r="AG1645">
        <v>9629550</v>
      </c>
      <c r="AH1645">
        <v>28.207645416259801</v>
      </c>
      <c r="AI1645">
        <v>2.8498070240020801</v>
      </c>
    </row>
    <row r="1646" spans="1:35">
      <c r="A1646">
        <f t="shared" si="222"/>
        <v>1</v>
      </c>
      <c r="B1646">
        <f t="shared" si="223"/>
        <v>0</v>
      </c>
      <c r="C1646">
        <f t="shared" si="224"/>
        <v>1</v>
      </c>
      <c r="D1646">
        <f t="shared" si="225"/>
        <v>0</v>
      </c>
      <c r="E1646">
        <f t="shared" si="226"/>
        <v>0</v>
      </c>
      <c r="F1646">
        <f t="shared" si="227"/>
        <v>1</v>
      </c>
      <c r="G1646">
        <f t="shared" si="228"/>
        <v>0</v>
      </c>
      <c r="H1646">
        <v>0</v>
      </c>
      <c r="I1646">
        <f t="shared" si="229"/>
        <v>0</v>
      </c>
      <c r="J1646">
        <f t="shared" si="221"/>
        <v>11.034958362579349</v>
      </c>
      <c r="K1646" t="s">
        <v>2446</v>
      </c>
      <c r="L1646" t="s">
        <v>2447</v>
      </c>
      <c r="M1646" t="s">
        <v>27</v>
      </c>
      <c r="N1646" t="s">
        <v>27</v>
      </c>
      <c r="O1646">
        <v>8.61</v>
      </c>
      <c r="P1646">
        <v>8.0919494628906303</v>
      </c>
      <c r="Q1646">
        <v>5.9890861511230504</v>
      </c>
      <c r="R1646">
        <v>10.0900001525879</v>
      </c>
      <c r="S1646">
        <v>8.5</v>
      </c>
      <c r="T1646">
        <v>38.574184417724602</v>
      </c>
      <c r="U1646">
        <v>29.594066619873001</v>
      </c>
      <c r="V1646">
        <v>8352000</v>
      </c>
      <c r="W1646">
        <v>9.8076763153076207</v>
      </c>
      <c r="X1646">
        <v>0.15999999642372101</v>
      </c>
      <c r="Y1646">
        <v>6.5555558204650897</v>
      </c>
      <c r="Z1646">
        <v>5.0458722114562997</v>
      </c>
      <c r="AA1646">
        <v>15247000</v>
      </c>
      <c r="AB1646" t="s">
        <v>61</v>
      </c>
      <c r="AC1646" t="s">
        <v>101</v>
      </c>
      <c r="AD1646">
        <v>5.0000000745058101E-2</v>
      </c>
      <c r="AE1646">
        <v>22.752254486083999</v>
      </c>
      <c r="AF1646">
        <v>7.5447158869043296</v>
      </c>
      <c r="AG1646">
        <v>15297000</v>
      </c>
      <c r="AH1646">
        <v>31.8518886566162</v>
      </c>
      <c r="AI1646">
        <v>7.1547551155090297</v>
      </c>
    </row>
    <row r="1647" spans="1:35">
      <c r="A1647">
        <f t="shared" si="222"/>
        <v>1</v>
      </c>
      <c r="B1647">
        <f t="shared" si="223"/>
        <v>0</v>
      </c>
      <c r="C1647">
        <f t="shared" si="224"/>
        <v>1</v>
      </c>
      <c r="D1647">
        <f t="shared" si="225"/>
        <v>0</v>
      </c>
      <c r="E1647">
        <f t="shared" si="226"/>
        <v>0</v>
      </c>
      <c r="F1647">
        <f t="shared" si="227"/>
        <v>1</v>
      </c>
      <c r="G1647">
        <f t="shared" si="228"/>
        <v>0</v>
      </c>
      <c r="H1647">
        <v>0</v>
      </c>
      <c r="I1647">
        <f t="shared" si="229"/>
        <v>0</v>
      </c>
      <c r="J1647">
        <f t="shared" si="221"/>
        <v>11.03468704223633</v>
      </c>
      <c r="K1647" t="s">
        <v>3083</v>
      </c>
      <c r="L1647" t="s">
        <v>3084</v>
      </c>
      <c r="M1647" t="s">
        <v>27</v>
      </c>
      <c r="N1647" t="s">
        <v>27</v>
      </c>
      <c r="O1647">
        <v>9.65</v>
      </c>
      <c r="P1647">
        <v>10.4203147888184</v>
      </c>
      <c r="Q1647">
        <v>6.9737730026245099</v>
      </c>
      <c r="R1647">
        <v>10.300000190734901</v>
      </c>
      <c r="S1647">
        <v>9.0600004196166992</v>
      </c>
      <c r="T1647">
        <v>41.812408447265597</v>
      </c>
      <c r="U1647">
        <v>40.7971382141113</v>
      </c>
      <c r="V1647">
        <v>2161999.75</v>
      </c>
      <c r="W1647">
        <v>7.4725041389465297</v>
      </c>
      <c r="X1647">
        <v>0.17000000178813901</v>
      </c>
      <c r="Y1647">
        <v>6.8108110427856401</v>
      </c>
      <c r="Z1647">
        <v>4.06091403961182</v>
      </c>
      <c r="AA1647">
        <v>21339000</v>
      </c>
      <c r="AB1647" t="s">
        <v>61</v>
      </c>
      <c r="AC1647" t="s">
        <v>77</v>
      </c>
      <c r="AD1647">
        <v>0.10000000149011599</v>
      </c>
      <c r="AE1647">
        <v>39.936836242675803</v>
      </c>
      <c r="AF1647">
        <v>7.2935393122125998</v>
      </c>
      <c r="AG1647">
        <v>21420000</v>
      </c>
      <c r="AH1647">
        <v>39.308280944824197</v>
      </c>
      <c r="AI1647">
        <v>6.1664791107177699</v>
      </c>
    </row>
    <row r="1648" spans="1:35">
      <c r="A1648">
        <f t="shared" si="222"/>
        <v>1</v>
      </c>
      <c r="B1648">
        <f t="shared" si="223"/>
        <v>0</v>
      </c>
      <c r="C1648">
        <f t="shared" si="224"/>
        <v>0</v>
      </c>
      <c r="D1648">
        <f t="shared" si="225"/>
        <v>0</v>
      </c>
      <c r="E1648">
        <f t="shared" si="226"/>
        <v>0</v>
      </c>
      <c r="F1648">
        <f t="shared" si="227"/>
        <v>1</v>
      </c>
      <c r="G1648">
        <f t="shared" si="228"/>
        <v>0</v>
      </c>
      <c r="H1648">
        <v>0</v>
      </c>
      <c r="I1648">
        <f t="shared" si="229"/>
        <v>1</v>
      </c>
      <c r="J1648">
        <f t="shared" si="221"/>
        <v>10.98671817779541</v>
      </c>
      <c r="K1648" t="s">
        <v>2116</v>
      </c>
      <c r="L1648" t="s">
        <v>2117</v>
      </c>
      <c r="M1648" t="s">
        <v>27</v>
      </c>
      <c r="N1648" t="s">
        <v>27</v>
      </c>
      <c r="O1648">
        <v>34.950000000000003</v>
      </c>
      <c r="P1648">
        <v>2.9742569923400901</v>
      </c>
      <c r="Q1648">
        <v>2.7522449493408199</v>
      </c>
      <c r="R1648">
        <v>30.549999237060501</v>
      </c>
      <c r="S1648">
        <v>27.9375</v>
      </c>
      <c r="T1648">
        <v>33.250930786132798</v>
      </c>
      <c r="U1648" t="s">
        <v>27</v>
      </c>
      <c r="V1648">
        <v>-12846000</v>
      </c>
      <c r="W1648">
        <v>1.17426002025604</v>
      </c>
      <c r="X1648">
        <v>0.70999997854232799</v>
      </c>
      <c r="Y1648">
        <v>9.2060298919677699</v>
      </c>
      <c r="Z1648">
        <v>8.2344732284545898</v>
      </c>
      <c r="AA1648">
        <v>23094000</v>
      </c>
      <c r="AB1648" t="s">
        <v>27</v>
      </c>
      <c r="AC1648" t="s">
        <v>27</v>
      </c>
      <c r="AD1648">
        <v>0.61000001430511497</v>
      </c>
      <c r="AE1648" t="s">
        <v>27</v>
      </c>
      <c r="AF1648" t="s">
        <v>27</v>
      </c>
      <c r="AG1648">
        <v>22481000</v>
      </c>
      <c r="AH1648">
        <v>28.869340896606399</v>
      </c>
      <c r="AI1648">
        <v>1.1479799747467001</v>
      </c>
    </row>
    <row r="1649" spans="1:35">
      <c r="A1649">
        <f t="shared" si="222"/>
        <v>1</v>
      </c>
      <c r="B1649">
        <f t="shared" si="223"/>
        <v>0</v>
      </c>
      <c r="C1649">
        <f t="shared" si="224"/>
        <v>1</v>
      </c>
      <c r="D1649">
        <f t="shared" si="225"/>
        <v>0</v>
      </c>
      <c r="E1649">
        <f t="shared" si="226"/>
        <v>0</v>
      </c>
      <c r="F1649">
        <f t="shared" si="227"/>
        <v>0</v>
      </c>
      <c r="G1649">
        <f t="shared" si="228"/>
        <v>0</v>
      </c>
      <c r="H1649">
        <v>0</v>
      </c>
      <c r="I1649">
        <f t="shared" si="229"/>
        <v>0</v>
      </c>
      <c r="J1649">
        <f t="shared" si="221"/>
        <v>10.95999813079834</v>
      </c>
      <c r="K1649" t="s">
        <v>1618</v>
      </c>
      <c r="L1649" t="s">
        <v>1619</v>
      </c>
      <c r="M1649" t="s">
        <v>27</v>
      </c>
      <c r="N1649" t="s">
        <v>27</v>
      </c>
      <c r="O1649">
        <v>12.86</v>
      </c>
      <c r="P1649">
        <v>8.7422361373901403</v>
      </c>
      <c r="Q1649">
        <v>4.2933311462402299</v>
      </c>
      <c r="R1649">
        <v>15.550000190734901</v>
      </c>
      <c r="S1649">
        <v>11.430000305175801</v>
      </c>
      <c r="T1649">
        <v>22.403131484985401</v>
      </c>
      <c r="U1649">
        <v>27.932176589965799</v>
      </c>
      <c r="V1649">
        <v>35340008</v>
      </c>
      <c r="W1649">
        <v>5.1229147911071804</v>
      </c>
      <c r="X1649">
        <v>0.259999990463257</v>
      </c>
      <c r="Y1649">
        <v>8</v>
      </c>
      <c r="Z1649">
        <v>6.6666669845581099</v>
      </c>
      <c r="AA1649">
        <v>46221000</v>
      </c>
      <c r="AB1649" t="s">
        <v>27</v>
      </c>
      <c r="AC1649" t="s">
        <v>27</v>
      </c>
      <c r="AD1649">
        <v>0.259999990463257</v>
      </c>
      <c r="AE1649">
        <v>27.500663757324201</v>
      </c>
      <c r="AF1649">
        <v>3.8246223414363998</v>
      </c>
      <c r="AG1649">
        <v>46320000</v>
      </c>
      <c r="AH1649">
        <v>16.923301696777301</v>
      </c>
      <c r="AI1649">
        <v>-7.4146002531051594E-2</v>
      </c>
    </row>
    <row r="1650" spans="1:35">
      <c r="A1650">
        <f t="shared" si="222"/>
        <v>1</v>
      </c>
      <c r="B1650">
        <f t="shared" si="223"/>
        <v>0</v>
      </c>
      <c r="C1650">
        <f t="shared" si="224"/>
        <v>1</v>
      </c>
      <c r="D1650">
        <f t="shared" si="225"/>
        <v>1</v>
      </c>
      <c r="E1650">
        <f t="shared" si="226"/>
        <v>0</v>
      </c>
      <c r="F1650">
        <f t="shared" si="227"/>
        <v>1</v>
      </c>
      <c r="G1650">
        <f t="shared" si="228"/>
        <v>0</v>
      </c>
      <c r="H1650">
        <v>0</v>
      </c>
      <c r="I1650">
        <f t="shared" si="229"/>
        <v>0</v>
      </c>
      <c r="J1650">
        <f t="shared" si="221"/>
        <v>10.92510509490967</v>
      </c>
      <c r="K1650" t="s">
        <v>1348</v>
      </c>
      <c r="L1650" t="s">
        <v>1349</v>
      </c>
      <c r="M1650" t="s">
        <v>27</v>
      </c>
      <c r="N1650" t="s">
        <v>27</v>
      </c>
      <c r="O1650">
        <v>12.26</v>
      </c>
      <c r="P1650">
        <v>4.3231101036071804</v>
      </c>
      <c r="Q1650">
        <v>4.2584381103515598</v>
      </c>
      <c r="R1650">
        <v>12.199999809265099</v>
      </c>
      <c r="S1650">
        <v>10.75</v>
      </c>
      <c r="T1650">
        <v>22.5634441375732</v>
      </c>
      <c r="U1650" t="s">
        <v>27</v>
      </c>
      <c r="V1650">
        <v>12071000</v>
      </c>
      <c r="W1650">
        <v>1.25698697566986</v>
      </c>
      <c r="X1650">
        <v>0.20000000298023199</v>
      </c>
      <c r="Y1650">
        <v>8.6709680557250994</v>
      </c>
      <c r="Z1650">
        <v>6.6666669845581099</v>
      </c>
      <c r="AA1650">
        <v>58185000</v>
      </c>
      <c r="AB1650" t="s">
        <v>34</v>
      </c>
      <c r="AC1650" t="s">
        <v>35</v>
      </c>
      <c r="AD1650">
        <v>0.21999999880790699</v>
      </c>
      <c r="AE1650" t="s">
        <v>27</v>
      </c>
      <c r="AF1650" t="s">
        <v>27</v>
      </c>
      <c r="AG1650">
        <v>58443000</v>
      </c>
      <c r="AH1650">
        <v>22.285495758056602</v>
      </c>
      <c r="AI1650">
        <v>1.0844750404357899</v>
      </c>
    </row>
    <row r="1651" spans="1:35">
      <c r="A1651">
        <f t="shared" si="222"/>
        <v>1</v>
      </c>
      <c r="B1651">
        <f t="shared" si="223"/>
        <v>0</v>
      </c>
      <c r="C1651">
        <f t="shared" si="224"/>
        <v>1</v>
      </c>
      <c r="D1651">
        <f t="shared" si="225"/>
        <v>0</v>
      </c>
      <c r="E1651">
        <f t="shared" si="226"/>
        <v>0</v>
      </c>
      <c r="F1651">
        <f t="shared" si="227"/>
        <v>0</v>
      </c>
      <c r="G1651">
        <f t="shared" si="228"/>
        <v>0</v>
      </c>
      <c r="H1651">
        <v>0</v>
      </c>
      <c r="I1651">
        <f t="shared" si="229"/>
        <v>0</v>
      </c>
      <c r="J1651">
        <f t="shared" si="221"/>
        <v>10.911722183227539</v>
      </c>
      <c r="K1651" t="s">
        <v>786</v>
      </c>
      <c r="L1651" t="s">
        <v>787</v>
      </c>
      <c r="M1651" t="s">
        <v>27</v>
      </c>
      <c r="N1651" t="s">
        <v>27</v>
      </c>
      <c r="O1651">
        <v>9.68</v>
      </c>
      <c r="P1651">
        <v>4.6168198585510298</v>
      </c>
      <c r="Q1651">
        <v>3.9583830833435099</v>
      </c>
      <c r="R1651">
        <v>13.5</v>
      </c>
      <c r="S1651">
        <v>8.9499998092651403</v>
      </c>
      <c r="T1651">
        <v>50.975265502929702</v>
      </c>
      <c r="U1651">
        <v>41.806396484375</v>
      </c>
      <c r="V1651">
        <v>22654000</v>
      </c>
      <c r="W1651">
        <v>0.91784298419952404</v>
      </c>
      <c r="X1651">
        <v>0.17000000178813901</v>
      </c>
      <c r="Y1651">
        <v>5.625</v>
      </c>
      <c r="Z1651">
        <v>6.9533390998840297</v>
      </c>
      <c r="AA1651">
        <v>30208000</v>
      </c>
      <c r="AB1651" t="s">
        <v>38</v>
      </c>
      <c r="AC1651" t="s">
        <v>146</v>
      </c>
      <c r="AD1651">
        <v>0.140000000596046</v>
      </c>
      <c r="AE1651">
        <v>40.407672882080099</v>
      </c>
      <c r="AF1651">
        <v>8.0624464170418904</v>
      </c>
      <c r="AG1651">
        <v>31653580</v>
      </c>
      <c r="AH1651">
        <v>42.363166809082003</v>
      </c>
      <c r="AI1651">
        <v>-0.30515301227569602</v>
      </c>
    </row>
    <row r="1652" spans="1:35">
      <c r="A1652">
        <f t="shared" si="222"/>
        <v>1</v>
      </c>
      <c r="B1652">
        <f t="shared" si="223"/>
        <v>1</v>
      </c>
      <c r="C1652">
        <f t="shared" si="224"/>
        <v>0</v>
      </c>
      <c r="D1652">
        <f t="shared" si="225"/>
        <v>0</v>
      </c>
      <c r="E1652">
        <f t="shared" si="226"/>
        <v>0</v>
      </c>
      <c r="F1652">
        <f t="shared" si="227"/>
        <v>1</v>
      </c>
      <c r="G1652">
        <f t="shared" si="228"/>
        <v>0</v>
      </c>
      <c r="H1652">
        <v>0</v>
      </c>
      <c r="I1652">
        <f t="shared" si="229"/>
        <v>0</v>
      </c>
      <c r="J1652">
        <f t="shared" si="221"/>
        <v>10.901175975799571</v>
      </c>
      <c r="K1652" t="s">
        <v>123</v>
      </c>
      <c r="L1652" t="s">
        <v>124</v>
      </c>
      <c r="M1652" t="s">
        <v>27</v>
      </c>
      <c r="N1652" t="s">
        <v>27</v>
      </c>
      <c r="O1652">
        <v>3.67</v>
      </c>
      <c r="P1652" t="s">
        <v>27</v>
      </c>
      <c r="Q1652">
        <v>6.2477111816406303</v>
      </c>
      <c r="R1652">
        <v>11.1000003814697</v>
      </c>
      <c r="S1652">
        <v>19.375</v>
      </c>
      <c r="T1652">
        <v>2.5237109661102299</v>
      </c>
      <c r="U1652">
        <v>40.014926910400398</v>
      </c>
      <c r="V1652">
        <v>-31000.00390625</v>
      </c>
      <c r="W1652">
        <v>-1.2473720312118499</v>
      </c>
      <c r="X1652">
        <v>0.18999999761581399</v>
      </c>
      <c r="Y1652" t="s">
        <v>27</v>
      </c>
      <c r="Z1652">
        <v>4.65346479415894</v>
      </c>
      <c r="AA1652">
        <v>8392000</v>
      </c>
      <c r="AB1652" t="s">
        <v>27</v>
      </c>
      <c r="AC1652" t="s">
        <v>27</v>
      </c>
      <c r="AD1652">
        <v>-5.0000000745058101E-2</v>
      </c>
      <c r="AE1652">
        <v>19.143024444580099</v>
      </c>
      <c r="AF1652" t="s">
        <v>27</v>
      </c>
      <c r="AG1652">
        <v>8719000</v>
      </c>
      <c r="AH1652">
        <v>0.25169199705123901</v>
      </c>
      <c r="AI1652">
        <v>10.5631427764893</v>
      </c>
    </row>
    <row r="1653" spans="1:35">
      <c r="A1653">
        <f t="shared" si="222"/>
        <v>0</v>
      </c>
      <c r="B1653">
        <f t="shared" si="223"/>
        <v>0</v>
      </c>
      <c r="C1653">
        <f t="shared" si="224"/>
        <v>1</v>
      </c>
      <c r="D1653">
        <f t="shared" si="225"/>
        <v>1</v>
      </c>
      <c r="E1653">
        <f t="shared" si="226"/>
        <v>0</v>
      </c>
      <c r="F1653">
        <f t="shared" si="227"/>
        <v>1</v>
      </c>
      <c r="G1653">
        <f t="shared" si="228"/>
        <v>0</v>
      </c>
      <c r="H1653">
        <v>0</v>
      </c>
      <c r="I1653">
        <f t="shared" si="229"/>
        <v>0</v>
      </c>
      <c r="J1653">
        <f t="shared" si="221"/>
        <v>10.891160011291509</v>
      </c>
      <c r="K1653" t="s">
        <v>2130</v>
      </c>
      <c r="L1653" t="s">
        <v>2131</v>
      </c>
      <c r="M1653" t="s">
        <v>27</v>
      </c>
      <c r="N1653" t="s">
        <v>27</v>
      </c>
      <c r="O1653">
        <v>22.92</v>
      </c>
      <c r="P1653">
        <v>20.295639038085898</v>
      </c>
      <c r="Q1653">
        <v>2.4340639114379901</v>
      </c>
      <c r="R1653">
        <v>33.349998474121101</v>
      </c>
      <c r="S1653">
        <v>29.950000762939499</v>
      </c>
      <c r="T1653">
        <v>25.40087890625</v>
      </c>
      <c r="U1653">
        <v>25.943569183349599</v>
      </c>
      <c r="V1653">
        <v>33321000</v>
      </c>
      <c r="W1653">
        <v>13.2081546783447</v>
      </c>
      <c r="X1653">
        <v>0.5</v>
      </c>
      <c r="Y1653">
        <v>12.7088613510132</v>
      </c>
      <c r="Z1653">
        <v>8.4570960998535192</v>
      </c>
      <c r="AA1653">
        <v>24641000</v>
      </c>
      <c r="AB1653" t="s">
        <v>61</v>
      </c>
      <c r="AC1653" t="s">
        <v>101</v>
      </c>
      <c r="AD1653">
        <v>0.50999999046325695</v>
      </c>
      <c r="AE1653">
        <v>21.781927108764599</v>
      </c>
      <c r="AF1653">
        <v>8.6527127323066306</v>
      </c>
      <c r="AG1653">
        <v>24274000</v>
      </c>
      <c r="AH1653">
        <v>44.486988067627003</v>
      </c>
      <c r="AI1653">
        <v>10.277889251709</v>
      </c>
    </row>
    <row r="1654" spans="1:35">
      <c r="A1654">
        <f t="shared" si="222"/>
        <v>0</v>
      </c>
      <c r="B1654">
        <f t="shared" si="223"/>
        <v>0</v>
      </c>
      <c r="C1654">
        <f t="shared" si="224"/>
        <v>1</v>
      </c>
      <c r="D1654">
        <f t="shared" si="225"/>
        <v>1</v>
      </c>
      <c r="E1654">
        <f t="shared" si="226"/>
        <v>0</v>
      </c>
      <c r="F1654">
        <f t="shared" si="227"/>
        <v>1</v>
      </c>
      <c r="G1654">
        <f t="shared" si="228"/>
        <v>0</v>
      </c>
      <c r="H1654">
        <v>0</v>
      </c>
      <c r="I1654">
        <f t="shared" si="229"/>
        <v>0</v>
      </c>
      <c r="J1654">
        <f t="shared" si="221"/>
        <v>10.88619470596314</v>
      </c>
      <c r="K1654" t="s">
        <v>1109</v>
      </c>
      <c r="L1654" t="s">
        <v>1110</v>
      </c>
      <c r="M1654" t="s">
        <v>27</v>
      </c>
      <c r="N1654" t="s">
        <v>27</v>
      </c>
      <c r="O1654">
        <v>15.65</v>
      </c>
      <c r="P1654">
        <v>6.5720949172973597</v>
      </c>
      <c r="Q1654">
        <v>6.4990978240966797</v>
      </c>
      <c r="R1654">
        <v>21.950000762939499</v>
      </c>
      <c r="S1654">
        <v>26.639999389648398</v>
      </c>
      <c r="T1654">
        <v>9.8901557922363299</v>
      </c>
      <c r="U1654">
        <v>31.4834384918213</v>
      </c>
      <c r="V1654">
        <v>1566000</v>
      </c>
      <c r="W1654">
        <v>6.59641408920288</v>
      </c>
      <c r="X1654">
        <v>0.17000000178813901</v>
      </c>
      <c r="Y1654">
        <v>1.5799369812011701</v>
      </c>
      <c r="Z1654">
        <v>4.3870968818664604</v>
      </c>
      <c r="AA1654">
        <v>17290000</v>
      </c>
      <c r="AB1654" t="s">
        <v>328</v>
      </c>
      <c r="AC1654" t="s">
        <v>403</v>
      </c>
      <c r="AD1654">
        <v>0.18000000715255701</v>
      </c>
      <c r="AE1654">
        <v>28.668409347534201</v>
      </c>
      <c r="AF1654">
        <v>12.024316436805799</v>
      </c>
      <c r="AG1654">
        <v>17293000</v>
      </c>
      <c r="AH1654">
        <v>19.196943283081101</v>
      </c>
      <c r="AI1654">
        <v>5.3444252014160201</v>
      </c>
    </row>
    <row r="1655" spans="1:35">
      <c r="A1655">
        <f t="shared" si="222"/>
        <v>0</v>
      </c>
      <c r="B1655">
        <f t="shared" si="223"/>
        <v>1</v>
      </c>
      <c r="C1655">
        <f t="shared" si="224"/>
        <v>1</v>
      </c>
      <c r="D1655">
        <f t="shared" si="225"/>
        <v>1</v>
      </c>
      <c r="E1655">
        <f t="shared" si="226"/>
        <v>0</v>
      </c>
      <c r="F1655">
        <f t="shared" si="227"/>
        <v>1</v>
      </c>
      <c r="G1655">
        <f t="shared" si="228"/>
        <v>0</v>
      </c>
      <c r="H1655">
        <v>0</v>
      </c>
      <c r="I1655">
        <f t="shared" si="229"/>
        <v>1</v>
      </c>
      <c r="J1655">
        <f t="shared" si="221"/>
        <v>10.885482788085939</v>
      </c>
      <c r="K1655" t="s">
        <v>560</v>
      </c>
      <c r="L1655" t="s">
        <v>561</v>
      </c>
      <c r="M1655" t="s">
        <v>27</v>
      </c>
      <c r="N1655" t="s">
        <v>27</v>
      </c>
      <c r="O1655">
        <v>26.8</v>
      </c>
      <c r="P1655">
        <v>2.3450679779052699</v>
      </c>
      <c r="Q1655">
        <v>2.1135530471801798</v>
      </c>
      <c r="R1655">
        <v>24.049999237060501</v>
      </c>
      <c r="S1655">
        <v>21</v>
      </c>
      <c r="T1655">
        <v>27.111524581909201</v>
      </c>
      <c r="U1655" t="s">
        <v>27</v>
      </c>
      <c r="V1655">
        <v>4000.00805664063</v>
      </c>
      <c r="W1655">
        <v>0.716156005859375</v>
      </c>
      <c r="X1655">
        <v>0.56000000238418601</v>
      </c>
      <c r="Y1655">
        <v>9.3841638565063494</v>
      </c>
      <c r="Z1655">
        <v>8.7719297409057599</v>
      </c>
      <c r="AA1655">
        <v>4585000</v>
      </c>
      <c r="AB1655" t="s">
        <v>27</v>
      </c>
      <c r="AC1655" t="s">
        <v>27</v>
      </c>
      <c r="AD1655">
        <v>0.58999997377395597</v>
      </c>
      <c r="AE1655" t="s">
        <v>27</v>
      </c>
      <c r="AF1655" t="s">
        <v>27</v>
      </c>
      <c r="AG1655">
        <v>4386000</v>
      </c>
      <c r="AH1655">
        <v>33.809513092041001</v>
      </c>
      <c r="AI1655">
        <v>0.75229501724243197</v>
      </c>
    </row>
    <row r="1656" spans="1:35">
      <c r="A1656">
        <f t="shared" si="222"/>
        <v>1</v>
      </c>
      <c r="B1656">
        <f t="shared" si="223"/>
        <v>0</v>
      </c>
      <c r="C1656">
        <f t="shared" si="224"/>
        <v>1</v>
      </c>
      <c r="D1656">
        <f t="shared" si="225"/>
        <v>0</v>
      </c>
      <c r="E1656">
        <f t="shared" si="226"/>
        <v>0</v>
      </c>
      <c r="F1656">
        <f t="shared" si="227"/>
        <v>1</v>
      </c>
      <c r="G1656">
        <f t="shared" si="228"/>
        <v>0</v>
      </c>
      <c r="H1656">
        <v>0</v>
      </c>
      <c r="I1656">
        <f t="shared" si="229"/>
        <v>0</v>
      </c>
      <c r="J1656">
        <f t="shared" si="221"/>
        <v>10.880410194396969</v>
      </c>
      <c r="K1656" t="s">
        <v>1951</v>
      </c>
      <c r="L1656" t="s">
        <v>1952</v>
      </c>
      <c r="M1656" t="s">
        <v>27</v>
      </c>
      <c r="N1656" t="s">
        <v>27</v>
      </c>
      <c r="O1656">
        <v>20.9</v>
      </c>
      <c r="P1656">
        <v>12.584831237793001</v>
      </c>
      <c r="Q1656">
        <v>5.4843711853027299</v>
      </c>
      <c r="R1656">
        <v>21.920000076293899</v>
      </c>
      <c r="S1656">
        <v>24.578125</v>
      </c>
      <c r="T1656">
        <v>4.8040690422058097</v>
      </c>
      <c r="U1656">
        <v>17.82594871521</v>
      </c>
      <c r="V1656">
        <v>14641000</v>
      </c>
      <c r="W1656">
        <v>8.5197839736938494</v>
      </c>
      <c r="X1656">
        <v>0.730000019073486</v>
      </c>
      <c r="Y1656">
        <v>10.4126987457275</v>
      </c>
      <c r="Z1656">
        <v>5.3960390090942401</v>
      </c>
      <c r="AA1656">
        <v>35734000</v>
      </c>
      <c r="AB1656" t="s">
        <v>61</v>
      </c>
      <c r="AC1656" t="s">
        <v>80</v>
      </c>
      <c r="AD1656">
        <v>0.129999995231628</v>
      </c>
      <c r="AE1656">
        <v>16.103172302246101</v>
      </c>
      <c r="AF1656">
        <v>10.7051714475084</v>
      </c>
      <c r="AG1656">
        <v>35864000</v>
      </c>
      <c r="AH1656">
        <v>4.3748111724853498</v>
      </c>
      <c r="AI1656">
        <v>8.2114973068237305</v>
      </c>
    </row>
    <row r="1657" spans="1:35">
      <c r="A1657">
        <f t="shared" si="222"/>
        <v>0</v>
      </c>
      <c r="B1657">
        <f t="shared" si="223"/>
        <v>0</v>
      </c>
      <c r="C1657">
        <f t="shared" si="224"/>
        <v>1</v>
      </c>
      <c r="D1657">
        <f t="shared" si="225"/>
        <v>0</v>
      </c>
      <c r="E1657">
        <f t="shared" si="226"/>
        <v>0</v>
      </c>
      <c r="F1657">
        <f t="shared" si="227"/>
        <v>1</v>
      </c>
      <c r="G1657">
        <f t="shared" si="228"/>
        <v>0</v>
      </c>
      <c r="H1657">
        <v>0</v>
      </c>
      <c r="I1657">
        <f t="shared" si="229"/>
        <v>1</v>
      </c>
      <c r="J1657">
        <f t="shared" si="221"/>
        <v>10.86738109588623</v>
      </c>
      <c r="K1657" t="s">
        <v>3813</v>
      </c>
      <c r="L1657" t="s">
        <v>3814</v>
      </c>
      <c r="M1657" t="s">
        <v>27</v>
      </c>
      <c r="N1657" t="s">
        <v>27</v>
      </c>
      <c r="O1657">
        <v>30.9</v>
      </c>
      <c r="P1657">
        <v>5.52858591079712</v>
      </c>
      <c r="Q1657">
        <v>4.96810007095337</v>
      </c>
      <c r="R1657">
        <v>28.690000534057599</v>
      </c>
      <c r="S1657">
        <v>37.5</v>
      </c>
      <c r="T1657">
        <v>0</v>
      </c>
      <c r="U1657">
        <v>27.4403896331787</v>
      </c>
      <c r="V1657">
        <v>17475000</v>
      </c>
      <c r="W1657">
        <v>7.6386051177978498</v>
      </c>
      <c r="X1657">
        <v>0.46000000834464999</v>
      </c>
      <c r="Y1657">
        <v>5.4290838241577104</v>
      </c>
      <c r="Z1657">
        <v>5.8992810249328604</v>
      </c>
      <c r="AA1657">
        <v>41688000</v>
      </c>
      <c r="AB1657" t="s">
        <v>194</v>
      </c>
      <c r="AC1657" t="s">
        <v>696</v>
      </c>
      <c r="AD1657">
        <v>0.43000000715255698</v>
      </c>
      <c r="AE1657">
        <v>27.234420776367202</v>
      </c>
      <c r="AF1657">
        <v>6.4236127605461402</v>
      </c>
      <c r="AG1657">
        <v>27203000</v>
      </c>
      <c r="AH1657">
        <v>2.1979539394378702</v>
      </c>
      <c r="AI1657">
        <v>6.8860721588134801</v>
      </c>
    </row>
    <row r="1658" spans="1:35">
      <c r="A1658">
        <f t="shared" si="222"/>
        <v>1</v>
      </c>
      <c r="B1658">
        <f t="shared" si="223"/>
        <v>1</v>
      </c>
      <c r="C1658">
        <f t="shared" si="224"/>
        <v>1</v>
      </c>
      <c r="D1658">
        <f t="shared" si="225"/>
        <v>0</v>
      </c>
      <c r="E1658">
        <f t="shared" si="226"/>
        <v>0</v>
      </c>
      <c r="F1658">
        <f t="shared" si="227"/>
        <v>1</v>
      </c>
      <c r="G1658">
        <f t="shared" si="228"/>
        <v>0</v>
      </c>
      <c r="H1658">
        <v>0</v>
      </c>
      <c r="I1658">
        <f t="shared" si="229"/>
        <v>0</v>
      </c>
      <c r="J1658">
        <f t="shared" si="221"/>
        <v>10.85032796859741</v>
      </c>
      <c r="K1658" t="s">
        <v>3815</v>
      </c>
      <c r="L1658" t="s">
        <v>3816</v>
      </c>
      <c r="M1658" t="s">
        <v>27</v>
      </c>
      <c r="N1658" t="s">
        <v>27</v>
      </c>
      <c r="O1658">
        <v>12.3</v>
      </c>
      <c r="P1658">
        <v>3.3566029071807901</v>
      </c>
      <c r="Q1658">
        <v>3.1447000503539999</v>
      </c>
      <c r="R1658">
        <v>13.3999996185303</v>
      </c>
      <c r="S1658">
        <v>18.200000762939499</v>
      </c>
      <c r="T1658">
        <v>30.315832138061499</v>
      </c>
      <c r="U1658">
        <v>12.764522552490201</v>
      </c>
      <c r="V1658">
        <v>6796999.5</v>
      </c>
      <c r="W1658">
        <v>-0.77886897325515703</v>
      </c>
      <c r="X1658">
        <v>0.28000000119209301</v>
      </c>
      <c r="Y1658">
        <v>4.9177489280700701</v>
      </c>
      <c r="Z1658">
        <v>7.70562791824341</v>
      </c>
      <c r="AA1658">
        <v>31750000</v>
      </c>
      <c r="AB1658" t="s">
        <v>27</v>
      </c>
      <c r="AC1658" t="s">
        <v>27</v>
      </c>
      <c r="AD1658">
        <v>0.10000000149011599</v>
      </c>
      <c r="AE1658">
        <v>10.0673151016235</v>
      </c>
      <c r="AF1658">
        <v>6.3991228730525203</v>
      </c>
      <c r="AG1658">
        <v>31831000</v>
      </c>
      <c r="AH1658">
        <v>27.080999374389599</v>
      </c>
      <c r="AI1658">
        <v>2.4531950950622599</v>
      </c>
    </row>
    <row r="1659" spans="1:35">
      <c r="A1659">
        <f t="shared" si="222"/>
        <v>0</v>
      </c>
      <c r="B1659">
        <f t="shared" si="223"/>
        <v>0</v>
      </c>
      <c r="C1659">
        <f t="shared" si="224"/>
        <v>1</v>
      </c>
      <c r="D1659">
        <f t="shared" si="225"/>
        <v>0</v>
      </c>
      <c r="E1659">
        <f t="shared" si="226"/>
        <v>0</v>
      </c>
      <c r="F1659">
        <f t="shared" si="227"/>
        <v>1</v>
      </c>
      <c r="G1659">
        <f t="shared" si="228"/>
        <v>0</v>
      </c>
      <c r="H1659">
        <v>0</v>
      </c>
      <c r="I1659">
        <f t="shared" si="229"/>
        <v>0</v>
      </c>
      <c r="J1659">
        <f t="shared" si="221"/>
        <v>10.849178791046139</v>
      </c>
      <c r="K1659" t="s">
        <v>3659</v>
      </c>
      <c r="L1659" t="s">
        <v>3660</v>
      </c>
      <c r="M1659" t="s">
        <v>27</v>
      </c>
      <c r="N1659" t="s">
        <v>27</v>
      </c>
      <c r="O1659">
        <v>24.41</v>
      </c>
      <c r="P1659">
        <v>5.4800329208373997</v>
      </c>
      <c r="Q1659">
        <v>4.99350881576538</v>
      </c>
      <c r="R1659">
        <v>24.149999618530298</v>
      </c>
      <c r="S1659">
        <v>25.799999237060501</v>
      </c>
      <c r="T1659">
        <v>28.880622863769499</v>
      </c>
      <c r="U1659">
        <v>31.535627365112301</v>
      </c>
      <c r="V1659">
        <v>837000.375</v>
      </c>
      <c r="W1659" t="s">
        <v>27</v>
      </c>
      <c r="X1659">
        <v>0.230000004172325</v>
      </c>
      <c r="Y1659">
        <v>5.7937650680542001</v>
      </c>
      <c r="Z1659">
        <v>5.8556699752807599</v>
      </c>
      <c r="AA1659">
        <v>4729000</v>
      </c>
      <c r="AB1659" t="s">
        <v>254</v>
      </c>
      <c r="AC1659" t="s">
        <v>426</v>
      </c>
      <c r="AD1659">
        <v>-0.55000001192092896</v>
      </c>
      <c r="AE1659">
        <v>29.583299636840799</v>
      </c>
      <c r="AF1659">
        <v>7.9702282953754597</v>
      </c>
      <c r="AG1659">
        <v>4744000</v>
      </c>
      <c r="AH1659">
        <v>31.746526718139599</v>
      </c>
      <c r="AI1659">
        <v>1.9333039522171001</v>
      </c>
    </row>
    <row r="1660" spans="1:35">
      <c r="A1660">
        <f t="shared" si="222"/>
        <v>0</v>
      </c>
      <c r="B1660">
        <f t="shared" si="223"/>
        <v>0</v>
      </c>
      <c r="C1660">
        <f t="shared" si="224"/>
        <v>1</v>
      </c>
      <c r="D1660">
        <f t="shared" si="225"/>
        <v>0</v>
      </c>
      <c r="E1660">
        <f t="shared" si="226"/>
        <v>0</v>
      </c>
      <c r="F1660">
        <f t="shared" si="227"/>
        <v>0</v>
      </c>
      <c r="G1660">
        <f t="shared" si="228"/>
        <v>0</v>
      </c>
      <c r="H1660">
        <v>0</v>
      </c>
      <c r="I1660">
        <f t="shared" si="229"/>
        <v>1</v>
      </c>
      <c r="J1660">
        <f t="shared" si="221"/>
        <v>10.824900150299069</v>
      </c>
      <c r="K1660" t="s">
        <v>3162</v>
      </c>
      <c r="L1660" t="s">
        <v>3163</v>
      </c>
      <c r="M1660" t="s">
        <v>27</v>
      </c>
      <c r="N1660" t="s">
        <v>27</v>
      </c>
      <c r="O1660">
        <v>14.75</v>
      </c>
      <c r="P1660" t="s">
        <v>27</v>
      </c>
      <c r="Q1660">
        <v>4.92128610610962</v>
      </c>
      <c r="R1660">
        <v>10.4899997711182</v>
      </c>
      <c r="S1660">
        <v>5.1500000953674299</v>
      </c>
      <c r="T1660">
        <v>9.0871438980102504</v>
      </c>
      <c r="U1660">
        <v>11.750491142272899</v>
      </c>
      <c r="V1660">
        <v>33105000</v>
      </c>
      <c r="W1660">
        <v>-0.42579400539398199</v>
      </c>
      <c r="X1660">
        <v>0.10000000149011599</v>
      </c>
      <c r="Y1660">
        <v>15.573332786560099</v>
      </c>
      <c r="Z1660">
        <v>5.9036140441894496</v>
      </c>
      <c r="AA1660">
        <v>27292000</v>
      </c>
      <c r="AB1660" t="s">
        <v>27</v>
      </c>
      <c r="AC1660" t="s">
        <v>27</v>
      </c>
      <c r="AD1660">
        <v>-0.270000010728836</v>
      </c>
      <c r="AE1660">
        <v>9.90466213226318</v>
      </c>
      <c r="AF1660">
        <v>0.23128413150087801</v>
      </c>
      <c r="AG1660">
        <v>27880000</v>
      </c>
      <c r="AH1660">
        <v>20.701667785644499</v>
      </c>
      <c r="AI1660">
        <v>-17.4201755523682</v>
      </c>
    </row>
    <row r="1661" spans="1:35">
      <c r="A1661">
        <f t="shared" si="222"/>
        <v>0</v>
      </c>
      <c r="B1661">
        <f t="shared" si="223"/>
        <v>0</v>
      </c>
      <c r="C1661">
        <f t="shared" si="224"/>
        <v>0</v>
      </c>
      <c r="D1661">
        <f t="shared" si="225"/>
        <v>0</v>
      </c>
      <c r="E1661">
        <f t="shared" si="226"/>
        <v>0</v>
      </c>
      <c r="F1661">
        <f t="shared" si="227"/>
        <v>1</v>
      </c>
      <c r="G1661">
        <f t="shared" si="228"/>
        <v>0</v>
      </c>
      <c r="H1661">
        <v>0</v>
      </c>
      <c r="I1661">
        <f t="shared" si="229"/>
        <v>1</v>
      </c>
      <c r="J1661">
        <f t="shared" si="221"/>
        <v>10.804930925369259</v>
      </c>
      <c r="K1661" t="s">
        <v>1935</v>
      </c>
      <c r="L1661" t="s">
        <v>1936</v>
      </c>
      <c r="M1661" t="s">
        <v>27</v>
      </c>
      <c r="N1661" t="s">
        <v>27</v>
      </c>
      <c r="O1661">
        <v>16.53</v>
      </c>
      <c r="P1661">
        <v>4.54172706604004</v>
      </c>
      <c r="Q1661">
        <v>3.2080318927764901</v>
      </c>
      <c r="R1661">
        <v>14.1499996185303</v>
      </c>
      <c r="S1661">
        <v>16.3499999046326</v>
      </c>
      <c r="T1661">
        <v>35.102653503417997</v>
      </c>
      <c r="U1661">
        <v>37.763866424560497</v>
      </c>
      <c r="V1661">
        <v>-4747000</v>
      </c>
      <c r="W1661">
        <v>4.0884141921997097</v>
      </c>
      <c r="X1661">
        <v>0.35000000149011601</v>
      </c>
      <c r="Y1661">
        <v>6.2089548110961896</v>
      </c>
      <c r="Z1661">
        <v>7.5968990325927699</v>
      </c>
      <c r="AA1661">
        <v>12265600</v>
      </c>
      <c r="AB1661" t="s">
        <v>61</v>
      </c>
      <c r="AC1661" t="s">
        <v>101</v>
      </c>
      <c r="AD1661">
        <v>0.17000000178813901</v>
      </c>
      <c r="AE1661">
        <v>36.778102874755902</v>
      </c>
      <c r="AF1661">
        <v>9.1071893903253507</v>
      </c>
      <c r="AG1661">
        <v>12227000</v>
      </c>
      <c r="AH1661">
        <v>36.608470916747997</v>
      </c>
      <c r="AI1661">
        <v>3.5345799922943102</v>
      </c>
    </row>
    <row r="1662" spans="1:35">
      <c r="A1662">
        <f t="shared" si="222"/>
        <v>0</v>
      </c>
      <c r="B1662">
        <f t="shared" si="223"/>
        <v>1</v>
      </c>
      <c r="C1662">
        <f t="shared" si="224"/>
        <v>0</v>
      </c>
      <c r="D1662">
        <f t="shared" si="225"/>
        <v>1</v>
      </c>
      <c r="E1662">
        <f t="shared" si="226"/>
        <v>0</v>
      </c>
      <c r="F1662">
        <f t="shared" si="227"/>
        <v>1</v>
      </c>
      <c r="G1662">
        <f t="shared" si="228"/>
        <v>0</v>
      </c>
      <c r="H1662">
        <v>0</v>
      </c>
      <c r="I1662">
        <f t="shared" si="229"/>
        <v>0</v>
      </c>
      <c r="J1662">
        <f t="shared" si="221"/>
        <v>10.79549145698547</v>
      </c>
      <c r="K1662" t="s">
        <v>192</v>
      </c>
      <c r="L1662" t="s">
        <v>193</v>
      </c>
      <c r="M1662" t="s">
        <v>27</v>
      </c>
      <c r="N1662" t="s">
        <v>27</v>
      </c>
      <c r="O1662">
        <v>24.7</v>
      </c>
      <c r="P1662">
        <v>3.4124178886413601</v>
      </c>
      <c r="Q1662">
        <v>2.1559689044952401</v>
      </c>
      <c r="R1662">
        <v>31.440000534057599</v>
      </c>
      <c r="S1662">
        <v>17.25</v>
      </c>
      <c r="T1662">
        <v>31.239622116088899</v>
      </c>
      <c r="U1662">
        <v>22.6812648773193</v>
      </c>
      <c r="V1662">
        <v>-1798905</v>
      </c>
      <c r="W1662">
        <v>8.4542150497436506</v>
      </c>
      <c r="X1662">
        <v>0.109999999403954</v>
      </c>
      <c r="Y1662">
        <v>5.3134331703186</v>
      </c>
      <c r="Z1662">
        <v>8.6395225524902308</v>
      </c>
      <c r="AA1662">
        <v>7028000</v>
      </c>
      <c r="AB1662" t="s">
        <v>194</v>
      </c>
      <c r="AC1662" t="s">
        <v>195</v>
      </c>
      <c r="AD1662">
        <v>0.43000000715255698</v>
      </c>
      <c r="AE1662">
        <v>21.369632720947301</v>
      </c>
      <c r="AF1662">
        <v>79.497626905823097</v>
      </c>
      <c r="AG1662">
        <v>7065000</v>
      </c>
      <c r="AH1662">
        <v>31.510103225708001</v>
      </c>
      <c r="AI1662">
        <v>9.0255889892578107</v>
      </c>
    </row>
    <row r="1663" spans="1:35">
      <c r="A1663">
        <f t="shared" si="222"/>
        <v>0</v>
      </c>
      <c r="B1663">
        <f t="shared" si="223"/>
        <v>0</v>
      </c>
      <c r="C1663">
        <f t="shared" si="224"/>
        <v>1</v>
      </c>
      <c r="D1663">
        <f t="shared" si="225"/>
        <v>0</v>
      </c>
      <c r="E1663">
        <f t="shared" si="226"/>
        <v>0</v>
      </c>
      <c r="F1663">
        <f t="shared" si="227"/>
        <v>1</v>
      </c>
      <c r="G1663">
        <f t="shared" si="228"/>
        <v>1</v>
      </c>
      <c r="H1663">
        <v>0</v>
      </c>
      <c r="I1663">
        <f t="shared" si="229"/>
        <v>0</v>
      </c>
      <c r="J1663">
        <f t="shared" si="221"/>
        <v>10.792344808578491</v>
      </c>
      <c r="K1663" t="s">
        <v>1672</v>
      </c>
      <c r="L1663" t="s">
        <v>1673</v>
      </c>
      <c r="M1663" t="s">
        <v>27</v>
      </c>
      <c r="N1663" t="s">
        <v>27</v>
      </c>
      <c r="O1663">
        <v>5.4</v>
      </c>
      <c r="P1663">
        <v>15.0958414077759</v>
      </c>
      <c r="Q1663">
        <v>6.9461908340454102</v>
      </c>
      <c r="R1663">
        <v>8.4799995422363299</v>
      </c>
      <c r="S1663">
        <v>11</v>
      </c>
      <c r="T1663">
        <v>1.63663995265961</v>
      </c>
      <c r="U1663">
        <v>27.0442295074463</v>
      </c>
      <c r="V1663">
        <v>10019000</v>
      </c>
      <c r="W1663">
        <v>15.431542396545399</v>
      </c>
      <c r="X1663">
        <v>5.9999998658895499E-2</v>
      </c>
      <c r="Y1663">
        <v>3.6803359985351598</v>
      </c>
      <c r="Z1663">
        <v>3.8461539745330802</v>
      </c>
      <c r="AA1663">
        <v>66046996</v>
      </c>
      <c r="AB1663" t="s">
        <v>73</v>
      </c>
      <c r="AC1663" t="s">
        <v>210</v>
      </c>
      <c r="AD1663">
        <v>5.0000000745058101E-2</v>
      </c>
      <c r="AE1663">
        <v>27.527168273925799</v>
      </c>
      <c r="AF1663">
        <v>7.9793675944104399</v>
      </c>
      <c r="AG1663">
        <v>64611000</v>
      </c>
      <c r="AH1663">
        <v>1.6603039503097501</v>
      </c>
      <c r="AI1663">
        <v>10.601077079772899</v>
      </c>
    </row>
    <row r="1664" spans="1:35">
      <c r="A1664">
        <f t="shared" si="222"/>
        <v>1</v>
      </c>
      <c r="B1664">
        <f t="shared" si="223"/>
        <v>0</v>
      </c>
      <c r="C1664">
        <f t="shared" si="224"/>
        <v>0</v>
      </c>
      <c r="D1664">
        <f t="shared" si="225"/>
        <v>1</v>
      </c>
      <c r="E1664">
        <f t="shared" si="226"/>
        <v>0</v>
      </c>
      <c r="F1664">
        <f t="shared" si="227"/>
        <v>1</v>
      </c>
      <c r="G1664">
        <f t="shared" si="228"/>
        <v>0</v>
      </c>
      <c r="H1664">
        <v>0</v>
      </c>
      <c r="I1664">
        <f t="shared" si="229"/>
        <v>0</v>
      </c>
      <c r="J1664">
        <f t="shared" si="221"/>
        <v>10.75244081020355</v>
      </c>
      <c r="K1664" t="s">
        <v>3543</v>
      </c>
      <c r="L1664" t="s">
        <v>3544</v>
      </c>
      <c r="M1664" t="s">
        <v>27</v>
      </c>
      <c r="N1664" t="s">
        <v>27</v>
      </c>
      <c r="O1664">
        <v>17.02</v>
      </c>
      <c r="P1664">
        <v>14.0470790863037</v>
      </c>
      <c r="Q1664">
        <v>11.8845157623291</v>
      </c>
      <c r="R1664">
        <v>15.8599996566772</v>
      </c>
      <c r="S1664">
        <v>10.5</v>
      </c>
      <c r="T1664">
        <v>70.164329528808594</v>
      </c>
      <c r="U1664" t="s">
        <v>27</v>
      </c>
      <c r="V1664">
        <v>-6692000</v>
      </c>
      <c r="W1664">
        <v>5.5124139785766602</v>
      </c>
      <c r="X1664">
        <v>0.80000001192092896</v>
      </c>
      <c r="Y1664">
        <v>35.4375</v>
      </c>
      <c r="Z1664">
        <v>-1.13207495212555</v>
      </c>
      <c r="AA1664">
        <v>8634000</v>
      </c>
      <c r="AB1664" t="s">
        <v>83</v>
      </c>
      <c r="AC1664" t="s">
        <v>1924</v>
      </c>
      <c r="AD1664">
        <v>1.2799999713897701</v>
      </c>
      <c r="AE1664" t="s">
        <v>27</v>
      </c>
      <c r="AF1664">
        <v>25.249995644119402</v>
      </c>
      <c r="AG1664">
        <v>8043000</v>
      </c>
      <c r="AH1664">
        <v>64.938224792480497</v>
      </c>
      <c r="AI1664">
        <v>4.11899709701538</v>
      </c>
    </row>
    <row r="1665" spans="1:35">
      <c r="A1665">
        <f t="shared" si="222"/>
        <v>0</v>
      </c>
      <c r="B1665">
        <f t="shared" si="223"/>
        <v>0</v>
      </c>
      <c r="C1665">
        <f t="shared" si="224"/>
        <v>1</v>
      </c>
      <c r="D1665">
        <f t="shared" si="225"/>
        <v>1</v>
      </c>
      <c r="E1665">
        <f t="shared" si="226"/>
        <v>0</v>
      </c>
      <c r="F1665">
        <f t="shared" si="227"/>
        <v>1</v>
      </c>
      <c r="G1665">
        <f t="shared" si="228"/>
        <v>1</v>
      </c>
      <c r="H1665">
        <v>0</v>
      </c>
      <c r="I1665">
        <f t="shared" si="229"/>
        <v>0</v>
      </c>
      <c r="J1665">
        <f t="shared" si="221"/>
        <v>10.75015211105347</v>
      </c>
      <c r="K1665" t="s">
        <v>1782</v>
      </c>
      <c r="L1665" t="s">
        <v>1783</v>
      </c>
      <c r="M1665" t="s">
        <v>27</v>
      </c>
      <c r="N1665" t="s">
        <v>27</v>
      </c>
      <c r="O1665">
        <v>29.95</v>
      </c>
      <c r="P1665">
        <v>5.56742191314697</v>
      </c>
      <c r="Q1665">
        <v>4.9026060104370099</v>
      </c>
      <c r="R1665">
        <v>28.670000076293899</v>
      </c>
      <c r="S1665">
        <v>25.5</v>
      </c>
      <c r="T1665">
        <v>31.9402980804443</v>
      </c>
      <c r="U1665">
        <v>15.3139991760254</v>
      </c>
      <c r="V1665">
        <v>46000000</v>
      </c>
      <c r="W1665">
        <v>3.5551290512085001</v>
      </c>
      <c r="X1665">
        <v>0.36000001430511502</v>
      </c>
      <c r="Y1665">
        <v>7.6923079490661603</v>
      </c>
      <c r="Z1665">
        <v>5.8475461006164604</v>
      </c>
      <c r="AA1665">
        <v>35167000</v>
      </c>
      <c r="AB1665" t="s">
        <v>194</v>
      </c>
      <c r="AC1665" t="s">
        <v>195</v>
      </c>
      <c r="AD1665">
        <v>0.55000001192092896</v>
      </c>
      <c r="AE1665">
        <v>17.723920822143601</v>
      </c>
      <c r="AF1665">
        <v>7.1462062318238502</v>
      </c>
      <c r="AG1665">
        <v>35340000</v>
      </c>
      <c r="AH1665">
        <v>33.627536773681598</v>
      </c>
      <c r="AI1665">
        <v>2.1071119308471702</v>
      </c>
    </row>
    <row r="1666" spans="1:35">
      <c r="A1666">
        <f t="shared" si="222"/>
        <v>0</v>
      </c>
      <c r="B1666">
        <f t="shared" si="223"/>
        <v>1</v>
      </c>
      <c r="C1666">
        <f t="shared" si="224"/>
        <v>1</v>
      </c>
      <c r="D1666">
        <f t="shared" si="225"/>
        <v>1</v>
      </c>
      <c r="E1666">
        <f t="shared" si="226"/>
        <v>0</v>
      </c>
      <c r="F1666">
        <f t="shared" si="227"/>
        <v>1</v>
      </c>
      <c r="G1666">
        <f t="shared" si="228"/>
        <v>1</v>
      </c>
      <c r="H1666">
        <v>0</v>
      </c>
      <c r="I1666">
        <f t="shared" si="229"/>
        <v>0</v>
      </c>
      <c r="J1666">
        <f t="shared" si="221"/>
        <v>10.74374735355377</v>
      </c>
      <c r="K1666" t="s">
        <v>57</v>
      </c>
      <c r="L1666" t="s">
        <v>58</v>
      </c>
      <c r="M1666" t="s">
        <v>27</v>
      </c>
      <c r="N1666" t="s">
        <v>27</v>
      </c>
      <c r="O1666">
        <v>17.939</v>
      </c>
      <c r="P1666" t="s">
        <v>27</v>
      </c>
      <c r="Q1666">
        <v>9.0784053802490199</v>
      </c>
      <c r="R1666">
        <v>29.200000762939499</v>
      </c>
      <c r="S1666">
        <v>12.25</v>
      </c>
      <c r="T1666">
        <v>15.5085563659668</v>
      </c>
      <c r="U1666">
        <v>49.723392486572301</v>
      </c>
      <c r="V1666">
        <v>23107000</v>
      </c>
      <c r="W1666">
        <v>-0.34109899401664701</v>
      </c>
      <c r="X1666">
        <v>-7.9999998211860698E-2</v>
      </c>
      <c r="Y1666">
        <v>0.29447901248931901</v>
      </c>
      <c r="Z1666">
        <v>1.6653419733047501</v>
      </c>
      <c r="AA1666">
        <v>17631000</v>
      </c>
      <c r="AB1666" t="s">
        <v>27</v>
      </c>
      <c r="AC1666" t="s">
        <v>27</v>
      </c>
      <c r="AD1666">
        <v>0.18999999761581399</v>
      </c>
      <c r="AE1666">
        <v>52.658191680908203</v>
      </c>
      <c r="AF1666">
        <v>9.3235925122667798</v>
      </c>
      <c r="AG1666">
        <v>17998000</v>
      </c>
      <c r="AH1666">
        <v>40.1852416992188</v>
      </c>
      <c r="AI1666">
        <v>3.85167789459229</v>
      </c>
    </row>
    <row r="1667" spans="1:35">
      <c r="A1667">
        <f t="shared" si="222"/>
        <v>0</v>
      </c>
      <c r="B1667">
        <f t="shared" si="223"/>
        <v>0</v>
      </c>
      <c r="C1667">
        <f t="shared" si="224"/>
        <v>0</v>
      </c>
      <c r="D1667">
        <f t="shared" si="225"/>
        <v>0</v>
      </c>
      <c r="E1667">
        <f t="shared" si="226"/>
        <v>0</v>
      </c>
      <c r="F1667">
        <f t="shared" si="227"/>
        <v>1</v>
      </c>
      <c r="G1667">
        <f t="shared" si="228"/>
        <v>0</v>
      </c>
      <c r="H1667">
        <v>0</v>
      </c>
      <c r="I1667">
        <f t="shared" si="229"/>
        <v>0</v>
      </c>
      <c r="J1667">
        <f t="shared" si="221"/>
        <v>10.731053352355961</v>
      </c>
      <c r="K1667" t="s">
        <v>3246</v>
      </c>
      <c r="L1667" t="s">
        <v>3247</v>
      </c>
      <c r="M1667" t="s">
        <v>27</v>
      </c>
      <c r="N1667" t="s">
        <v>27</v>
      </c>
      <c r="O1667">
        <v>21.6</v>
      </c>
      <c r="P1667">
        <v>5.50390720367432</v>
      </c>
      <c r="Q1667">
        <v>5.0235061645507804</v>
      </c>
      <c r="R1667">
        <v>23.899999618530298</v>
      </c>
      <c r="S1667">
        <v>21.549999237060501</v>
      </c>
      <c r="T1667">
        <v>49.488590240478501</v>
      </c>
      <c r="U1667">
        <v>64.746032714843807</v>
      </c>
      <c r="V1667">
        <v>-50697000</v>
      </c>
      <c r="W1667">
        <v>2.3859019279479998</v>
      </c>
      <c r="X1667">
        <v>-0.31000000238418601</v>
      </c>
      <c r="Y1667">
        <v>4.3940300941467303</v>
      </c>
      <c r="Z1667">
        <v>5.7075471878051802</v>
      </c>
      <c r="AA1667">
        <v>31529910</v>
      </c>
      <c r="AB1667" t="s">
        <v>254</v>
      </c>
      <c r="AC1667" t="s">
        <v>400</v>
      </c>
      <c r="AD1667">
        <v>-0.50999999046325695</v>
      </c>
      <c r="AE1667">
        <v>59.725551605224602</v>
      </c>
      <c r="AF1667">
        <v>6.8360504348841298</v>
      </c>
      <c r="AG1667">
        <v>32363460</v>
      </c>
      <c r="AH1667">
        <v>51.469272613525398</v>
      </c>
      <c r="AI1667">
        <v>2.1072340011596702</v>
      </c>
    </row>
    <row r="1668" spans="1:35">
      <c r="A1668">
        <f t="shared" si="222"/>
        <v>1</v>
      </c>
      <c r="B1668">
        <f t="shared" si="223"/>
        <v>0</v>
      </c>
      <c r="C1668">
        <f t="shared" si="224"/>
        <v>1</v>
      </c>
      <c r="D1668">
        <f t="shared" si="225"/>
        <v>1</v>
      </c>
      <c r="E1668">
        <f t="shared" si="226"/>
        <v>0</v>
      </c>
      <c r="F1668">
        <f t="shared" si="227"/>
        <v>1</v>
      </c>
      <c r="G1668">
        <f t="shared" si="228"/>
        <v>0</v>
      </c>
      <c r="H1668">
        <v>0</v>
      </c>
      <c r="I1668">
        <f t="shared" si="229"/>
        <v>1</v>
      </c>
      <c r="J1668">
        <f t="shared" si="221"/>
        <v>10.701674938201901</v>
      </c>
      <c r="K1668" t="s">
        <v>1435</v>
      </c>
      <c r="L1668" t="s">
        <v>1436</v>
      </c>
      <c r="M1668" t="s">
        <v>27</v>
      </c>
      <c r="N1668" t="s">
        <v>27</v>
      </c>
      <c r="O1668">
        <v>20.96</v>
      </c>
      <c r="P1668">
        <v>6.5542769432067898</v>
      </c>
      <c r="Q1668">
        <v>5.8906779289245597</v>
      </c>
      <c r="R1668">
        <v>18.5</v>
      </c>
      <c r="S1668">
        <v>11.375</v>
      </c>
      <c r="T1668">
        <v>15.321830749511699</v>
      </c>
      <c r="U1668" t="s">
        <v>27</v>
      </c>
      <c r="V1668">
        <v>5394000</v>
      </c>
      <c r="W1668">
        <v>1.1457600593566899</v>
      </c>
      <c r="X1668">
        <v>0.15199999511241899</v>
      </c>
      <c r="Y1668" t="s">
        <v>27</v>
      </c>
      <c r="Z1668">
        <v>4.8109970092773402</v>
      </c>
      <c r="AA1668">
        <v>7799000</v>
      </c>
      <c r="AB1668" t="s">
        <v>27</v>
      </c>
      <c r="AC1668" t="s">
        <v>27</v>
      </c>
      <c r="AD1668">
        <v>0.239999994635582</v>
      </c>
      <c r="AE1668" t="s">
        <v>27</v>
      </c>
      <c r="AF1668" t="s">
        <v>27</v>
      </c>
      <c r="AG1668">
        <v>7822000</v>
      </c>
      <c r="AH1668">
        <v>11.634504318237299</v>
      </c>
      <c r="AI1668">
        <v>0.91544300317764304</v>
      </c>
    </row>
    <row r="1669" spans="1:35">
      <c r="A1669">
        <f t="shared" si="222"/>
        <v>1</v>
      </c>
      <c r="B1669">
        <f t="shared" si="223"/>
        <v>1</v>
      </c>
      <c r="C1669">
        <f t="shared" si="224"/>
        <v>0</v>
      </c>
      <c r="D1669">
        <f t="shared" si="225"/>
        <v>1</v>
      </c>
      <c r="E1669">
        <f t="shared" si="226"/>
        <v>0</v>
      </c>
      <c r="F1669">
        <f t="shared" si="227"/>
        <v>1</v>
      </c>
      <c r="G1669">
        <f t="shared" si="228"/>
        <v>0</v>
      </c>
      <c r="H1669">
        <v>0</v>
      </c>
      <c r="I1669">
        <f t="shared" si="229"/>
        <v>0</v>
      </c>
      <c r="J1669">
        <f t="shared" si="221"/>
        <v>10.693489074707031</v>
      </c>
      <c r="K1669" t="s">
        <v>228</v>
      </c>
      <c r="L1669" t="s">
        <v>229</v>
      </c>
      <c r="M1669" t="s">
        <v>27</v>
      </c>
      <c r="N1669" t="s">
        <v>27</v>
      </c>
      <c r="O1669">
        <v>21.63</v>
      </c>
      <c r="P1669">
        <v>4.3385968208312997</v>
      </c>
      <c r="Q1669">
        <v>4.5315170288085902</v>
      </c>
      <c r="R1669">
        <v>22.0100002288818</v>
      </c>
      <c r="S1669">
        <v>19.8125</v>
      </c>
      <c r="T1669">
        <v>20.295965194702099</v>
      </c>
      <c r="U1669" t="s">
        <v>27</v>
      </c>
      <c r="V1669">
        <v>-3670000</v>
      </c>
      <c r="W1669">
        <v>0.94518798589706399</v>
      </c>
      <c r="X1669">
        <v>0.40000000596046398</v>
      </c>
      <c r="Y1669">
        <v>7.9490451812744096</v>
      </c>
      <c r="Z1669">
        <v>6.1619720458984402</v>
      </c>
      <c r="AA1669">
        <v>26590000</v>
      </c>
      <c r="AB1669" t="s">
        <v>27</v>
      </c>
      <c r="AC1669" t="s">
        <v>27</v>
      </c>
      <c r="AD1669">
        <v>0.41999998688697798</v>
      </c>
      <c r="AE1669" t="s">
        <v>27</v>
      </c>
      <c r="AF1669" t="s">
        <v>27</v>
      </c>
      <c r="AG1669">
        <v>24962000</v>
      </c>
      <c r="AH1669">
        <v>18.66162109375</v>
      </c>
      <c r="AI1669">
        <v>1.0028949975967401</v>
      </c>
    </row>
    <row r="1670" spans="1:35">
      <c r="A1670">
        <f t="shared" si="222"/>
        <v>0</v>
      </c>
      <c r="B1670">
        <f t="shared" si="223"/>
        <v>0</v>
      </c>
      <c r="C1670">
        <f t="shared" si="224"/>
        <v>1</v>
      </c>
      <c r="D1670">
        <f t="shared" si="225"/>
        <v>0</v>
      </c>
      <c r="E1670">
        <f t="shared" si="226"/>
        <v>0</v>
      </c>
      <c r="F1670">
        <f t="shared" si="227"/>
        <v>1</v>
      </c>
      <c r="G1670">
        <f t="shared" si="228"/>
        <v>0</v>
      </c>
      <c r="H1670">
        <v>0</v>
      </c>
      <c r="I1670">
        <f t="shared" si="229"/>
        <v>0</v>
      </c>
      <c r="J1670">
        <f t="shared" si="221"/>
        <v>10.67671179771423</v>
      </c>
      <c r="K1670" t="s">
        <v>1219</v>
      </c>
      <c r="L1670" t="s">
        <v>1220</v>
      </c>
      <c r="M1670" t="s">
        <v>27</v>
      </c>
      <c r="N1670" t="s">
        <v>27</v>
      </c>
      <c r="O1670">
        <v>10.691000000000001</v>
      </c>
      <c r="P1670" t="s">
        <v>27</v>
      </c>
      <c r="Q1670">
        <v>7.0423507690429696</v>
      </c>
      <c r="R1670">
        <v>11.2399997711182</v>
      </c>
      <c r="S1670">
        <v>9.375</v>
      </c>
      <c r="T1670">
        <v>5.4617581367492702</v>
      </c>
      <c r="U1670">
        <v>51.200809478759801</v>
      </c>
      <c r="V1670">
        <v>648000</v>
      </c>
      <c r="W1670">
        <v>16.100242614746101</v>
      </c>
      <c r="X1670">
        <v>0.259999990463257</v>
      </c>
      <c r="Y1670" t="s">
        <v>27</v>
      </c>
      <c r="Z1670">
        <v>3.6343610286712602</v>
      </c>
      <c r="AA1670">
        <v>68413000</v>
      </c>
      <c r="AB1670" t="s">
        <v>38</v>
      </c>
      <c r="AC1670" t="s">
        <v>118</v>
      </c>
      <c r="AD1670">
        <v>-7.9999998211860698E-2</v>
      </c>
      <c r="AE1670">
        <v>33.139232635497997</v>
      </c>
      <c r="AF1670">
        <v>21.317015277956099</v>
      </c>
      <c r="AG1670">
        <v>69768000</v>
      </c>
      <c r="AH1670">
        <v>6.7748131752014196</v>
      </c>
      <c r="AI1670">
        <v>10.3107147216797</v>
      </c>
    </row>
    <row r="1671" spans="1:35">
      <c r="A1671">
        <f t="shared" si="222"/>
        <v>1</v>
      </c>
      <c r="B1671">
        <f t="shared" si="223"/>
        <v>0</v>
      </c>
      <c r="C1671">
        <f t="shared" si="224"/>
        <v>0</v>
      </c>
      <c r="D1671">
        <f t="shared" si="225"/>
        <v>0</v>
      </c>
      <c r="E1671">
        <f t="shared" si="226"/>
        <v>0</v>
      </c>
      <c r="F1671">
        <f t="shared" si="227"/>
        <v>1</v>
      </c>
      <c r="G1671">
        <f t="shared" si="228"/>
        <v>0</v>
      </c>
      <c r="H1671">
        <v>0</v>
      </c>
      <c r="I1671">
        <f t="shared" si="229"/>
        <v>0</v>
      </c>
      <c r="J1671">
        <f t="shared" si="221"/>
        <v>10.639933109283451</v>
      </c>
      <c r="K1671" t="s">
        <v>2478</v>
      </c>
      <c r="L1671" t="s">
        <v>2479</v>
      </c>
      <c r="M1671" t="s">
        <v>27</v>
      </c>
      <c r="N1671" t="s">
        <v>27</v>
      </c>
      <c r="O1671">
        <v>11.43</v>
      </c>
      <c r="P1671" t="s">
        <v>27</v>
      </c>
      <c r="Q1671">
        <v>5.6220121383667001</v>
      </c>
      <c r="R1671">
        <v>14.199999809265099</v>
      </c>
      <c r="S1671">
        <v>18.120000839233398</v>
      </c>
      <c r="T1671">
        <v>49.310043334960902</v>
      </c>
      <c r="U1671">
        <v>36.569187164306598</v>
      </c>
      <c r="V1671">
        <v>-146999.359375</v>
      </c>
      <c r="W1671">
        <v>3.9857640266418501</v>
      </c>
      <c r="X1671">
        <v>0.5</v>
      </c>
      <c r="Y1671">
        <v>7.1292519569396999</v>
      </c>
      <c r="Z1671">
        <v>5.0179209709167498</v>
      </c>
      <c r="AA1671">
        <v>17432000</v>
      </c>
      <c r="AB1671" t="s">
        <v>27</v>
      </c>
      <c r="AC1671" t="s">
        <v>27</v>
      </c>
      <c r="AD1671">
        <v>-0.140000000596046</v>
      </c>
      <c r="AE1671">
        <v>28.3564968109131</v>
      </c>
      <c r="AF1671">
        <v>7.3872576630724396</v>
      </c>
      <c r="AG1671">
        <v>16880000</v>
      </c>
      <c r="AH1671">
        <v>47.3471488952637</v>
      </c>
      <c r="AI1671">
        <v>1.4470909833908101</v>
      </c>
    </row>
    <row r="1672" spans="1:35">
      <c r="A1672">
        <f t="shared" si="222"/>
        <v>0</v>
      </c>
      <c r="B1672">
        <f t="shared" si="223"/>
        <v>0</v>
      </c>
      <c r="C1672">
        <f t="shared" si="224"/>
        <v>1</v>
      </c>
      <c r="D1672">
        <f t="shared" si="225"/>
        <v>1</v>
      </c>
      <c r="E1672">
        <f t="shared" si="226"/>
        <v>1</v>
      </c>
      <c r="F1672">
        <f t="shared" si="227"/>
        <v>1</v>
      </c>
      <c r="G1672">
        <f t="shared" si="228"/>
        <v>1</v>
      </c>
      <c r="H1672">
        <v>0</v>
      </c>
      <c r="I1672">
        <f t="shared" si="229"/>
        <v>0</v>
      </c>
      <c r="J1672">
        <f t="shared" si="221"/>
        <v>10.63830518722534</v>
      </c>
      <c r="K1672" t="s">
        <v>2450</v>
      </c>
      <c r="L1672" t="s">
        <v>2451</v>
      </c>
      <c r="M1672" t="s">
        <v>27</v>
      </c>
      <c r="N1672" t="s">
        <v>27</v>
      </c>
      <c r="O1672">
        <v>13.491</v>
      </c>
      <c r="P1672">
        <v>6.4291310310363796</v>
      </c>
      <c r="Q1672">
        <v>6.5677490234375</v>
      </c>
      <c r="R1672">
        <v>17.079999923706101</v>
      </c>
      <c r="S1672">
        <v>11.1875</v>
      </c>
      <c r="T1672">
        <v>35.288860321044901</v>
      </c>
      <c r="U1672">
        <v>40.622020721435497</v>
      </c>
      <c r="V1672">
        <v>6845000</v>
      </c>
      <c r="W1672">
        <v>8.9612760543823207</v>
      </c>
      <c r="X1672">
        <v>7.9999998211860698E-2</v>
      </c>
      <c r="Y1672">
        <v>4.9908261299133301</v>
      </c>
      <c r="Z1672">
        <v>4.07055616378784</v>
      </c>
      <c r="AA1672">
        <v>15005000</v>
      </c>
      <c r="AB1672" t="s">
        <v>27</v>
      </c>
      <c r="AC1672" t="s">
        <v>27</v>
      </c>
      <c r="AD1672">
        <v>0.21999999880790699</v>
      </c>
      <c r="AE1672">
        <v>50.026519775390597</v>
      </c>
      <c r="AF1672">
        <v>5.5324874366868597</v>
      </c>
      <c r="AG1672">
        <v>15005000</v>
      </c>
      <c r="AH1672">
        <v>36.606674194335902</v>
      </c>
      <c r="AI1672">
        <v>5.1103501319885298</v>
      </c>
    </row>
    <row r="1673" spans="1:35">
      <c r="A1673">
        <f t="shared" si="222"/>
        <v>1</v>
      </c>
      <c r="B1673">
        <f t="shared" si="223"/>
        <v>0</v>
      </c>
      <c r="C1673">
        <f t="shared" si="224"/>
        <v>0</v>
      </c>
      <c r="D1673">
        <f t="shared" si="225"/>
        <v>0</v>
      </c>
      <c r="E1673">
        <f t="shared" si="226"/>
        <v>0</v>
      </c>
      <c r="F1673">
        <f t="shared" si="227"/>
        <v>1</v>
      </c>
      <c r="G1673">
        <f t="shared" si="228"/>
        <v>0</v>
      </c>
      <c r="H1673">
        <v>0</v>
      </c>
      <c r="I1673">
        <f t="shared" si="229"/>
        <v>0</v>
      </c>
      <c r="J1673">
        <f t="shared" si="221"/>
        <v>10.61209678649902</v>
      </c>
      <c r="K1673" t="s">
        <v>616</v>
      </c>
      <c r="L1673" t="s">
        <v>617</v>
      </c>
      <c r="M1673" t="s">
        <v>27</v>
      </c>
      <c r="N1673" t="s">
        <v>27</v>
      </c>
      <c r="O1673">
        <v>5.63</v>
      </c>
      <c r="P1673">
        <v>14.602868080139199</v>
      </c>
      <c r="Q1673">
        <v>5.5260248184204102</v>
      </c>
      <c r="R1673">
        <v>12.800000190734901</v>
      </c>
      <c r="S1673">
        <v>20.649999618530298</v>
      </c>
      <c r="T1673">
        <v>21.945489883422901</v>
      </c>
      <c r="U1673">
        <v>29.9316310882568</v>
      </c>
      <c r="V1673">
        <v>-3309000</v>
      </c>
      <c r="W1673">
        <v>9.0742883682250994</v>
      </c>
      <c r="X1673">
        <v>0.37000000476837203</v>
      </c>
      <c r="Y1673">
        <v>5.6368570327758798</v>
      </c>
      <c r="Z1673">
        <v>5.0860719680786097</v>
      </c>
      <c r="AA1673">
        <v>43717000</v>
      </c>
      <c r="AB1673" t="s">
        <v>27</v>
      </c>
      <c r="AC1673" t="s">
        <v>27</v>
      </c>
      <c r="AD1673">
        <v>5.9999998658895499E-2</v>
      </c>
      <c r="AE1673">
        <v>27.693973541259801</v>
      </c>
      <c r="AF1673" t="s">
        <v>27</v>
      </c>
      <c r="AG1673">
        <v>44072000</v>
      </c>
      <c r="AH1673">
        <v>20.958370208740199</v>
      </c>
      <c r="AI1673">
        <v>3.9101510047912602</v>
      </c>
    </row>
    <row r="1674" spans="1:35">
      <c r="A1674">
        <f t="shared" si="222"/>
        <v>1</v>
      </c>
      <c r="B1674">
        <f t="shared" si="223"/>
        <v>0</v>
      </c>
      <c r="C1674">
        <f t="shared" si="224"/>
        <v>1</v>
      </c>
      <c r="D1674">
        <f t="shared" si="225"/>
        <v>0</v>
      </c>
      <c r="E1674">
        <f t="shared" si="226"/>
        <v>0</v>
      </c>
      <c r="F1674">
        <f t="shared" si="227"/>
        <v>1</v>
      </c>
      <c r="G1674">
        <f t="shared" si="228"/>
        <v>1</v>
      </c>
      <c r="H1674">
        <v>0</v>
      </c>
      <c r="I1674">
        <f t="shared" si="229"/>
        <v>0</v>
      </c>
      <c r="J1674">
        <f t="shared" si="221"/>
        <v>10.60800313949585</v>
      </c>
      <c r="K1674" t="s">
        <v>1854</v>
      </c>
      <c r="L1674" t="s">
        <v>1855</v>
      </c>
      <c r="M1674" t="s">
        <v>27</v>
      </c>
      <c r="N1674" t="s">
        <v>27</v>
      </c>
      <c r="O1674">
        <v>7.61</v>
      </c>
      <c r="P1674">
        <v>11.5362281799316</v>
      </c>
      <c r="Q1674">
        <v>6.6745691299438503</v>
      </c>
      <c r="R1674">
        <v>9.75</v>
      </c>
      <c r="S1674">
        <v>4.9375</v>
      </c>
      <c r="T1674">
        <v>3.08350007981062E-2</v>
      </c>
      <c r="U1674">
        <v>70.611511230468807</v>
      </c>
      <c r="V1674">
        <v>86999.984375</v>
      </c>
      <c r="W1674">
        <v>12.795519828796399</v>
      </c>
      <c r="X1674">
        <v>7.9999998211860698E-2</v>
      </c>
      <c r="Y1674">
        <v>4.4000000953674299</v>
      </c>
      <c r="Z1674">
        <v>3.9334340095520002</v>
      </c>
      <c r="AA1674">
        <v>14408000</v>
      </c>
      <c r="AB1674" t="s">
        <v>27</v>
      </c>
      <c r="AC1674" t="s">
        <v>27</v>
      </c>
      <c r="AD1674">
        <v>5.0000000745058101E-2</v>
      </c>
      <c r="AE1674">
        <v>71.733444213867202</v>
      </c>
      <c r="AF1674">
        <v>24.842100799702401</v>
      </c>
      <c r="AG1674">
        <v>16838000</v>
      </c>
      <c r="AH1674">
        <v>0</v>
      </c>
      <c r="AI1674">
        <v>9.6087226867675799</v>
      </c>
    </row>
    <row r="1675" spans="1:35">
      <c r="A1675">
        <f t="shared" si="222"/>
        <v>0</v>
      </c>
      <c r="B1675">
        <f t="shared" si="223"/>
        <v>0</v>
      </c>
      <c r="C1675">
        <f t="shared" si="224"/>
        <v>1</v>
      </c>
      <c r="D1675">
        <f t="shared" si="225"/>
        <v>0</v>
      </c>
      <c r="E1675">
        <f t="shared" si="226"/>
        <v>0</v>
      </c>
      <c r="F1675">
        <f t="shared" si="227"/>
        <v>1</v>
      </c>
      <c r="G1675">
        <f t="shared" si="228"/>
        <v>0</v>
      </c>
      <c r="H1675">
        <v>0</v>
      </c>
      <c r="I1675">
        <f t="shared" si="229"/>
        <v>1</v>
      </c>
      <c r="J1675">
        <f t="shared" si="221"/>
        <v>10.598220825195309</v>
      </c>
      <c r="K1675" t="s">
        <v>508</v>
      </c>
      <c r="L1675" t="s">
        <v>509</v>
      </c>
      <c r="M1675" t="s">
        <v>27</v>
      </c>
      <c r="N1675" t="s">
        <v>27</v>
      </c>
      <c r="O1675">
        <v>9.08</v>
      </c>
      <c r="P1675" t="s">
        <v>27</v>
      </c>
      <c r="Q1675">
        <v>5.2232208251953098</v>
      </c>
      <c r="R1675">
        <v>8.3400001525878906</v>
      </c>
      <c r="S1675">
        <v>10.5100002288818</v>
      </c>
      <c r="T1675">
        <v>50.890575408935497</v>
      </c>
      <c r="U1675" t="s">
        <v>27</v>
      </c>
      <c r="V1675">
        <v>4611000</v>
      </c>
      <c r="W1675">
        <v>2.96798491477966</v>
      </c>
      <c r="X1675">
        <v>0.18000000715255701</v>
      </c>
      <c r="Y1675">
        <v>2.6987950801849401</v>
      </c>
      <c r="Z1675">
        <v>5.375</v>
      </c>
      <c r="AA1675">
        <v>17141000</v>
      </c>
      <c r="AB1675" t="s">
        <v>27</v>
      </c>
      <c r="AC1675" t="s">
        <v>27</v>
      </c>
      <c r="AD1675">
        <v>7.9999998211860698E-2</v>
      </c>
      <c r="AE1675" t="s">
        <v>27</v>
      </c>
      <c r="AF1675">
        <v>7.7511185446791497</v>
      </c>
      <c r="AG1675">
        <v>17183000</v>
      </c>
      <c r="AH1675">
        <v>52.462760925292997</v>
      </c>
      <c r="AI1675">
        <v>1.28118395805359</v>
      </c>
    </row>
    <row r="1676" spans="1:35">
      <c r="A1676">
        <f t="shared" si="222"/>
        <v>0</v>
      </c>
      <c r="B1676">
        <f t="shared" si="223"/>
        <v>0</v>
      </c>
      <c r="C1676">
        <f t="shared" si="224"/>
        <v>0</v>
      </c>
      <c r="D1676">
        <f t="shared" si="225"/>
        <v>1</v>
      </c>
      <c r="E1676">
        <f t="shared" si="226"/>
        <v>0</v>
      </c>
      <c r="F1676">
        <f t="shared" si="227"/>
        <v>1</v>
      </c>
      <c r="G1676">
        <f t="shared" si="228"/>
        <v>1</v>
      </c>
      <c r="H1676">
        <v>0</v>
      </c>
      <c r="I1676">
        <f t="shared" si="229"/>
        <v>0</v>
      </c>
      <c r="J1676">
        <f t="shared" si="221"/>
        <v>10.53682804107666</v>
      </c>
      <c r="K1676" t="s">
        <v>2548</v>
      </c>
      <c r="L1676" t="s">
        <v>2549</v>
      </c>
      <c r="M1676" t="s">
        <v>27</v>
      </c>
      <c r="N1676" t="s">
        <v>27</v>
      </c>
      <c r="O1676">
        <v>17.149999999999999</v>
      </c>
      <c r="P1676">
        <v>6.0673317909240696</v>
      </c>
      <c r="Q1676">
        <v>6.0682291984558097</v>
      </c>
      <c r="R1676">
        <v>17.25</v>
      </c>
      <c r="S1676">
        <v>22.344999313354499</v>
      </c>
      <c r="T1676">
        <v>30.980056762695298</v>
      </c>
      <c r="U1676">
        <v>10.8252000808716</v>
      </c>
      <c r="V1676">
        <v>-101333000</v>
      </c>
      <c r="W1676">
        <v>3.9048490524292001</v>
      </c>
      <c r="X1676">
        <v>4.9999998882412902E-3</v>
      </c>
      <c r="Y1676">
        <v>4.9535369873046902</v>
      </c>
      <c r="Z1676">
        <v>4.4685988426208496</v>
      </c>
      <c r="AA1676">
        <v>58391760</v>
      </c>
      <c r="AB1676" t="s">
        <v>328</v>
      </c>
      <c r="AC1676" t="s">
        <v>329</v>
      </c>
      <c r="AD1676">
        <v>0.15999999642372101</v>
      </c>
      <c r="AE1676" t="s">
        <v>27</v>
      </c>
      <c r="AF1676">
        <v>6.2176564283794704</v>
      </c>
      <c r="AG1676">
        <v>59703000</v>
      </c>
      <c r="AH1676">
        <v>42.775135040283203</v>
      </c>
      <c r="AI1676">
        <v>2.8041009902954102</v>
      </c>
    </row>
    <row r="1677" spans="1:35">
      <c r="A1677">
        <f t="shared" si="222"/>
        <v>1</v>
      </c>
      <c r="B1677">
        <f t="shared" si="223"/>
        <v>0</v>
      </c>
      <c r="C1677">
        <f t="shared" si="224"/>
        <v>0</v>
      </c>
      <c r="D1677">
        <f t="shared" si="225"/>
        <v>1</v>
      </c>
      <c r="E1677">
        <f t="shared" si="226"/>
        <v>0</v>
      </c>
      <c r="F1677">
        <f t="shared" si="227"/>
        <v>1</v>
      </c>
      <c r="G1677">
        <f t="shared" si="228"/>
        <v>0</v>
      </c>
      <c r="H1677">
        <v>0</v>
      </c>
      <c r="I1677">
        <f t="shared" si="229"/>
        <v>0</v>
      </c>
      <c r="J1677">
        <f t="shared" si="221"/>
        <v>10.50544691085816</v>
      </c>
      <c r="K1677" t="s">
        <v>3541</v>
      </c>
      <c r="L1677" t="s">
        <v>3542</v>
      </c>
      <c r="M1677" t="s">
        <v>27</v>
      </c>
      <c r="N1677" t="s">
        <v>27</v>
      </c>
      <c r="O1677">
        <v>3.19</v>
      </c>
      <c r="P1677">
        <v>12.405778884887701</v>
      </c>
      <c r="Q1677">
        <v>5.0616598129272496</v>
      </c>
      <c r="R1677">
        <v>7.9699997901916504</v>
      </c>
      <c r="S1677">
        <v>9.3125</v>
      </c>
      <c r="T1677">
        <v>2.6616458892822301</v>
      </c>
      <c r="U1677">
        <v>34.5263671875</v>
      </c>
      <c r="V1677">
        <v>-5371000.5</v>
      </c>
      <c r="W1677">
        <v>6.9962739944457999</v>
      </c>
      <c r="X1677">
        <v>-0.31999999284744302</v>
      </c>
      <c r="Y1677">
        <v>16.477611541748001</v>
      </c>
      <c r="Z1677">
        <v>5.44378709793091</v>
      </c>
      <c r="AA1677">
        <v>46750000</v>
      </c>
      <c r="AB1677" t="s">
        <v>30</v>
      </c>
      <c r="AC1677" t="s">
        <v>68</v>
      </c>
      <c r="AD1677">
        <v>-0.28000000119209301</v>
      </c>
      <c r="AE1677">
        <v>32.515609741210902</v>
      </c>
      <c r="AF1677" t="s">
        <v>27</v>
      </c>
      <c r="AG1677">
        <v>41843000</v>
      </c>
      <c r="AH1677">
        <v>1.97975194454193</v>
      </c>
      <c r="AI1677">
        <v>4.1002612113952601</v>
      </c>
    </row>
    <row r="1678" spans="1:35">
      <c r="A1678">
        <f t="shared" si="222"/>
        <v>0</v>
      </c>
      <c r="B1678">
        <f t="shared" si="223"/>
        <v>0</v>
      </c>
      <c r="C1678">
        <f t="shared" si="224"/>
        <v>1</v>
      </c>
      <c r="D1678">
        <f t="shared" si="225"/>
        <v>1</v>
      </c>
      <c r="E1678">
        <f t="shared" si="226"/>
        <v>0</v>
      </c>
      <c r="F1678">
        <f t="shared" si="227"/>
        <v>1</v>
      </c>
      <c r="G1678">
        <f t="shared" si="228"/>
        <v>0</v>
      </c>
      <c r="H1678">
        <v>0</v>
      </c>
      <c r="I1678">
        <f t="shared" si="229"/>
        <v>0</v>
      </c>
      <c r="J1678">
        <f t="shared" si="221"/>
        <v>10.476674973964691</v>
      </c>
      <c r="K1678" t="s">
        <v>3400</v>
      </c>
      <c r="L1678" t="s">
        <v>3401</v>
      </c>
      <c r="M1678" t="s">
        <v>27</v>
      </c>
      <c r="N1678" t="s">
        <v>27</v>
      </c>
      <c r="O1678">
        <v>30</v>
      </c>
      <c r="P1678">
        <v>9.0545606613159197</v>
      </c>
      <c r="Q1678">
        <v>9.5254859924316406</v>
      </c>
      <c r="R1678">
        <v>37.700000762939503</v>
      </c>
      <c r="S1678">
        <v>28</v>
      </c>
      <c r="T1678">
        <v>0</v>
      </c>
      <c r="U1678">
        <v>56.4627075195313</v>
      </c>
      <c r="V1678">
        <v>1943000</v>
      </c>
      <c r="W1678">
        <v>10.252937316894499</v>
      </c>
      <c r="X1678">
        <v>0.10000000149011599</v>
      </c>
      <c r="Y1678">
        <v>0.91324198246002197</v>
      </c>
      <c r="Z1678">
        <v>0.95118898153305098</v>
      </c>
      <c r="AA1678">
        <v>16556000</v>
      </c>
      <c r="AB1678" t="s">
        <v>73</v>
      </c>
      <c r="AC1678" t="s">
        <v>74</v>
      </c>
      <c r="AD1678">
        <v>0.129999995231628</v>
      </c>
      <c r="AE1678">
        <v>31.592840194702099</v>
      </c>
      <c r="AF1678">
        <v>40.219943384223903</v>
      </c>
      <c r="AG1678">
        <v>16761000</v>
      </c>
      <c r="AH1678">
        <v>0</v>
      </c>
      <c r="AI1678">
        <v>9.1779546737670898</v>
      </c>
    </row>
    <row r="1679" spans="1:35">
      <c r="A1679">
        <f t="shared" si="222"/>
        <v>0</v>
      </c>
      <c r="B1679">
        <f t="shared" si="223"/>
        <v>1</v>
      </c>
      <c r="C1679">
        <f t="shared" si="224"/>
        <v>1</v>
      </c>
      <c r="D1679">
        <f t="shared" si="225"/>
        <v>1</v>
      </c>
      <c r="E1679">
        <f t="shared" si="226"/>
        <v>0</v>
      </c>
      <c r="F1679">
        <f t="shared" si="227"/>
        <v>1</v>
      </c>
      <c r="G1679">
        <f t="shared" si="228"/>
        <v>0</v>
      </c>
      <c r="H1679">
        <v>0</v>
      </c>
      <c r="I1679">
        <f t="shared" si="229"/>
        <v>1</v>
      </c>
      <c r="J1679">
        <f t="shared" si="221"/>
        <v>10.45570707321167</v>
      </c>
      <c r="K1679" t="s">
        <v>1606</v>
      </c>
      <c r="L1679" t="s">
        <v>1607</v>
      </c>
      <c r="M1679" t="s">
        <v>27</v>
      </c>
      <c r="N1679" t="s">
        <v>27</v>
      </c>
      <c r="O1679">
        <v>23.49</v>
      </c>
      <c r="P1679">
        <v>4.77522897720337</v>
      </c>
      <c r="Q1679">
        <v>4.8597359657287598</v>
      </c>
      <c r="R1679">
        <v>18.299999237060501</v>
      </c>
      <c r="S1679">
        <v>14.5625</v>
      </c>
      <c r="T1679">
        <v>15.0433921813965</v>
      </c>
      <c r="U1679" t="s">
        <v>27</v>
      </c>
      <c r="V1679">
        <v>9604000</v>
      </c>
      <c r="W1679">
        <v>1.4283260107040401</v>
      </c>
      <c r="X1679">
        <v>0.239999994635582</v>
      </c>
      <c r="Y1679">
        <v>7.2953372001647896</v>
      </c>
      <c r="Z1679">
        <v>5.5959711074829102</v>
      </c>
      <c r="AA1679">
        <v>24064000</v>
      </c>
      <c r="AB1679" t="s">
        <v>27</v>
      </c>
      <c r="AC1679" t="s">
        <v>27</v>
      </c>
      <c r="AD1679">
        <v>0.259999990463257</v>
      </c>
      <c r="AE1679" t="s">
        <v>27</v>
      </c>
      <c r="AF1679" t="s">
        <v>27</v>
      </c>
      <c r="AG1679">
        <v>23289000</v>
      </c>
      <c r="AH1679">
        <v>16.841527938842798</v>
      </c>
      <c r="AI1679">
        <v>1.4445430040359499</v>
      </c>
    </row>
    <row r="1680" spans="1:35">
      <c r="A1680">
        <f t="shared" si="222"/>
        <v>1</v>
      </c>
      <c r="B1680">
        <f t="shared" si="223"/>
        <v>0</v>
      </c>
      <c r="C1680">
        <f t="shared" si="224"/>
        <v>1</v>
      </c>
      <c r="D1680">
        <f t="shared" si="225"/>
        <v>1</v>
      </c>
      <c r="E1680">
        <f t="shared" si="226"/>
        <v>0</v>
      </c>
      <c r="F1680">
        <f t="shared" si="227"/>
        <v>0</v>
      </c>
      <c r="G1680">
        <f t="shared" si="228"/>
        <v>1</v>
      </c>
      <c r="H1680">
        <v>0</v>
      </c>
      <c r="I1680">
        <f t="shared" si="229"/>
        <v>0</v>
      </c>
      <c r="J1680">
        <f t="shared" si="221"/>
        <v>10.450483798980709</v>
      </c>
      <c r="K1680" t="s">
        <v>2692</v>
      </c>
      <c r="L1680" t="s">
        <v>2693</v>
      </c>
      <c r="M1680" t="s">
        <v>27</v>
      </c>
      <c r="N1680" t="s">
        <v>27</v>
      </c>
      <c r="O1680">
        <v>10.41</v>
      </c>
      <c r="P1680" t="s">
        <v>27</v>
      </c>
      <c r="Q1680">
        <v>5.0253829956054696</v>
      </c>
      <c r="R1680">
        <v>16.450000762939499</v>
      </c>
      <c r="S1680">
        <v>4.8000001907348597</v>
      </c>
      <c r="T1680">
        <v>41.240486145019503</v>
      </c>
      <c r="U1680">
        <v>10.6619462966919</v>
      </c>
      <c r="V1680">
        <v>36503000</v>
      </c>
      <c r="W1680">
        <v>1.4058300256729099</v>
      </c>
      <c r="X1680">
        <v>-1.2400000095367401</v>
      </c>
      <c r="Y1680">
        <v>-27.835617065429702</v>
      </c>
      <c r="Z1680">
        <v>5.4251008033752397</v>
      </c>
      <c r="AA1680">
        <v>53377108</v>
      </c>
      <c r="AB1680" t="s">
        <v>30</v>
      </c>
      <c r="AC1680" t="s">
        <v>68</v>
      </c>
      <c r="AD1680">
        <v>0.18999999761581399</v>
      </c>
      <c r="AE1680">
        <v>28.2777309417725</v>
      </c>
      <c r="AF1680">
        <v>4.3148811942147702</v>
      </c>
      <c r="AG1680">
        <v>53596000</v>
      </c>
      <c r="AH1680">
        <v>35.758953094482401</v>
      </c>
      <c r="AI1680">
        <v>-2.5682630538940399</v>
      </c>
    </row>
    <row r="1681" spans="1:35">
      <c r="A1681">
        <f t="shared" si="222"/>
        <v>0</v>
      </c>
      <c r="B1681">
        <f t="shared" si="223"/>
        <v>1</v>
      </c>
      <c r="C1681">
        <f t="shared" si="224"/>
        <v>1</v>
      </c>
      <c r="D1681">
        <f t="shared" si="225"/>
        <v>1</v>
      </c>
      <c r="E1681">
        <f t="shared" si="226"/>
        <v>0</v>
      </c>
      <c r="F1681">
        <f t="shared" si="227"/>
        <v>1</v>
      </c>
      <c r="G1681">
        <f t="shared" si="228"/>
        <v>1</v>
      </c>
      <c r="H1681">
        <v>0</v>
      </c>
      <c r="I1681">
        <f t="shared" si="229"/>
        <v>1</v>
      </c>
      <c r="J1681">
        <f t="shared" si="221"/>
        <v>10.38230514526367</v>
      </c>
      <c r="K1681" t="s">
        <v>562</v>
      </c>
      <c r="L1681" t="s">
        <v>563</v>
      </c>
      <c r="M1681" t="s">
        <v>27</v>
      </c>
      <c r="N1681" t="s">
        <v>27</v>
      </c>
      <c r="O1681">
        <v>13.38</v>
      </c>
      <c r="P1681">
        <v>10.65407371521</v>
      </c>
      <c r="Q1681">
        <v>4.3148889541626003</v>
      </c>
      <c r="R1681">
        <v>8.2299995422363299</v>
      </c>
      <c r="S1681">
        <v>4.1999998092651403</v>
      </c>
      <c r="T1681">
        <v>61.248779296875</v>
      </c>
      <c r="U1681">
        <v>40.9846382141113</v>
      </c>
      <c r="V1681">
        <v>16495001</v>
      </c>
      <c r="W1681">
        <v>2.95733594894409</v>
      </c>
      <c r="X1681">
        <v>5.9999998658895499E-2</v>
      </c>
      <c r="Y1681">
        <v>10.936709403991699</v>
      </c>
      <c r="Z1681">
        <v>6.0674161911010698</v>
      </c>
      <c r="AA1681">
        <v>62235000</v>
      </c>
      <c r="AB1681" t="s">
        <v>30</v>
      </c>
      <c r="AC1681" t="s">
        <v>223</v>
      </c>
      <c r="AD1681">
        <v>7.0000000298023196E-2</v>
      </c>
      <c r="AE1681">
        <v>42.0587768554688</v>
      </c>
      <c r="AF1681">
        <v>7.5739933501243399</v>
      </c>
      <c r="AG1681">
        <v>62257000</v>
      </c>
      <c r="AH1681">
        <v>65.855621337890597</v>
      </c>
      <c r="AI1681">
        <v>4.1544280052185103</v>
      </c>
    </row>
    <row r="1682" spans="1:35">
      <c r="A1682">
        <f t="shared" si="222"/>
        <v>1</v>
      </c>
      <c r="B1682">
        <f t="shared" si="223"/>
        <v>1</v>
      </c>
      <c r="C1682">
        <f t="shared" si="224"/>
        <v>1</v>
      </c>
      <c r="D1682">
        <f t="shared" si="225"/>
        <v>1</v>
      </c>
      <c r="E1682">
        <f t="shared" si="226"/>
        <v>0</v>
      </c>
      <c r="F1682">
        <f t="shared" si="227"/>
        <v>1</v>
      </c>
      <c r="G1682">
        <f t="shared" si="228"/>
        <v>0</v>
      </c>
      <c r="H1682">
        <v>0</v>
      </c>
      <c r="I1682">
        <f t="shared" si="229"/>
        <v>0</v>
      </c>
      <c r="J1682">
        <f t="shared" si="221"/>
        <v>10.371567249298099</v>
      </c>
      <c r="K1682" t="s">
        <v>1326</v>
      </c>
      <c r="L1682" t="s">
        <v>1327</v>
      </c>
      <c r="M1682" t="s">
        <v>27</v>
      </c>
      <c r="N1682" t="s">
        <v>27</v>
      </c>
      <c r="O1682">
        <v>26.75</v>
      </c>
      <c r="P1682">
        <v>2.9445819854736301</v>
      </c>
      <c r="Q1682">
        <v>3.0915670394897501</v>
      </c>
      <c r="R1682">
        <v>29.850000381469702</v>
      </c>
      <c r="S1682">
        <v>24.149999618530298</v>
      </c>
      <c r="T1682">
        <v>79.200332641601605</v>
      </c>
      <c r="U1682" t="s">
        <v>27</v>
      </c>
      <c r="V1682">
        <v>12408000</v>
      </c>
      <c r="W1682">
        <v>2.5818729400634801</v>
      </c>
      <c r="X1682">
        <v>0.490000009536743</v>
      </c>
      <c r="Y1682">
        <v>7.2212390899658203</v>
      </c>
      <c r="Z1682">
        <v>7.2800002098083496</v>
      </c>
      <c r="AA1682">
        <v>14974000</v>
      </c>
      <c r="AB1682" t="s">
        <v>27</v>
      </c>
      <c r="AC1682" t="s">
        <v>27</v>
      </c>
      <c r="AD1682">
        <v>0.52999997138977095</v>
      </c>
      <c r="AE1682" t="s">
        <v>27</v>
      </c>
      <c r="AF1682">
        <v>11.778706944999</v>
      </c>
      <c r="AG1682">
        <v>16636999</v>
      </c>
      <c r="AH1682">
        <v>77.622962951660199</v>
      </c>
      <c r="AI1682">
        <v>2.58993792533875</v>
      </c>
    </row>
    <row r="1683" spans="1:35">
      <c r="A1683">
        <f t="shared" si="222"/>
        <v>0</v>
      </c>
      <c r="B1683">
        <f t="shared" si="223"/>
        <v>1</v>
      </c>
      <c r="C1683">
        <f t="shared" si="224"/>
        <v>1</v>
      </c>
      <c r="D1683">
        <f t="shared" si="225"/>
        <v>0</v>
      </c>
      <c r="E1683">
        <f t="shared" si="226"/>
        <v>0</v>
      </c>
      <c r="F1683">
        <f t="shared" si="227"/>
        <v>1</v>
      </c>
      <c r="G1683">
        <f t="shared" si="228"/>
        <v>0</v>
      </c>
      <c r="H1683">
        <v>0</v>
      </c>
      <c r="I1683">
        <f t="shared" si="229"/>
        <v>0</v>
      </c>
      <c r="J1683">
        <f t="shared" si="221"/>
        <v>10.37045001983642</v>
      </c>
      <c r="K1683" t="s">
        <v>1036</v>
      </c>
      <c r="L1683" t="s">
        <v>1037</v>
      </c>
      <c r="M1683" t="s">
        <v>27</v>
      </c>
      <c r="N1683" t="s">
        <v>27</v>
      </c>
      <c r="O1683">
        <v>8.6199999999999992</v>
      </c>
      <c r="P1683">
        <v>8.5648326873779297</v>
      </c>
      <c r="Q1683">
        <v>5.2553601264953604</v>
      </c>
      <c r="R1683">
        <v>8.25</v>
      </c>
      <c r="S1683">
        <v>9.8999996185302699</v>
      </c>
      <c r="T1683">
        <v>28.198013305664102</v>
      </c>
      <c r="U1683">
        <v>25.4668998718262</v>
      </c>
      <c r="V1683">
        <v>5952000.5</v>
      </c>
      <c r="W1683">
        <v>4.0164651870727504</v>
      </c>
      <c r="X1683">
        <v>0.119999997317791</v>
      </c>
      <c r="Y1683">
        <v>7.4545450210571298</v>
      </c>
      <c r="Z1683">
        <v>5.11508989334106</v>
      </c>
      <c r="AA1683">
        <v>45312000</v>
      </c>
      <c r="AB1683" t="s">
        <v>27</v>
      </c>
      <c r="AC1683" t="s">
        <v>27</v>
      </c>
      <c r="AD1683">
        <v>-0.15999999642372101</v>
      </c>
      <c r="AE1683">
        <v>18.759061813354499</v>
      </c>
      <c r="AF1683">
        <v>5.7560388664493001</v>
      </c>
      <c r="AG1683">
        <v>47411000</v>
      </c>
      <c r="AH1683">
        <v>33.288829803466797</v>
      </c>
      <c r="AI1683">
        <v>4.1956310272216797</v>
      </c>
    </row>
    <row r="1684" spans="1:35">
      <c r="A1684">
        <f t="shared" si="222"/>
        <v>1</v>
      </c>
      <c r="B1684">
        <f t="shared" si="223"/>
        <v>0</v>
      </c>
      <c r="C1684">
        <f t="shared" si="224"/>
        <v>1</v>
      </c>
      <c r="D1684">
        <f t="shared" si="225"/>
        <v>0</v>
      </c>
      <c r="E1684">
        <f t="shared" si="226"/>
        <v>0</v>
      </c>
      <c r="F1684">
        <f t="shared" si="227"/>
        <v>1</v>
      </c>
      <c r="G1684">
        <f t="shared" si="228"/>
        <v>1</v>
      </c>
      <c r="H1684">
        <v>0</v>
      </c>
      <c r="I1684">
        <f t="shared" si="229"/>
        <v>0</v>
      </c>
      <c r="J1684">
        <f t="shared" si="221"/>
        <v>10.36906719207764</v>
      </c>
      <c r="K1684" t="s">
        <v>3051</v>
      </c>
      <c r="L1684" t="s">
        <v>3052</v>
      </c>
      <c r="M1684" t="s">
        <v>27</v>
      </c>
      <c r="N1684" t="s">
        <v>27</v>
      </c>
      <c r="O1684">
        <v>17.28</v>
      </c>
      <c r="P1684">
        <v>8.7156143188476598</v>
      </c>
      <c r="Q1684">
        <v>7.3650231361389196</v>
      </c>
      <c r="R1684">
        <v>16.399999999999999</v>
      </c>
      <c r="S1684">
        <v>15.4</v>
      </c>
      <c r="T1684">
        <v>53.5037841796875</v>
      </c>
      <c r="U1684">
        <v>41.655548095703097</v>
      </c>
      <c r="V1684">
        <v>5747000</v>
      </c>
      <c r="W1684" t="s">
        <v>27</v>
      </c>
      <c r="X1684">
        <v>0.151999998092651</v>
      </c>
      <c r="Y1684">
        <v>3.5151519775390598</v>
      </c>
      <c r="Z1684">
        <v>3.0040440559387198</v>
      </c>
      <c r="AA1684">
        <v>20390000</v>
      </c>
      <c r="AB1684" t="s">
        <v>30</v>
      </c>
      <c r="AC1684" t="s">
        <v>92</v>
      </c>
      <c r="AD1684">
        <v>0.127999997138977</v>
      </c>
      <c r="AE1684">
        <v>53.270351409912102</v>
      </c>
      <c r="AF1684">
        <v>13.1027436932982</v>
      </c>
      <c r="AG1684">
        <v>20474998.75</v>
      </c>
      <c r="AH1684">
        <v>53.139759063720703</v>
      </c>
      <c r="AI1684" t="s">
        <v>27</v>
      </c>
    </row>
    <row r="1685" spans="1:35">
      <c r="A1685">
        <f t="shared" si="222"/>
        <v>0</v>
      </c>
      <c r="B1685">
        <f t="shared" si="223"/>
        <v>0</v>
      </c>
      <c r="C1685">
        <f t="shared" si="224"/>
        <v>0</v>
      </c>
      <c r="D1685">
        <f t="shared" si="225"/>
        <v>0</v>
      </c>
      <c r="E1685">
        <f t="shared" si="226"/>
        <v>0</v>
      </c>
      <c r="F1685">
        <f t="shared" si="227"/>
        <v>1</v>
      </c>
      <c r="G1685">
        <f t="shared" si="228"/>
        <v>0</v>
      </c>
      <c r="H1685">
        <v>0</v>
      </c>
      <c r="I1685">
        <f t="shared" si="229"/>
        <v>0</v>
      </c>
      <c r="J1685">
        <f t="shared" si="221"/>
        <v>10.36273193359375</v>
      </c>
      <c r="K1685" t="s">
        <v>2064</v>
      </c>
      <c r="L1685" t="s">
        <v>2065</v>
      </c>
      <c r="M1685" t="s">
        <v>27</v>
      </c>
      <c r="N1685" t="s">
        <v>27</v>
      </c>
      <c r="O1685">
        <v>20.51</v>
      </c>
      <c r="P1685">
        <v>15.1326189041138</v>
      </c>
      <c r="Q1685">
        <v>7.21606492996216</v>
      </c>
      <c r="R1685">
        <v>19.25</v>
      </c>
      <c r="S1685">
        <v>23.579999923706101</v>
      </c>
      <c r="T1685">
        <v>0</v>
      </c>
      <c r="U1685">
        <v>22.758865356445298</v>
      </c>
      <c r="V1685">
        <v>-2370000</v>
      </c>
      <c r="W1685">
        <v>13.4634685516357</v>
      </c>
      <c r="X1685">
        <v>0.21999999880790699</v>
      </c>
      <c r="Y1685">
        <v>5.72151899337769</v>
      </c>
      <c r="Z1685">
        <v>3.14666700363159</v>
      </c>
      <c r="AA1685">
        <v>11696000</v>
      </c>
      <c r="AB1685" t="s">
        <v>61</v>
      </c>
      <c r="AC1685" t="s">
        <v>101</v>
      </c>
      <c r="AD1685">
        <v>9.00000035762787E-2</v>
      </c>
      <c r="AE1685">
        <v>19.653182983398398</v>
      </c>
      <c r="AF1685">
        <v>13.2452674641148</v>
      </c>
      <c r="AG1685">
        <v>11639000</v>
      </c>
      <c r="AH1685">
        <v>0</v>
      </c>
      <c r="AI1685">
        <v>8.1204862594604492</v>
      </c>
    </row>
    <row r="1686" spans="1:35">
      <c r="A1686">
        <f t="shared" si="222"/>
        <v>1</v>
      </c>
      <c r="B1686">
        <f t="shared" si="223"/>
        <v>0</v>
      </c>
      <c r="C1686">
        <f t="shared" si="224"/>
        <v>1</v>
      </c>
      <c r="D1686">
        <f t="shared" si="225"/>
        <v>1</v>
      </c>
      <c r="E1686">
        <f t="shared" si="226"/>
        <v>0</v>
      </c>
      <c r="F1686">
        <f t="shared" si="227"/>
        <v>1</v>
      </c>
      <c r="G1686">
        <f t="shared" si="228"/>
        <v>1</v>
      </c>
      <c r="H1686">
        <v>0</v>
      </c>
      <c r="I1686">
        <f t="shared" si="229"/>
        <v>0</v>
      </c>
      <c r="J1686">
        <f t="shared" si="221"/>
        <v>10.331237554550171</v>
      </c>
      <c r="K1686" t="s">
        <v>1233</v>
      </c>
      <c r="L1686" t="s">
        <v>1234</v>
      </c>
      <c r="M1686" t="s">
        <v>27</v>
      </c>
      <c r="N1686" t="s">
        <v>27</v>
      </c>
      <c r="O1686">
        <v>17.559999999999999</v>
      </c>
      <c r="P1686">
        <v>9.1518440246581996</v>
      </c>
      <c r="Q1686">
        <v>8.2005186080932599</v>
      </c>
      <c r="R1686">
        <v>20.149999618530298</v>
      </c>
      <c r="S1686">
        <v>10.8888888888889</v>
      </c>
      <c r="T1686">
        <v>15.0774793624878</v>
      </c>
      <c r="U1686">
        <v>60.321628570556598</v>
      </c>
      <c r="V1686">
        <v>1023000</v>
      </c>
      <c r="W1686">
        <v>6.2946038246154803</v>
      </c>
      <c r="X1686">
        <v>6.6666669315761998E-2</v>
      </c>
      <c r="Y1686">
        <v>3.9354839324951199</v>
      </c>
      <c r="Z1686">
        <v>2.1307189464569101</v>
      </c>
      <c r="AA1686">
        <v>10485000</v>
      </c>
      <c r="AB1686" t="s">
        <v>38</v>
      </c>
      <c r="AC1686" t="s">
        <v>89</v>
      </c>
      <c r="AD1686">
        <v>0.10666666428248101</v>
      </c>
      <c r="AE1686">
        <v>67.871536254882798</v>
      </c>
      <c r="AF1686">
        <v>12.914860963172799</v>
      </c>
      <c r="AG1686">
        <v>14266500</v>
      </c>
      <c r="AH1686">
        <v>0.43211901187896701</v>
      </c>
      <c r="AI1686">
        <v>5.98923587799072</v>
      </c>
    </row>
    <row r="1687" spans="1:35">
      <c r="A1687">
        <f t="shared" si="222"/>
        <v>1</v>
      </c>
      <c r="B1687">
        <f t="shared" si="223"/>
        <v>0</v>
      </c>
      <c r="C1687">
        <f t="shared" si="224"/>
        <v>1</v>
      </c>
      <c r="D1687">
        <f t="shared" si="225"/>
        <v>0</v>
      </c>
      <c r="E1687">
        <f t="shared" si="226"/>
        <v>0</v>
      </c>
      <c r="F1687">
        <f t="shared" si="227"/>
        <v>1</v>
      </c>
      <c r="G1687">
        <f t="shared" si="228"/>
        <v>0</v>
      </c>
      <c r="H1687">
        <v>0</v>
      </c>
      <c r="I1687">
        <f t="shared" si="229"/>
        <v>0</v>
      </c>
      <c r="J1687">
        <f t="shared" si="221"/>
        <v>10.29593873023987</v>
      </c>
      <c r="K1687" t="s">
        <v>1127</v>
      </c>
      <c r="L1687" t="s">
        <v>1128</v>
      </c>
      <c r="M1687" t="s">
        <v>27</v>
      </c>
      <c r="N1687" t="s">
        <v>27</v>
      </c>
      <c r="O1687">
        <v>7.48</v>
      </c>
      <c r="P1687">
        <v>1.9221930503845199</v>
      </c>
      <c r="Q1687">
        <v>1.9380810260772701</v>
      </c>
      <c r="R1687">
        <v>16.700000762939499</v>
      </c>
      <c r="S1687">
        <v>17.180000305175799</v>
      </c>
      <c r="T1687">
        <v>75.334449768066406</v>
      </c>
      <c r="U1687" t="s">
        <v>27</v>
      </c>
      <c r="V1687">
        <v>12945000</v>
      </c>
      <c r="W1687">
        <v>1.94168400764465</v>
      </c>
      <c r="X1687">
        <v>0.46000000834464999</v>
      </c>
      <c r="Y1687">
        <v>4.5273308753967303</v>
      </c>
      <c r="Z1687">
        <v>8.3578577041625994</v>
      </c>
      <c r="AA1687">
        <v>14229000</v>
      </c>
      <c r="AB1687" t="s">
        <v>27</v>
      </c>
      <c r="AC1687" t="s">
        <v>27</v>
      </c>
      <c r="AD1687">
        <v>0.43000000715255698</v>
      </c>
      <c r="AE1687" t="s">
        <v>27</v>
      </c>
      <c r="AF1687">
        <v>7.7314201833989999</v>
      </c>
      <c r="AG1687">
        <v>14337000</v>
      </c>
      <c r="AH1687">
        <v>73.321136474609403</v>
      </c>
      <c r="AI1687">
        <v>1.3114110231399501</v>
      </c>
    </row>
    <row r="1688" spans="1:35">
      <c r="A1688">
        <f t="shared" si="222"/>
        <v>1</v>
      </c>
      <c r="B1688">
        <f t="shared" si="223"/>
        <v>1</v>
      </c>
      <c r="C1688">
        <f t="shared" si="224"/>
        <v>1</v>
      </c>
      <c r="D1688">
        <f t="shared" si="225"/>
        <v>0</v>
      </c>
      <c r="E1688">
        <f t="shared" si="226"/>
        <v>0</v>
      </c>
      <c r="F1688">
        <f t="shared" si="227"/>
        <v>1</v>
      </c>
      <c r="G1688">
        <f t="shared" si="228"/>
        <v>1</v>
      </c>
      <c r="H1688">
        <v>0</v>
      </c>
      <c r="I1688">
        <f t="shared" si="229"/>
        <v>0</v>
      </c>
      <c r="J1688">
        <f t="shared" si="221"/>
        <v>10.25382566452026</v>
      </c>
      <c r="K1688" t="s">
        <v>790</v>
      </c>
      <c r="L1688" t="s">
        <v>791</v>
      </c>
      <c r="M1688" t="s">
        <v>27</v>
      </c>
      <c r="N1688" t="s">
        <v>27</v>
      </c>
      <c r="O1688">
        <v>33.4</v>
      </c>
      <c r="P1688" t="s">
        <v>27</v>
      </c>
      <c r="Q1688">
        <v>5.4274368286132804</v>
      </c>
      <c r="R1688">
        <v>38.150001525878899</v>
      </c>
      <c r="S1688">
        <v>37</v>
      </c>
      <c r="T1688">
        <v>19.519344329833999</v>
      </c>
      <c r="U1688">
        <v>40.064281463622997</v>
      </c>
      <c r="V1688">
        <v>6970000</v>
      </c>
      <c r="W1688">
        <v>4.6288738250732404</v>
      </c>
      <c r="X1688">
        <v>0.479999989271164</v>
      </c>
      <c r="Y1688">
        <v>6.1610999107360804</v>
      </c>
      <c r="Z1688">
        <v>4.8263888359069798</v>
      </c>
      <c r="AA1688">
        <v>9859000</v>
      </c>
      <c r="AB1688" t="s">
        <v>73</v>
      </c>
      <c r="AC1688" t="s">
        <v>210</v>
      </c>
      <c r="AD1688">
        <v>9.9999997764825804E-3</v>
      </c>
      <c r="AE1688">
        <v>40.130016326904297</v>
      </c>
      <c r="AF1688">
        <v>28.496172148833299</v>
      </c>
      <c r="AG1688">
        <v>9831900</v>
      </c>
      <c r="AH1688">
        <v>16.5619926452637</v>
      </c>
      <c r="AI1688">
        <v>4.8853831291198704</v>
      </c>
    </row>
    <row r="1689" spans="1:35">
      <c r="A1689">
        <f t="shared" si="222"/>
        <v>1</v>
      </c>
      <c r="B1689">
        <f t="shared" si="223"/>
        <v>1</v>
      </c>
      <c r="C1689">
        <f t="shared" si="224"/>
        <v>1</v>
      </c>
      <c r="D1689">
        <f t="shared" si="225"/>
        <v>1</v>
      </c>
      <c r="E1689">
        <f t="shared" si="226"/>
        <v>0</v>
      </c>
      <c r="F1689">
        <f t="shared" si="227"/>
        <v>1</v>
      </c>
      <c r="G1689">
        <f t="shared" si="228"/>
        <v>0</v>
      </c>
      <c r="H1689">
        <v>0</v>
      </c>
      <c r="I1689">
        <f t="shared" si="229"/>
        <v>1</v>
      </c>
      <c r="J1689">
        <f t="shared" si="221"/>
        <v>10.24782705307007</v>
      </c>
      <c r="K1689" t="s">
        <v>2957</v>
      </c>
      <c r="L1689" t="s">
        <v>2958</v>
      </c>
      <c r="M1689" t="s">
        <v>27</v>
      </c>
      <c r="N1689" t="s">
        <v>27</v>
      </c>
      <c r="O1689">
        <v>12.38</v>
      </c>
      <c r="P1689">
        <v>3.2114109992981001</v>
      </c>
      <c r="Q1689">
        <v>3.5112791061401398</v>
      </c>
      <c r="R1689">
        <v>11.409091082486199</v>
      </c>
      <c r="S1689">
        <v>10.4338842975207</v>
      </c>
      <c r="T1689">
        <v>31.8944206237793</v>
      </c>
      <c r="U1689" t="s">
        <v>27</v>
      </c>
      <c r="V1689" t="s">
        <v>27</v>
      </c>
      <c r="W1689">
        <v>0.35021299123763999</v>
      </c>
      <c r="X1689">
        <v>0.187828700225394</v>
      </c>
      <c r="Y1689">
        <v>10.484210014343301</v>
      </c>
      <c r="Z1689">
        <v>6.7365479469299299</v>
      </c>
      <c r="AA1689">
        <v>59892338</v>
      </c>
      <c r="AB1689" t="s">
        <v>27</v>
      </c>
      <c r="AC1689" t="s">
        <v>27</v>
      </c>
      <c r="AD1689">
        <v>0.22727273219873101</v>
      </c>
      <c r="AE1689" t="s">
        <v>27</v>
      </c>
      <c r="AF1689" t="s">
        <v>27</v>
      </c>
      <c r="AG1689">
        <v>59605810</v>
      </c>
      <c r="AH1689">
        <v>30.096509933471701</v>
      </c>
      <c r="AI1689">
        <v>1.0250380039215099</v>
      </c>
    </row>
    <row r="1690" spans="1:35">
      <c r="A1690">
        <f t="shared" si="222"/>
        <v>1</v>
      </c>
      <c r="B1690">
        <f t="shared" si="223"/>
        <v>0</v>
      </c>
      <c r="C1690">
        <f t="shared" si="224"/>
        <v>1</v>
      </c>
      <c r="D1690">
        <f t="shared" si="225"/>
        <v>1</v>
      </c>
      <c r="E1690">
        <f t="shared" si="226"/>
        <v>0</v>
      </c>
      <c r="F1690">
        <f t="shared" si="227"/>
        <v>1</v>
      </c>
      <c r="G1690">
        <f t="shared" si="228"/>
        <v>1</v>
      </c>
      <c r="H1690">
        <v>0</v>
      </c>
      <c r="I1690">
        <f t="shared" si="229"/>
        <v>0</v>
      </c>
      <c r="J1690">
        <f t="shared" si="221"/>
        <v>10.244260787963871</v>
      </c>
      <c r="K1690" t="s">
        <v>3821</v>
      </c>
      <c r="L1690" t="s">
        <v>3822</v>
      </c>
      <c r="M1690" t="s">
        <v>27</v>
      </c>
      <c r="N1690" t="s">
        <v>27</v>
      </c>
      <c r="O1690">
        <v>18.29</v>
      </c>
      <c r="P1690">
        <v>6.5670018196106001</v>
      </c>
      <c r="Q1690">
        <v>6.2113389968872097</v>
      </c>
      <c r="R1690">
        <v>21.832500457818298</v>
      </c>
      <c r="S1690">
        <v>14.296875000035699</v>
      </c>
      <c r="T1690">
        <v>11.3243322372437</v>
      </c>
      <c r="U1690">
        <v>18.633100509643601</v>
      </c>
      <c r="V1690">
        <v>3184002</v>
      </c>
      <c r="W1690">
        <v>7.2038779258728001</v>
      </c>
      <c r="X1690">
        <v>0.19874998927166099</v>
      </c>
      <c r="Y1690">
        <v>5.9000000953674299</v>
      </c>
      <c r="Z1690">
        <v>4.0329217910766602</v>
      </c>
      <c r="AA1690">
        <v>62718666.666509897</v>
      </c>
      <c r="AB1690" t="s">
        <v>61</v>
      </c>
      <c r="AC1690" t="s">
        <v>234</v>
      </c>
      <c r="AD1690">
        <v>0.210000000894595</v>
      </c>
      <c r="AE1690">
        <v>19.389045715331999</v>
      </c>
      <c r="AF1690">
        <v>5.2262116153303504</v>
      </c>
      <c r="AG1690">
        <v>63637333.333174199</v>
      </c>
      <c r="AH1690">
        <v>5.1866469383239702</v>
      </c>
      <c r="AI1690">
        <v>5.2654309272766104</v>
      </c>
    </row>
    <row r="1691" spans="1:35">
      <c r="A1691">
        <f t="shared" si="222"/>
        <v>1</v>
      </c>
      <c r="B1691">
        <f t="shared" si="223"/>
        <v>1</v>
      </c>
      <c r="C1691">
        <f t="shared" si="224"/>
        <v>1</v>
      </c>
      <c r="D1691">
        <f t="shared" si="225"/>
        <v>1</v>
      </c>
      <c r="E1691">
        <f t="shared" si="226"/>
        <v>0</v>
      </c>
      <c r="F1691">
        <f t="shared" si="227"/>
        <v>1</v>
      </c>
      <c r="G1691">
        <f t="shared" si="228"/>
        <v>0</v>
      </c>
      <c r="H1691">
        <v>0</v>
      </c>
      <c r="I1691">
        <f t="shared" si="229"/>
        <v>0</v>
      </c>
      <c r="J1691">
        <f t="shared" si="221"/>
        <v>10.23861360549926</v>
      </c>
      <c r="K1691" t="s">
        <v>863</v>
      </c>
      <c r="L1691" t="s">
        <v>864</v>
      </c>
      <c r="M1691" t="s">
        <v>27</v>
      </c>
      <c r="N1691" t="s">
        <v>27</v>
      </c>
      <c r="O1691">
        <v>14.685</v>
      </c>
      <c r="P1691">
        <v>6.2441000938415501</v>
      </c>
      <c r="Q1691">
        <v>5.4065728187561</v>
      </c>
      <c r="R1691">
        <v>14.1499996185303</v>
      </c>
      <c r="S1691">
        <v>11.6666666666667</v>
      </c>
      <c r="T1691">
        <v>22.208421707153299</v>
      </c>
      <c r="U1691" t="s">
        <v>27</v>
      </c>
      <c r="V1691">
        <v>8447000</v>
      </c>
      <c r="W1691">
        <v>1.0648430585861199</v>
      </c>
      <c r="X1691">
        <v>0.16999999682108599</v>
      </c>
      <c r="Y1691">
        <v>4.8368659019470197</v>
      </c>
      <c r="Z1691">
        <v>4.8320407867431596</v>
      </c>
      <c r="AA1691">
        <v>10059000</v>
      </c>
      <c r="AB1691" t="s">
        <v>34</v>
      </c>
      <c r="AC1691" t="s">
        <v>35</v>
      </c>
      <c r="AD1691">
        <v>0.18000000715255701</v>
      </c>
      <c r="AE1691" t="s">
        <v>27</v>
      </c>
      <c r="AF1691" t="s">
        <v>27</v>
      </c>
      <c r="AG1691">
        <v>13014000</v>
      </c>
      <c r="AH1691">
        <v>18.773492813110401</v>
      </c>
      <c r="AI1691">
        <v>1.2529239654541</v>
      </c>
    </row>
    <row r="1692" spans="1:35">
      <c r="A1692">
        <f t="shared" si="222"/>
        <v>1</v>
      </c>
      <c r="B1692">
        <f t="shared" si="223"/>
        <v>1</v>
      </c>
      <c r="C1692">
        <f t="shared" si="224"/>
        <v>1</v>
      </c>
      <c r="D1692">
        <f t="shared" si="225"/>
        <v>0</v>
      </c>
      <c r="E1692">
        <f t="shared" si="226"/>
        <v>0</v>
      </c>
      <c r="F1692">
        <f t="shared" si="227"/>
        <v>1</v>
      </c>
      <c r="G1692">
        <f t="shared" si="228"/>
        <v>0</v>
      </c>
      <c r="H1692">
        <v>0</v>
      </c>
      <c r="I1692">
        <f t="shared" si="229"/>
        <v>0</v>
      </c>
      <c r="J1692">
        <f t="shared" si="221"/>
        <v>10.23550564050675</v>
      </c>
      <c r="K1692" t="s">
        <v>2164</v>
      </c>
      <c r="L1692" t="s">
        <v>2165</v>
      </c>
      <c r="M1692" t="s">
        <v>27</v>
      </c>
      <c r="N1692" t="s">
        <v>27</v>
      </c>
      <c r="O1692">
        <v>25.95</v>
      </c>
      <c r="P1692">
        <v>6.46170902252197</v>
      </c>
      <c r="Q1692">
        <v>0.66694599390029896</v>
      </c>
      <c r="R1692">
        <v>25.579999923706101</v>
      </c>
      <c r="S1692">
        <v>28.015625</v>
      </c>
      <c r="T1692">
        <v>22.808954238891602</v>
      </c>
      <c r="U1692">
        <v>20.225893020629901</v>
      </c>
      <c r="V1692">
        <v>25207000</v>
      </c>
      <c r="W1692">
        <v>3.9518170356750502</v>
      </c>
      <c r="X1692">
        <v>0.52999997138977095</v>
      </c>
      <c r="Y1692">
        <v>7.2692308425903303</v>
      </c>
      <c r="Z1692">
        <v>9.5685596466064506</v>
      </c>
      <c r="AA1692">
        <v>40446000</v>
      </c>
      <c r="AB1692" t="s">
        <v>61</v>
      </c>
      <c r="AC1692" t="s">
        <v>1983</v>
      </c>
      <c r="AD1692">
        <v>0.41999998688697798</v>
      </c>
      <c r="AE1692">
        <v>19.950668334960898</v>
      </c>
      <c r="AF1692" t="s">
        <v>27</v>
      </c>
      <c r="AG1692">
        <v>40484000</v>
      </c>
      <c r="AH1692">
        <v>19.873346328735401</v>
      </c>
      <c r="AI1692">
        <v>5.6126899719238299</v>
      </c>
    </row>
    <row r="1693" spans="1:35">
      <c r="A1693">
        <f t="shared" si="222"/>
        <v>0</v>
      </c>
      <c r="B1693">
        <f t="shared" si="223"/>
        <v>1</v>
      </c>
      <c r="C1693">
        <f t="shared" si="224"/>
        <v>1</v>
      </c>
      <c r="D1693">
        <f t="shared" si="225"/>
        <v>0</v>
      </c>
      <c r="E1693">
        <f t="shared" si="226"/>
        <v>0</v>
      </c>
      <c r="F1693">
        <f t="shared" si="227"/>
        <v>1</v>
      </c>
      <c r="G1693">
        <f t="shared" si="228"/>
        <v>0</v>
      </c>
      <c r="H1693">
        <v>0</v>
      </c>
      <c r="I1693">
        <f t="shared" si="229"/>
        <v>0</v>
      </c>
      <c r="J1693">
        <f t="shared" si="221"/>
        <v>10.23359203338623</v>
      </c>
      <c r="K1693" t="s">
        <v>1806</v>
      </c>
      <c r="L1693" t="s">
        <v>1807</v>
      </c>
      <c r="M1693" t="s">
        <v>27</v>
      </c>
      <c r="N1693" t="s">
        <v>27</v>
      </c>
      <c r="O1693">
        <v>17.03</v>
      </c>
      <c r="P1693">
        <v>4.5455880165100098</v>
      </c>
      <c r="Q1693">
        <v>3.0162010192871098</v>
      </c>
      <c r="R1693">
        <v>20.350000381469702</v>
      </c>
      <c r="S1693">
        <v>25</v>
      </c>
      <c r="T1693">
        <v>29.0299282073975</v>
      </c>
      <c r="U1693" t="s">
        <v>27</v>
      </c>
      <c r="V1693">
        <v>7668999.5</v>
      </c>
      <c r="W1693">
        <v>1.0295770168304399</v>
      </c>
      <c r="X1693">
        <v>0.40000000596046398</v>
      </c>
      <c r="Y1693">
        <v>6.12957715988159</v>
      </c>
      <c r="Z1693">
        <v>7.2173910140991202</v>
      </c>
      <c r="AA1693">
        <v>17300000</v>
      </c>
      <c r="AB1693" t="s">
        <v>27</v>
      </c>
      <c r="AC1693" t="s">
        <v>27</v>
      </c>
      <c r="AD1693">
        <v>0.31000000238418601</v>
      </c>
      <c r="AE1693" t="s">
        <v>27</v>
      </c>
      <c r="AF1693" t="s">
        <v>27</v>
      </c>
      <c r="AG1693">
        <v>17239000</v>
      </c>
      <c r="AH1693">
        <v>29.822240829467798</v>
      </c>
      <c r="AI1693">
        <v>1.15664994716644</v>
      </c>
    </row>
    <row r="1694" spans="1:35">
      <c r="A1694">
        <f t="shared" si="222"/>
        <v>1</v>
      </c>
      <c r="B1694">
        <f t="shared" si="223"/>
        <v>0</v>
      </c>
      <c r="C1694">
        <f t="shared" si="224"/>
        <v>1</v>
      </c>
      <c r="D1694">
        <f t="shared" si="225"/>
        <v>0</v>
      </c>
      <c r="E1694">
        <f t="shared" si="226"/>
        <v>0</v>
      </c>
      <c r="F1694">
        <f t="shared" si="227"/>
        <v>0</v>
      </c>
      <c r="G1694">
        <f t="shared" si="228"/>
        <v>0</v>
      </c>
      <c r="H1694">
        <v>0</v>
      </c>
      <c r="I1694">
        <f t="shared" si="229"/>
        <v>0</v>
      </c>
      <c r="J1694">
        <f t="shared" si="221"/>
        <v>10.186850070953371</v>
      </c>
      <c r="K1694" t="s">
        <v>2716</v>
      </c>
      <c r="L1694" t="s">
        <v>2717</v>
      </c>
      <c r="M1694" t="s">
        <v>27</v>
      </c>
      <c r="N1694" t="s">
        <v>27</v>
      </c>
      <c r="O1694">
        <v>11.025</v>
      </c>
      <c r="P1694">
        <v>5.8765001296997097</v>
      </c>
      <c r="Q1694">
        <v>7.2456741333007804</v>
      </c>
      <c r="R1694">
        <v>34.790000915527301</v>
      </c>
      <c r="S1694">
        <v>35.125</v>
      </c>
      <c r="T1694">
        <v>33.408634185791001</v>
      </c>
      <c r="U1694">
        <v>35.341152191162102</v>
      </c>
      <c r="V1694">
        <v>14167000</v>
      </c>
      <c r="W1694">
        <v>1.8304300308227499</v>
      </c>
      <c r="X1694">
        <v>0.30000001192092901</v>
      </c>
      <c r="Y1694">
        <v>3.85595607757568</v>
      </c>
      <c r="Z1694">
        <v>2.9411759376525901</v>
      </c>
      <c r="AA1694">
        <v>29668000</v>
      </c>
      <c r="AB1694" t="s">
        <v>38</v>
      </c>
      <c r="AC1694" t="s">
        <v>118</v>
      </c>
      <c r="AD1694">
        <v>7.0000000298023196E-2</v>
      </c>
      <c r="AE1694">
        <v>29.400793075561499</v>
      </c>
      <c r="AF1694">
        <v>5.4594913917330299</v>
      </c>
      <c r="AG1694">
        <v>30276000</v>
      </c>
      <c r="AH1694">
        <v>32.951221466064503</v>
      </c>
      <c r="AI1694">
        <v>-0.62754297256469704</v>
      </c>
    </row>
    <row r="1695" spans="1:35">
      <c r="A1695">
        <f t="shared" si="222"/>
        <v>0</v>
      </c>
      <c r="B1695">
        <f t="shared" si="223"/>
        <v>1</v>
      </c>
      <c r="C1695">
        <f t="shared" si="224"/>
        <v>0</v>
      </c>
      <c r="D1695">
        <f t="shared" si="225"/>
        <v>0</v>
      </c>
      <c r="E1695">
        <f t="shared" si="226"/>
        <v>0</v>
      </c>
      <c r="F1695">
        <f t="shared" si="227"/>
        <v>1</v>
      </c>
      <c r="G1695">
        <f t="shared" si="228"/>
        <v>0</v>
      </c>
      <c r="H1695">
        <v>0</v>
      </c>
      <c r="I1695">
        <f t="shared" si="229"/>
        <v>0</v>
      </c>
      <c r="J1695">
        <f t="shared" ref="J1695:J1758" si="230">Z1695+Q1695</f>
        <v>10.167031764984131</v>
      </c>
      <c r="K1695" t="s">
        <v>1006</v>
      </c>
      <c r="L1695" t="s">
        <v>1007</v>
      </c>
      <c r="M1695" t="s">
        <v>27</v>
      </c>
      <c r="N1695" t="s">
        <v>27</v>
      </c>
      <c r="O1695">
        <v>7.3</v>
      </c>
      <c r="P1695">
        <v>23.276302337646499</v>
      </c>
      <c r="Q1695">
        <v>5.2245807647705096</v>
      </c>
      <c r="R1695">
        <v>15.1000003814697</v>
      </c>
      <c r="S1695">
        <v>44.959999084472699</v>
      </c>
      <c r="T1695">
        <v>29.160106658935501</v>
      </c>
      <c r="U1695">
        <v>28.2627468109131</v>
      </c>
      <c r="V1695">
        <v>-2793000.25</v>
      </c>
      <c r="W1695">
        <v>12.617163658142101</v>
      </c>
      <c r="X1695">
        <v>0.769999980926514</v>
      </c>
      <c r="Y1695">
        <v>5.5506172180175799</v>
      </c>
      <c r="Z1695">
        <v>4.9424510002136204</v>
      </c>
      <c r="AA1695">
        <v>27753000</v>
      </c>
      <c r="AB1695" t="s">
        <v>38</v>
      </c>
      <c r="AC1695" t="s">
        <v>146</v>
      </c>
      <c r="AD1695">
        <v>-0.10000000149011599</v>
      </c>
      <c r="AE1695">
        <v>21.8081150054932</v>
      </c>
      <c r="AF1695">
        <v>8.8774825873374894</v>
      </c>
      <c r="AG1695">
        <v>28876000</v>
      </c>
      <c r="AH1695">
        <v>34.789546966552699</v>
      </c>
      <c r="AI1695">
        <v>14.018624305725099</v>
      </c>
    </row>
    <row r="1696" spans="1:35">
      <c r="A1696">
        <f t="shared" ref="A1696:A1759" si="231">IF(AH1696&lt;T1696,1,0)</f>
        <v>0</v>
      </c>
      <c r="B1696">
        <f t="shared" ref="B1696:B1759" si="232">IF(AI1696&gt;W1696,1,0)</f>
        <v>0</v>
      </c>
      <c r="C1696">
        <f t="shared" ref="C1696:C1759" si="233">IF(V1696&gt;0,1,0)</f>
        <v>1</v>
      </c>
      <c r="D1696">
        <f t="shared" ref="D1696:D1759" si="234">IF(AD1696&gt;X1696,1,0)</f>
        <v>1</v>
      </c>
      <c r="E1696">
        <f t="shared" ref="E1696:E1759" si="235">IF(AA1696=AG1696,1,0)</f>
        <v>0</v>
      </c>
      <c r="F1696">
        <f t="shared" ref="F1696:F1759" si="236">IF(AI1696&gt;0,1,0)</f>
        <v>1</v>
      </c>
      <c r="G1696">
        <f t="shared" ref="G1696:G1759" si="237">IF(AE1696&gt;U1696,1,0)</f>
        <v>0</v>
      </c>
      <c r="H1696">
        <v>0</v>
      </c>
      <c r="I1696">
        <f t="shared" ref="I1696:I1759" si="238">IF(((O1696-R1696)/R1696)&gt;0.075,1,0)</f>
        <v>0</v>
      </c>
      <c r="J1696">
        <f t="shared" si="230"/>
        <v>10.14173197746277</v>
      </c>
      <c r="K1696" t="s">
        <v>439</v>
      </c>
      <c r="L1696" t="s">
        <v>440</v>
      </c>
      <c r="M1696" t="s">
        <v>27</v>
      </c>
      <c r="N1696" t="s">
        <v>27</v>
      </c>
      <c r="O1696">
        <v>13.17</v>
      </c>
      <c r="P1696">
        <v>10.690868377685501</v>
      </c>
      <c r="Q1696">
        <v>6.4548630714416504</v>
      </c>
      <c r="R1696">
        <v>23.090000152587901</v>
      </c>
      <c r="S1696">
        <v>16.299999237060501</v>
      </c>
      <c r="T1696">
        <v>13.9013824462891</v>
      </c>
      <c r="U1696">
        <v>38.119331359863303</v>
      </c>
      <c r="V1696">
        <v>6491999.5</v>
      </c>
      <c r="W1696">
        <v>9.6576709747314506</v>
      </c>
      <c r="X1696">
        <v>0.109999999403954</v>
      </c>
      <c r="Y1696">
        <v>5.4000000953674299</v>
      </c>
      <c r="Z1696">
        <v>3.6868689060211199</v>
      </c>
      <c r="AA1696">
        <v>22468000</v>
      </c>
      <c r="AB1696" t="s">
        <v>27</v>
      </c>
      <c r="AC1696" t="s">
        <v>27</v>
      </c>
      <c r="AD1696">
        <v>0.15999999642372101</v>
      </c>
      <c r="AE1696">
        <v>35.399887084960902</v>
      </c>
      <c r="AF1696">
        <v>7.4718351588596299</v>
      </c>
      <c r="AG1696">
        <v>24508740</v>
      </c>
      <c r="AH1696">
        <v>27.971208572387699</v>
      </c>
      <c r="AI1696">
        <v>8.4212818145752006</v>
      </c>
    </row>
    <row r="1697" spans="1:35">
      <c r="A1697">
        <f t="shared" si="231"/>
        <v>1</v>
      </c>
      <c r="B1697">
        <f t="shared" si="232"/>
        <v>0</v>
      </c>
      <c r="C1697">
        <f t="shared" si="233"/>
        <v>1</v>
      </c>
      <c r="D1697">
        <f t="shared" si="234"/>
        <v>1</v>
      </c>
      <c r="E1697">
        <f t="shared" si="235"/>
        <v>0</v>
      </c>
      <c r="F1697">
        <f t="shared" si="236"/>
        <v>1</v>
      </c>
      <c r="G1697">
        <f t="shared" si="237"/>
        <v>0</v>
      </c>
      <c r="H1697">
        <v>0</v>
      </c>
      <c r="I1697">
        <f t="shared" si="238"/>
        <v>0</v>
      </c>
      <c r="J1697">
        <f t="shared" si="230"/>
        <v>10.12126922607421</v>
      </c>
      <c r="K1697" t="s">
        <v>2955</v>
      </c>
      <c r="L1697" t="s">
        <v>2956</v>
      </c>
      <c r="M1697" t="s">
        <v>27</v>
      </c>
      <c r="N1697" t="s">
        <v>27</v>
      </c>
      <c r="O1697">
        <v>11.49</v>
      </c>
      <c r="P1697">
        <v>2.5578639507293701</v>
      </c>
      <c r="Q1697">
        <v>2.8759860992431601</v>
      </c>
      <c r="R1697">
        <v>12.5</v>
      </c>
      <c r="S1697">
        <v>7.75</v>
      </c>
      <c r="T1697">
        <v>34.909149169921903</v>
      </c>
      <c r="U1697" t="s">
        <v>27</v>
      </c>
      <c r="V1697">
        <v>5500000</v>
      </c>
      <c r="W1697">
        <v>0.95099598169326804</v>
      </c>
      <c r="X1697">
        <v>0.18999999761581399</v>
      </c>
      <c r="Y1697">
        <v>10.714285850524901</v>
      </c>
      <c r="Z1697">
        <v>7.2452831268310502</v>
      </c>
      <c r="AA1697">
        <v>16281000</v>
      </c>
      <c r="AB1697" t="s">
        <v>34</v>
      </c>
      <c r="AC1697" t="s">
        <v>35</v>
      </c>
      <c r="AD1697">
        <v>0.230000004172325</v>
      </c>
      <c r="AE1697" t="s">
        <v>27</v>
      </c>
      <c r="AF1697" t="s">
        <v>27</v>
      </c>
      <c r="AG1697">
        <v>16054001</v>
      </c>
      <c r="AH1697">
        <v>34.756080627441399</v>
      </c>
      <c r="AI1697">
        <v>0.898209989070892</v>
      </c>
    </row>
    <row r="1698" spans="1:35">
      <c r="A1698">
        <f t="shared" si="231"/>
        <v>0</v>
      </c>
      <c r="B1698">
        <f t="shared" si="232"/>
        <v>0</v>
      </c>
      <c r="C1698">
        <f t="shared" si="233"/>
        <v>1</v>
      </c>
      <c r="D1698">
        <f t="shared" si="234"/>
        <v>0</v>
      </c>
      <c r="E1698">
        <f t="shared" si="235"/>
        <v>0</v>
      </c>
      <c r="F1698">
        <f t="shared" si="236"/>
        <v>1</v>
      </c>
      <c r="G1698">
        <f t="shared" si="237"/>
        <v>0</v>
      </c>
      <c r="H1698">
        <v>0</v>
      </c>
      <c r="I1698">
        <f t="shared" si="238"/>
        <v>0</v>
      </c>
      <c r="J1698">
        <f t="shared" si="230"/>
        <v>10.091809988021851</v>
      </c>
      <c r="K1698" t="s">
        <v>180</v>
      </c>
      <c r="L1698" t="s">
        <v>181</v>
      </c>
      <c r="M1698" t="s">
        <v>27</v>
      </c>
      <c r="N1698" t="s">
        <v>27</v>
      </c>
      <c r="O1698">
        <v>8.6300000000000008</v>
      </c>
      <c r="P1698">
        <v>6.16609811782837</v>
      </c>
      <c r="Q1698">
        <v>6.9020829200744602</v>
      </c>
      <c r="R1698">
        <v>24.25</v>
      </c>
      <c r="S1698">
        <v>13</v>
      </c>
      <c r="T1698">
        <v>30.384637832641602</v>
      </c>
      <c r="U1698">
        <v>48.394676208496101</v>
      </c>
      <c r="V1698">
        <v>3979999.75</v>
      </c>
      <c r="W1698">
        <v>17.7694396972656</v>
      </c>
      <c r="X1698">
        <v>0.17200000584125499</v>
      </c>
      <c r="Y1698">
        <v>11.8571434020996</v>
      </c>
      <c r="Z1698">
        <v>3.1897270679473899</v>
      </c>
      <c r="AA1698">
        <v>9228000</v>
      </c>
      <c r="AB1698" t="s">
        <v>27</v>
      </c>
      <c r="AC1698" t="s">
        <v>27</v>
      </c>
      <c r="AD1698">
        <v>9.00000035762787E-2</v>
      </c>
      <c r="AE1698">
        <v>45.048976898193402</v>
      </c>
      <c r="AF1698">
        <v>8.10842359032441</v>
      </c>
      <c r="AG1698">
        <v>8748000</v>
      </c>
      <c r="AH1698">
        <v>45.129840850830099</v>
      </c>
      <c r="AI1698">
        <v>4.9436287879943803</v>
      </c>
    </row>
    <row r="1699" spans="1:35">
      <c r="A1699">
        <f t="shared" si="231"/>
        <v>1</v>
      </c>
      <c r="B1699">
        <f t="shared" si="232"/>
        <v>1</v>
      </c>
      <c r="C1699">
        <f t="shared" si="233"/>
        <v>1</v>
      </c>
      <c r="D1699">
        <f t="shared" si="234"/>
        <v>1</v>
      </c>
      <c r="E1699">
        <f t="shared" si="235"/>
        <v>0</v>
      </c>
      <c r="F1699">
        <f t="shared" si="236"/>
        <v>1</v>
      </c>
      <c r="G1699">
        <f t="shared" si="237"/>
        <v>1</v>
      </c>
      <c r="H1699">
        <v>0</v>
      </c>
      <c r="I1699">
        <f t="shared" si="238"/>
        <v>1</v>
      </c>
      <c r="J1699">
        <f t="shared" si="230"/>
        <v>10.091604709625241</v>
      </c>
      <c r="K1699" t="s">
        <v>520</v>
      </c>
      <c r="L1699" t="s">
        <v>521</v>
      </c>
      <c r="M1699" t="s">
        <v>27</v>
      </c>
      <c r="N1699" t="s">
        <v>27</v>
      </c>
      <c r="O1699">
        <v>22.42</v>
      </c>
      <c r="P1699">
        <v>1.71880602836609</v>
      </c>
      <c r="Q1699">
        <v>5.9844617843627903</v>
      </c>
      <c r="R1699">
        <v>18.040000915527301</v>
      </c>
      <c r="S1699">
        <v>13.1875</v>
      </c>
      <c r="T1699">
        <v>16.155088424682599</v>
      </c>
      <c r="U1699">
        <v>32.545822143554702</v>
      </c>
      <c r="V1699">
        <v>2362000</v>
      </c>
      <c r="W1699">
        <v>-1.26737797260284</v>
      </c>
      <c r="X1699">
        <v>5.0000000745058101E-2</v>
      </c>
      <c r="Y1699">
        <v>0.80000001192092896</v>
      </c>
      <c r="Z1699">
        <v>4.1071429252624503</v>
      </c>
      <c r="AA1699">
        <v>8186000</v>
      </c>
      <c r="AB1699" t="s">
        <v>27</v>
      </c>
      <c r="AC1699" t="s">
        <v>27</v>
      </c>
      <c r="AD1699">
        <v>0.270000010728836</v>
      </c>
      <c r="AE1699">
        <v>39.729785919189503</v>
      </c>
      <c r="AF1699">
        <v>8.0656229412337996</v>
      </c>
      <c r="AG1699">
        <v>8257000</v>
      </c>
      <c r="AH1699">
        <v>13.600638389587401</v>
      </c>
      <c r="AI1699">
        <v>1.5332720279693599</v>
      </c>
    </row>
    <row r="1700" spans="1:35">
      <c r="A1700">
        <f t="shared" si="231"/>
        <v>1</v>
      </c>
      <c r="B1700">
        <f t="shared" si="232"/>
        <v>1</v>
      </c>
      <c r="C1700">
        <f t="shared" si="233"/>
        <v>1</v>
      </c>
      <c r="D1700">
        <f t="shared" si="234"/>
        <v>1</v>
      </c>
      <c r="E1700">
        <f t="shared" si="235"/>
        <v>0</v>
      </c>
      <c r="F1700">
        <f t="shared" si="236"/>
        <v>1</v>
      </c>
      <c r="G1700">
        <f t="shared" si="237"/>
        <v>0</v>
      </c>
      <c r="H1700">
        <v>0</v>
      </c>
      <c r="I1700">
        <f t="shared" si="238"/>
        <v>0</v>
      </c>
      <c r="J1700">
        <f t="shared" si="230"/>
        <v>10.060062885284429</v>
      </c>
      <c r="K1700" t="s">
        <v>1366</v>
      </c>
      <c r="L1700" t="s">
        <v>1367</v>
      </c>
      <c r="M1700" t="s">
        <v>27</v>
      </c>
      <c r="N1700" t="s">
        <v>27</v>
      </c>
      <c r="O1700">
        <v>25.29</v>
      </c>
      <c r="P1700">
        <v>2.48805904388428</v>
      </c>
      <c r="Q1700">
        <v>2.9140930175781299</v>
      </c>
      <c r="R1700">
        <v>25.9899997711182</v>
      </c>
      <c r="S1700">
        <v>21</v>
      </c>
      <c r="T1700">
        <v>36.694793701171903</v>
      </c>
      <c r="U1700" t="s">
        <v>27</v>
      </c>
      <c r="V1700">
        <v>14282000</v>
      </c>
      <c r="W1700">
        <v>0.92104399204254195</v>
      </c>
      <c r="X1700">
        <v>0.38999998569488498</v>
      </c>
      <c r="Y1700">
        <v>9.6000003814697301</v>
      </c>
      <c r="Z1700">
        <v>7.1459698677062997</v>
      </c>
      <c r="AA1700">
        <v>13318000</v>
      </c>
      <c r="AB1700" t="s">
        <v>27</v>
      </c>
      <c r="AC1700" t="s">
        <v>27</v>
      </c>
      <c r="AD1700">
        <v>0.44999998807907099</v>
      </c>
      <c r="AE1700" t="s">
        <v>27</v>
      </c>
      <c r="AF1700" t="s">
        <v>27</v>
      </c>
      <c r="AG1700">
        <v>13396000</v>
      </c>
      <c r="AH1700">
        <v>30.7467441558838</v>
      </c>
      <c r="AI1700">
        <v>0.98464202880859397</v>
      </c>
    </row>
    <row r="1701" spans="1:35">
      <c r="A1701">
        <f t="shared" si="231"/>
        <v>1</v>
      </c>
      <c r="B1701">
        <f t="shared" si="232"/>
        <v>1</v>
      </c>
      <c r="C1701">
        <f t="shared" si="233"/>
        <v>1</v>
      </c>
      <c r="D1701">
        <f t="shared" si="234"/>
        <v>0</v>
      </c>
      <c r="E1701">
        <f t="shared" si="235"/>
        <v>0</v>
      </c>
      <c r="F1701">
        <f t="shared" si="236"/>
        <v>1</v>
      </c>
      <c r="G1701">
        <f t="shared" si="237"/>
        <v>0</v>
      </c>
      <c r="H1701">
        <v>0</v>
      </c>
      <c r="I1701">
        <f t="shared" si="238"/>
        <v>0</v>
      </c>
      <c r="J1701">
        <f t="shared" si="230"/>
        <v>10.040045976638799</v>
      </c>
      <c r="K1701" t="s">
        <v>3402</v>
      </c>
      <c r="L1701" t="s">
        <v>3403</v>
      </c>
      <c r="M1701" t="s">
        <v>27</v>
      </c>
      <c r="N1701" t="s">
        <v>27</v>
      </c>
      <c r="O1701">
        <v>21.24</v>
      </c>
      <c r="P1701">
        <v>4.5231571197509801</v>
      </c>
      <c r="Q1701">
        <v>3.7928550243377699</v>
      </c>
      <c r="R1701">
        <v>22.450000762939499</v>
      </c>
      <c r="S1701">
        <v>16.875</v>
      </c>
      <c r="T1701">
        <v>23.021299362182599</v>
      </c>
      <c r="U1701" t="s">
        <v>27</v>
      </c>
      <c r="V1701">
        <v>16201000</v>
      </c>
      <c r="W1701">
        <v>0.96922099590301503</v>
      </c>
      <c r="X1701">
        <v>0.36000001430511502</v>
      </c>
      <c r="Y1701">
        <v>8.1311483383178693</v>
      </c>
      <c r="Z1701">
        <v>6.2471909523010298</v>
      </c>
      <c r="AA1701">
        <v>39226000</v>
      </c>
      <c r="AB1701" t="s">
        <v>34</v>
      </c>
      <c r="AC1701" t="s">
        <v>35</v>
      </c>
      <c r="AD1701">
        <v>0.36000001430511502</v>
      </c>
      <c r="AE1701" t="s">
        <v>27</v>
      </c>
      <c r="AF1701" t="s">
        <v>27</v>
      </c>
      <c r="AG1701">
        <v>39308000</v>
      </c>
      <c r="AH1701">
        <v>22.728286743164102</v>
      </c>
      <c r="AI1701">
        <v>1.14529800415039</v>
      </c>
    </row>
    <row r="1702" spans="1:35">
      <c r="A1702">
        <f t="shared" si="231"/>
        <v>0</v>
      </c>
      <c r="B1702">
        <f t="shared" si="232"/>
        <v>0</v>
      </c>
      <c r="C1702">
        <f t="shared" si="233"/>
        <v>1</v>
      </c>
      <c r="D1702">
        <f t="shared" si="234"/>
        <v>1</v>
      </c>
      <c r="E1702">
        <f t="shared" si="235"/>
        <v>0</v>
      </c>
      <c r="F1702">
        <f t="shared" si="236"/>
        <v>1</v>
      </c>
      <c r="G1702">
        <f t="shared" si="237"/>
        <v>0</v>
      </c>
      <c r="H1702">
        <v>0</v>
      </c>
      <c r="I1702">
        <f t="shared" si="238"/>
        <v>1</v>
      </c>
      <c r="J1702">
        <f t="shared" si="230"/>
        <v>10.024397850036619</v>
      </c>
      <c r="K1702" t="s">
        <v>3063</v>
      </c>
      <c r="L1702" t="s">
        <v>3064</v>
      </c>
      <c r="M1702" t="s">
        <v>27</v>
      </c>
      <c r="N1702" t="s">
        <v>27</v>
      </c>
      <c r="O1702">
        <v>33.28</v>
      </c>
      <c r="P1702" t="s">
        <v>27</v>
      </c>
      <c r="Q1702">
        <v>4.1539020538330096</v>
      </c>
      <c r="R1702">
        <v>30.25</v>
      </c>
      <c r="S1702">
        <v>17.2916666666667</v>
      </c>
      <c r="T1702">
        <v>22.015579223632798</v>
      </c>
      <c r="U1702" t="s">
        <v>27</v>
      </c>
      <c r="V1702">
        <v>9087000</v>
      </c>
      <c r="W1702">
        <v>1.1936949491500899</v>
      </c>
      <c r="X1702">
        <v>0.28666667143503799</v>
      </c>
      <c r="Y1702">
        <v>7.5359997749328604</v>
      </c>
      <c r="Z1702">
        <v>5.8704957962036097</v>
      </c>
      <c r="AA1702">
        <v>14305500</v>
      </c>
      <c r="AB1702" t="s">
        <v>34</v>
      </c>
      <c r="AC1702" t="s">
        <v>35</v>
      </c>
      <c r="AD1702">
        <v>0.41333333651224802</v>
      </c>
      <c r="AE1702" t="s">
        <v>27</v>
      </c>
      <c r="AF1702" t="s">
        <v>27</v>
      </c>
      <c r="AG1702">
        <v>14427000</v>
      </c>
      <c r="AH1702">
        <v>26.230852127075199</v>
      </c>
      <c r="AI1702">
        <v>1.11583995819092</v>
      </c>
    </row>
    <row r="1703" spans="1:35">
      <c r="A1703">
        <f t="shared" si="231"/>
        <v>0</v>
      </c>
      <c r="B1703">
        <f t="shared" si="232"/>
        <v>1</v>
      </c>
      <c r="C1703">
        <f t="shared" si="233"/>
        <v>0</v>
      </c>
      <c r="D1703">
        <f t="shared" si="234"/>
        <v>1</v>
      </c>
      <c r="E1703">
        <f t="shared" si="235"/>
        <v>0</v>
      </c>
      <c r="F1703">
        <f t="shared" si="236"/>
        <v>1</v>
      </c>
      <c r="G1703">
        <f t="shared" si="237"/>
        <v>0</v>
      </c>
      <c r="H1703">
        <v>0</v>
      </c>
      <c r="I1703">
        <f t="shared" si="238"/>
        <v>1</v>
      </c>
      <c r="J1703">
        <f t="shared" si="230"/>
        <v>10.019893169403069</v>
      </c>
      <c r="K1703" t="s">
        <v>3386</v>
      </c>
      <c r="L1703" t="s">
        <v>3387</v>
      </c>
      <c r="M1703" t="s">
        <v>27</v>
      </c>
      <c r="N1703" t="s">
        <v>27</v>
      </c>
      <c r="O1703">
        <v>7.56</v>
      </c>
      <c r="P1703">
        <v>5.3342218399047896</v>
      </c>
      <c r="Q1703">
        <v>4.3902630805969203</v>
      </c>
      <c r="R1703">
        <v>6.8000001907348597</v>
      </c>
      <c r="S1703">
        <v>6.25</v>
      </c>
      <c r="T1703">
        <v>9.70947265625</v>
      </c>
      <c r="U1703" t="s">
        <v>27</v>
      </c>
      <c r="V1703">
        <v>-637000.0625</v>
      </c>
      <c r="W1703">
        <v>0.400682002305984</v>
      </c>
      <c r="X1703">
        <v>0.10000000149011599</v>
      </c>
      <c r="Y1703">
        <v>3.625</v>
      </c>
      <c r="Z1703">
        <v>5.6296300888061497</v>
      </c>
      <c r="AA1703">
        <v>14385000</v>
      </c>
      <c r="AB1703" t="s">
        <v>27</v>
      </c>
      <c r="AC1703" t="s">
        <v>27</v>
      </c>
      <c r="AD1703">
        <v>0.109999999403954</v>
      </c>
      <c r="AE1703" t="s">
        <v>27</v>
      </c>
      <c r="AF1703" t="s">
        <v>27</v>
      </c>
      <c r="AG1703">
        <v>14244000</v>
      </c>
      <c r="AH1703">
        <v>13.9816808700562</v>
      </c>
      <c r="AI1703">
        <v>0.46934199333190901</v>
      </c>
    </row>
    <row r="1704" spans="1:35">
      <c r="A1704">
        <f t="shared" si="231"/>
        <v>1</v>
      </c>
      <c r="B1704">
        <f t="shared" si="232"/>
        <v>0</v>
      </c>
      <c r="C1704">
        <f t="shared" si="233"/>
        <v>1</v>
      </c>
      <c r="D1704">
        <f t="shared" si="234"/>
        <v>1</v>
      </c>
      <c r="E1704">
        <f t="shared" si="235"/>
        <v>0</v>
      </c>
      <c r="F1704">
        <f t="shared" si="236"/>
        <v>1</v>
      </c>
      <c r="G1704">
        <f t="shared" si="237"/>
        <v>0</v>
      </c>
      <c r="H1704">
        <v>0</v>
      </c>
      <c r="I1704">
        <f t="shared" si="238"/>
        <v>1</v>
      </c>
      <c r="J1704">
        <f t="shared" si="230"/>
        <v>10.0050950050354</v>
      </c>
      <c r="K1704" t="s">
        <v>1382</v>
      </c>
      <c r="L1704" t="s">
        <v>1383</v>
      </c>
      <c r="M1704" t="s">
        <v>27</v>
      </c>
      <c r="N1704" t="s">
        <v>27</v>
      </c>
      <c r="O1704">
        <v>14.35</v>
      </c>
      <c r="P1704">
        <v>3.5654079914093</v>
      </c>
      <c r="Q1704">
        <v>3.3780770301818799</v>
      </c>
      <c r="R1704">
        <v>12.9799995422363</v>
      </c>
      <c r="S1704">
        <v>11.0625</v>
      </c>
      <c r="T1704">
        <v>25.772171020507798</v>
      </c>
      <c r="U1704" t="s">
        <v>27</v>
      </c>
      <c r="V1704">
        <v>11661000</v>
      </c>
      <c r="W1704">
        <v>1.25816702842712</v>
      </c>
      <c r="X1704">
        <v>0.17000000178813901</v>
      </c>
      <c r="Y1704">
        <v>6.9245901107788104</v>
      </c>
      <c r="Z1704">
        <v>6.6270179748535201</v>
      </c>
      <c r="AA1704">
        <v>32499000</v>
      </c>
      <c r="AB1704" t="s">
        <v>27</v>
      </c>
      <c r="AC1704" t="s">
        <v>27</v>
      </c>
      <c r="AD1704">
        <v>0.21999999880790699</v>
      </c>
      <c r="AE1704" t="s">
        <v>27</v>
      </c>
      <c r="AF1704" t="s">
        <v>27</v>
      </c>
      <c r="AG1704">
        <v>30203000</v>
      </c>
      <c r="AH1704">
        <v>24.9841632843018</v>
      </c>
      <c r="AI1704">
        <v>1.1859329938888501</v>
      </c>
    </row>
    <row r="1705" spans="1:35">
      <c r="A1705">
        <f t="shared" si="231"/>
        <v>0</v>
      </c>
      <c r="B1705">
        <f t="shared" si="232"/>
        <v>0</v>
      </c>
      <c r="C1705">
        <f t="shared" si="233"/>
        <v>0</v>
      </c>
      <c r="D1705">
        <f t="shared" si="234"/>
        <v>1</v>
      </c>
      <c r="E1705">
        <f t="shared" si="235"/>
        <v>0</v>
      </c>
      <c r="F1705">
        <f t="shared" si="236"/>
        <v>1</v>
      </c>
      <c r="G1705">
        <f t="shared" si="237"/>
        <v>1</v>
      </c>
      <c r="H1705">
        <v>0</v>
      </c>
      <c r="I1705">
        <f t="shared" si="238"/>
        <v>0</v>
      </c>
      <c r="J1705">
        <f t="shared" si="230"/>
        <v>9.9760599136352504</v>
      </c>
      <c r="K1705" t="s">
        <v>3831</v>
      </c>
      <c r="L1705" t="s">
        <v>3832</v>
      </c>
      <c r="M1705" t="s">
        <v>27</v>
      </c>
      <c r="N1705" t="s">
        <v>27</v>
      </c>
      <c r="O1705">
        <v>18.98</v>
      </c>
      <c r="P1705">
        <v>7.31799221038818</v>
      </c>
      <c r="Q1705">
        <v>4.9760599136352504</v>
      </c>
      <c r="R1705">
        <v>25.75</v>
      </c>
      <c r="S1705">
        <v>24.170000076293899</v>
      </c>
      <c r="T1705">
        <v>34.252670288085902</v>
      </c>
      <c r="U1705">
        <v>23.5406684875488</v>
      </c>
      <c r="V1705">
        <v>-6100000</v>
      </c>
      <c r="W1705">
        <v>7.3198409080505398</v>
      </c>
      <c r="X1705">
        <v>0.31999999284744302</v>
      </c>
      <c r="Y1705">
        <v>6.4086022377014196</v>
      </c>
      <c r="Z1705">
        <v>5</v>
      </c>
      <c r="AA1705">
        <v>14318000</v>
      </c>
      <c r="AB1705" t="s">
        <v>73</v>
      </c>
      <c r="AC1705" t="s">
        <v>74</v>
      </c>
      <c r="AD1705">
        <v>0.40999999642372098</v>
      </c>
      <c r="AE1705">
        <v>27.564765930175799</v>
      </c>
      <c r="AF1705" t="s">
        <v>27</v>
      </c>
      <c r="AG1705">
        <v>14345405</v>
      </c>
      <c r="AH1705">
        <v>38.143970489502003</v>
      </c>
      <c r="AI1705">
        <v>0.29067099094390902</v>
      </c>
    </row>
    <row r="1706" spans="1:35">
      <c r="A1706">
        <f t="shared" si="231"/>
        <v>0</v>
      </c>
      <c r="B1706">
        <f t="shared" si="232"/>
        <v>0</v>
      </c>
      <c r="C1706">
        <f t="shared" si="233"/>
        <v>0</v>
      </c>
      <c r="D1706">
        <f t="shared" si="234"/>
        <v>1</v>
      </c>
      <c r="E1706">
        <f t="shared" si="235"/>
        <v>0</v>
      </c>
      <c r="F1706">
        <f t="shared" si="236"/>
        <v>1</v>
      </c>
      <c r="G1706">
        <f t="shared" si="237"/>
        <v>0</v>
      </c>
      <c r="H1706">
        <v>0</v>
      </c>
      <c r="I1706">
        <f t="shared" si="238"/>
        <v>1</v>
      </c>
      <c r="J1706">
        <f t="shared" si="230"/>
        <v>9.9537501335144096</v>
      </c>
      <c r="K1706" t="s">
        <v>2678</v>
      </c>
      <c r="L1706" t="s">
        <v>2679</v>
      </c>
      <c r="M1706" t="s">
        <v>27</v>
      </c>
      <c r="N1706" t="s">
        <v>27</v>
      </c>
      <c r="O1706">
        <v>26.8</v>
      </c>
      <c r="P1706">
        <v>2.6579968929290798</v>
      </c>
      <c r="Q1706">
        <v>2.7473440170288099</v>
      </c>
      <c r="R1706">
        <v>23.649999618530298</v>
      </c>
      <c r="S1706">
        <v>18.75</v>
      </c>
      <c r="T1706">
        <v>25.0900478363037</v>
      </c>
      <c r="U1706" t="s">
        <v>27</v>
      </c>
      <c r="V1706">
        <v>-754000</v>
      </c>
      <c r="W1706">
        <v>0.78285098075866699</v>
      </c>
      <c r="X1706">
        <v>0.40999999642372098</v>
      </c>
      <c r="Y1706">
        <v>10.0162601470947</v>
      </c>
      <c r="Z1706">
        <v>7.2064061164856001</v>
      </c>
      <c r="AA1706">
        <v>7679000</v>
      </c>
      <c r="AB1706" t="s">
        <v>27</v>
      </c>
      <c r="AC1706" t="s">
        <v>27</v>
      </c>
      <c r="AD1706">
        <v>0.490000009536743</v>
      </c>
      <c r="AE1706" t="s">
        <v>27</v>
      </c>
      <c r="AF1706" t="s">
        <v>27</v>
      </c>
      <c r="AG1706">
        <v>7312000</v>
      </c>
      <c r="AH1706">
        <v>28.693920135498001</v>
      </c>
      <c r="AI1706">
        <v>0.69932502508163497</v>
      </c>
    </row>
    <row r="1707" spans="1:35">
      <c r="A1707">
        <f t="shared" si="231"/>
        <v>0</v>
      </c>
      <c r="B1707">
        <f t="shared" si="232"/>
        <v>0</v>
      </c>
      <c r="C1707">
        <f t="shared" si="233"/>
        <v>0</v>
      </c>
      <c r="D1707">
        <f t="shared" si="234"/>
        <v>0</v>
      </c>
      <c r="E1707">
        <f t="shared" si="235"/>
        <v>0</v>
      </c>
      <c r="F1707">
        <f t="shared" si="236"/>
        <v>1</v>
      </c>
      <c r="G1707">
        <f t="shared" si="237"/>
        <v>1</v>
      </c>
      <c r="H1707">
        <v>0</v>
      </c>
      <c r="I1707">
        <f t="shared" si="238"/>
        <v>1</v>
      </c>
      <c r="J1707">
        <f t="shared" si="230"/>
        <v>9.9119429588317907</v>
      </c>
      <c r="K1707" t="s">
        <v>697</v>
      </c>
      <c r="L1707" t="s">
        <v>698</v>
      </c>
      <c r="M1707" t="s">
        <v>27</v>
      </c>
      <c r="N1707" t="s">
        <v>27</v>
      </c>
      <c r="O1707">
        <v>9.6999999999999993</v>
      </c>
      <c r="P1707" t="s">
        <v>27</v>
      </c>
      <c r="Q1707">
        <v>5.0767779350280797</v>
      </c>
      <c r="R1707">
        <v>8.2399997711181605</v>
      </c>
      <c r="S1707">
        <v>5.6999998092651403</v>
      </c>
      <c r="T1707">
        <v>47.933597564697301</v>
      </c>
      <c r="U1707">
        <v>58.817573547363303</v>
      </c>
      <c r="V1707">
        <v>-17894000</v>
      </c>
      <c r="W1707">
        <v>3.3569910526275599</v>
      </c>
      <c r="X1707">
        <v>0.28000000119209301</v>
      </c>
      <c r="Y1707">
        <v>-3.5555551052093501</v>
      </c>
      <c r="Z1707">
        <v>4.83516502380371</v>
      </c>
      <c r="AA1707">
        <v>25418376</v>
      </c>
      <c r="AB1707" t="s">
        <v>34</v>
      </c>
      <c r="AC1707" t="s">
        <v>395</v>
      </c>
      <c r="AD1707">
        <v>-0.62999999523162797</v>
      </c>
      <c r="AE1707">
        <v>59.575809478759801</v>
      </c>
      <c r="AF1707">
        <v>5.1806014628729002</v>
      </c>
      <c r="AG1707">
        <v>24662334</v>
      </c>
      <c r="AH1707">
        <v>48.462032318115199</v>
      </c>
      <c r="AI1707">
        <v>0.93572801351547197</v>
      </c>
    </row>
    <row r="1708" spans="1:35">
      <c r="A1708">
        <f t="shared" si="231"/>
        <v>0</v>
      </c>
      <c r="B1708">
        <f t="shared" si="232"/>
        <v>0</v>
      </c>
      <c r="C1708">
        <f t="shared" si="233"/>
        <v>0</v>
      </c>
      <c r="D1708">
        <f t="shared" si="234"/>
        <v>0</v>
      </c>
      <c r="E1708">
        <f t="shared" si="235"/>
        <v>0</v>
      </c>
      <c r="F1708">
        <f t="shared" si="236"/>
        <v>1</v>
      </c>
      <c r="G1708">
        <f t="shared" si="237"/>
        <v>1</v>
      </c>
      <c r="H1708">
        <v>0</v>
      </c>
      <c r="I1708">
        <f t="shared" si="238"/>
        <v>1</v>
      </c>
      <c r="J1708">
        <f t="shared" si="230"/>
        <v>9.901141881942749</v>
      </c>
      <c r="K1708" t="s">
        <v>1402</v>
      </c>
      <c r="L1708" t="s">
        <v>1403</v>
      </c>
      <c r="M1708" t="s">
        <v>27</v>
      </c>
      <c r="N1708" t="s">
        <v>27</v>
      </c>
      <c r="O1708">
        <v>24</v>
      </c>
      <c r="P1708">
        <v>2.5877161026000999</v>
      </c>
      <c r="Q1708">
        <v>3.1738688945770299</v>
      </c>
      <c r="R1708">
        <v>21.9899997711182</v>
      </c>
      <c r="S1708">
        <v>39.75</v>
      </c>
      <c r="T1708">
        <v>0</v>
      </c>
      <c r="U1708">
        <v>6.5307488441467303</v>
      </c>
      <c r="V1708">
        <v>-37028000</v>
      </c>
      <c r="W1708">
        <v>4.5756921768188503</v>
      </c>
      <c r="X1708">
        <v>5.9999998658895499E-2</v>
      </c>
      <c r="Y1708">
        <v>2.3902440071106001</v>
      </c>
      <c r="Z1708">
        <v>6.72727298736572</v>
      </c>
      <c r="AA1708">
        <v>36449000</v>
      </c>
      <c r="AB1708" t="s">
        <v>27</v>
      </c>
      <c r="AC1708" t="s">
        <v>27</v>
      </c>
      <c r="AD1708">
        <v>5.0000000745058101E-2</v>
      </c>
      <c r="AE1708">
        <v>23.544649124145501</v>
      </c>
      <c r="AF1708">
        <v>9.7989272643328995</v>
      </c>
      <c r="AG1708">
        <v>36520000</v>
      </c>
      <c r="AH1708">
        <v>19.929735183715799</v>
      </c>
      <c r="AI1708">
        <v>2.5472500324249299</v>
      </c>
    </row>
    <row r="1709" spans="1:35">
      <c r="A1709">
        <f t="shared" si="231"/>
        <v>1</v>
      </c>
      <c r="B1709">
        <f t="shared" si="232"/>
        <v>1</v>
      </c>
      <c r="C1709">
        <f t="shared" si="233"/>
        <v>1</v>
      </c>
      <c r="D1709">
        <f t="shared" si="234"/>
        <v>1</v>
      </c>
      <c r="E1709">
        <f t="shared" si="235"/>
        <v>0</v>
      </c>
      <c r="F1709">
        <f t="shared" si="236"/>
        <v>1</v>
      </c>
      <c r="G1709">
        <f t="shared" si="237"/>
        <v>1</v>
      </c>
      <c r="H1709">
        <v>0</v>
      </c>
      <c r="I1709">
        <f t="shared" si="238"/>
        <v>0</v>
      </c>
      <c r="J1709">
        <f t="shared" si="230"/>
        <v>9.8932371139526296</v>
      </c>
      <c r="K1709" t="s">
        <v>3729</v>
      </c>
      <c r="L1709" t="s">
        <v>3730</v>
      </c>
      <c r="M1709" t="s">
        <v>27</v>
      </c>
      <c r="N1709" t="s">
        <v>27</v>
      </c>
      <c r="O1709">
        <v>7.88</v>
      </c>
      <c r="P1709">
        <v>3.3884809017181401</v>
      </c>
      <c r="Q1709">
        <v>4.6849040985107404</v>
      </c>
      <c r="R1709">
        <v>16.290000915527301</v>
      </c>
      <c r="S1709">
        <v>30.0100002288818</v>
      </c>
      <c r="T1709">
        <v>19.074529647827099</v>
      </c>
      <c r="U1709">
        <v>16.1960124969482</v>
      </c>
      <c r="V1709">
        <v>11434000</v>
      </c>
      <c r="W1709">
        <v>1.1235599517822299</v>
      </c>
      <c r="X1709">
        <v>0.18000000715255701</v>
      </c>
      <c r="Y1709">
        <v>1.56666696071625</v>
      </c>
      <c r="Z1709">
        <v>5.2083330154418901</v>
      </c>
      <c r="AA1709">
        <v>28591000</v>
      </c>
      <c r="AB1709" t="s">
        <v>27</v>
      </c>
      <c r="AC1709" t="s">
        <v>27</v>
      </c>
      <c r="AD1709">
        <v>0.239999994635582</v>
      </c>
      <c r="AE1709">
        <v>19.609815597534201</v>
      </c>
      <c r="AF1709">
        <v>1.67556872068786</v>
      </c>
      <c r="AG1709">
        <v>30900000</v>
      </c>
      <c r="AH1709">
        <v>17.205276489257798</v>
      </c>
      <c r="AI1709">
        <v>3.1883358955383301</v>
      </c>
    </row>
    <row r="1710" spans="1:35">
      <c r="A1710">
        <f t="shared" si="231"/>
        <v>1</v>
      </c>
      <c r="B1710">
        <f t="shared" si="232"/>
        <v>1</v>
      </c>
      <c r="C1710">
        <f t="shared" si="233"/>
        <v>1</v>
      </c>
      <c r="D1710">
        <f t="shared" si="234"/>
        <v>1</v>
      </c>
      <c r="E1710">
        <f t="shared" si="235"/>
        <v>0</v>
      </c>
      <c r="F1710">
        <f t="shared" si="236"/>
        <v>1</v>
      </c>
      <c r="G1710">
        <f t="shared" si="237"/>
        <v>1</v>
      </c>
      <c r="H1710">
        <v>0</v>
      </c>
      <c r="I1710">
        <f t="shared" si="238"/>
        <v>0</v>
      </c>
      <c r="J1710">
        <f t="shared" si="230"/>
        <v>9.8872261643409711</v>
      </c>
      <c r="K1710" t="s">
        <v>3505</v>
      </c>
      <c r="L1710" t="s">
        <v>3506</v>
      </c>
      <c r="M1710" t="s">
        <v>27</v>
      </c>
      <c r="N1710" t="s">
        <v>27</v>
      </c>
      <c r="O1710">
        <v>18.510000000000002</v>
      </c>
      <c r="P1710">
        <v>0.81592202186584495</v>
      </c>
      <c r="Q1710">
        <v>9.0614461898803693</v>
      </c>
      <c r="R1710">
        <v>27.129999160766602</v>
      </c>
      <c r="S1710">
        <v>8.875</v>
      </c>
      <c r="T1710">
        <v>1.1977009773254399</v>
      </c>
      <c r="U1710">
        <v>24.860904693603501</v>
      </c>
      <c r="V1710">
        <v>1000000</v>
      </c>
      <c r="W1710">
        <v>0.36178699135780301</v>
      </c>
      <c r="X1710">
        <v>5.3333332141240399E-2</v>
      </c>
      <c r="Y1710">
        <v>1.5118110179901101</v>
      </c>
      <c r="Z1710">
        <v>0.82577997446060203</v>
      </c>
      <c r="AA1710">
        <v>12448708.5</v>
      </c>
      <c r="AB1710" t="s">
        <v>73</v>
      </c>
      <c r="AC1710" t="s">
        <v>210</v>
      </c>
      <c r="AD1710">
        <v>0.10000000149011599</v>
      </c>
      <c r="AE1710">
        <v>25.9025363922119</v>
      </c>
      <c r="AF1710">
        <v>8.9896653207011301</v>
      </c>
      <c r="AG1710">
        <v>14390696</v>
      </c>
      <c r="AH1710">
        <v>0.61223298311233498</v>
      </c>
      <c r="AI1710">
        <v>5.5965619087219203</v>
      </c>
    </row>
    <row r="1711" spans="1:35">
      <c r="A1711">
        <f t="shared" si="231"/>
        <v>0</v>
      </c>
      <c r="B1711">
        <f t="shared" si="232"/>
        <v>0</v>
      </c>
      <c r="C1711">
        <f t="shared" si="233"/>
        <v>0</v>
      </c>
      <c r="D1711">
        <f t="shared" si="234"/>
        <v>0</v>
      </c>
      <c r="E1711">
        <f t="shared" si="235"/>
        <v>0</v>
      </c>
      <c r="F1711">
        <f t="shared" si="236"/>
        <v>1</v>
      </c>
      <c r="G1711">
        <f t="shared" si="237"/>
        <v>0</v>
      </c>
      <c r="H1711">
        <v>0</v>
      </c>
      <c r="I1711">
        <f t="shared" si="238"/>
        <v>0</v>
      </c>
      <c r="J1711">
        <f t="shared" si="230"/>
        <v>9.8855819702148402</v>
      </c>
      <c r="K1711" t="s">
        <v>290</v>
      </c>
      <c r="L1711" t="s">
        <v>291</v>
      </c>
      <c r="M1711" t="s">
        <v>27</v>
      </c>
      <c r="N1711" t="s">
        <v>27</v>
      </c>
      <c r="O1711">
        <v>18.61</v>
      </c>
      <c r="P1711">
        <v>9.8682298660278303</v>
      </c>
      <c r="Q1711">
        <v>5.0201578140258798</v>
      </c>
      <c r="R1711">
        <v>25.8333333333333</v>
      </c>
      <c r="S1711">
        <v>19.566666920979799</v>
      </c>
      <c r="T1711">
        <v>13.6011600494385</v>
      </c>
      <c r="U1711">
        <v>55.721271514892599</v>
      </c>
      <c r="V1711">
        <v>-41446000</v>
      </c>
      <c r="W1711">
        <v>8.3777437210083008</v>
      </c>
      <c r="X1711">
        <v>0.55333332220713305</v>
      </c>
      <c r="Y1711">
        <v>7.5999999046325701</v>
      </c>
      <c r="Z1711">
        <v>4.8654241561889604</v>
      </c>
      <c r="AA1711">
        <v>43198500</v>
      </c>
      <c r="AB1711" t="s">
        <v>30</v>
      </c>
      <c r="AC1711" t="s">
        <v>68</v>
      </c>
      <c r="AD1711">
        <v>0.27999999125798503</v>
      </c>
      <c r="AE1711">
        <v>54.013137817382798</v>
      </c>
      <c r="AF1711">
        <v>4.1326828057042899</v>
      </c>
      <c r="AG1711">
        <v>43759500</v>
      </c>
      <c r="AH1711">
        <v>14.502332687377899</v>
      </c>
      <c r="AI1711">
        <v>6.4916892051696804</v>
      </c>
    </row>
    <row r="1712" spans="1:35">
      <c r="A1712">
        <f t="shared" si="231"/>
        <v>0</v>
      </c>
      <c r="B1712">
        <f t="shared" si="232"/>
        <v>0</v>
      </c>
      <c r="C1712">
        <f t="shared" si="233"/>
        <v>1</v>
      </c>
      <c r="D1712">
        <f t="shared" si="234"/>
        <v>1</v>
      </c>
      <c r="E1712">
        <f t="shared" si="235"/>
        <v>0</v>
      </c>
      <c r="F1712">
        <f t="shared" si="236"/>
        <v>1</v>
      </c>
      <c r="G1712">
        <f t="shared" si="237"/>
        <v>0</v>
      </c>
      <c r="H1712">
        <v>0</v>
      </c>
      <c r="I1712">
        <f t="shared" si="238"/>
        <v>0</v>
      </c>
      <c r="J1712">
        <f t="shared" si="230"/>
        <v>9.8671188354492205</v>
      </c>
      <c r="K1712" t="s">
        <v>3789</v>
      </c>
      <c r="L1712" t="s">
        <v>3790</v>
      </c>
      <c r="M1712" t="s">
        <v>27</v>
      </c>
      <c r="N1712" t="s">
        <v>27</v>
      </c>
      <c r="O1712">
        <v>19.690000000000001</v>
      </c>
      <c r="P1712">
        <v>3.3957610130310099</v>
      </c>
      <c r="Q1712">
        <v>3.11036205291748</v>
      </c>
      <c r="R1712">
        <v>18.75</v>
      </c>
      <c r="S1712">
        <v>15.625</v>
      </c>
      <c r="T1712">
        <v>30.9344577789307</v>
      </c>
      <c r="U1712" t="s">
        <v>27</v>
      </c>
      <c r="V1712">
        <v>7731000</v>
      </c>
      <c r="W1712">
        <v>1.1915520429611199</v>
      </c>
      <c r="X1712">
        <v>0.31000000238418601</v>
      </c>
      <c r="Y1712">
        <v>7.7596569061279297</v>
      </c>
      <c r="Z1712">
        <v>6.7567567825317401</v>
      </c>
      <c r="AA1712">
        <v>11994000</v>
      </c>
      <c r="AB1712" t="s">
        <v>34</v>
      </c>
      <c r="AC1712" t="s">
        <v>35</v>
      </c>
      <c r="AD1712">
        <v>0.40000000596046398</v>
      </c>
      <c r="AE1712" t="s">
        <v>27</v>
      </c>
      <c r="AF1712" t="s">
        <v>27</v>
      </c>
      <c r="AG1712">
        <v>12065000</v>
      </c>
      <c r="AH1712">
        <v>32.893463134765597</v>
      </c>
      <c r="AI1712">
        <v>1.1369069814682</v>
      </c>
    </row>
    <row r="1713" spans="1:35">
      <c r="A1713">
        <f t="shared" si="231"/>
        <v>0</v>
      </c>
      <c r="B1713">
        <f t="shared" si="232"/>
        <v>0</v>
      </c>
      <c r="C1713">
        <f t="shared" si="233"/>
        <v>1</v>
      </c>
      <c r="D1713">
        <f t="shared" si="234"/>
        <v>0</v>
      </c>
      <c r="E1713">
        <f t="shared" si="235"/>
        <v>0</v>
      </c>
      <c r="F1713">
        <f t="shared" si="236"/>
        <v>1</v>
      </c>
      <c r="G1713">
        <f t="shared" si="237"/>
        <v>0</v>
      </c>
      <c r="H1713">
        <v>0</v>
      </c>
      <c r="I1713">
        <f t="shared" si="238"/>
        <v>1</v>
      </c>
      <c r="J1713">
        <f t="shared" si="230"/>
        <v>9.8631401062011683</v>
      </c>
      <c r="K1713" t="s">
        <v>580</v>
      </c>
      <c r="L1713" t="s">
        <v>581</v>
      </c>
      <c r="M1713" t="s">
        <v>27</v>
      </c>
      <c r="N1713" t="s">
        <v>27</v>
      </c>
      <c r="O1713">
        <v>12.629</v>
      </c>
      <c r="P1713">
        <v>5.8304119110107404</v>
      </c>
      <c r="Q1713">
        <v>4.7298069000244096</v>
      </c>
      <c r="R1713">
        <v>7.3388199529312104</v>
      </c>
      <c r="S1713">
        <v>5.9442158207590303</v>
      </c>
      <c r="T1713">
        <v>13.446458816528301</v>
      </c>
      <c r="U1713" t="s">
        <v>27</v>
      </c>
      <c r="V1713">
        <v>8418000</v>
      </c>
      <c r="W1713">
        <v>2.3277490139007599</v>
      </c>
      <c r="X1713">
        <v>9.1449475528226895E-2</v>
      </c>
      <c r="Y1713">
        <v>7.51912593841553</v>
      </c>
      <c r="Z1713">
        <v>5.1333332061767596</v>
      </c>
      <c r="AA1713">
        <v>59129919</v>
      </c>
      <c r="AB1713" t="s">
        <v>34</v>
      </c>
      <c r="AC1713" t="s">
        <v>35</v>
      </c>
      <c r="AD1713">
        <v>8.2304530019459296E-2</v>
      </c>
      <c r="AE1713" t="s">
        <v>27</v>
      </c>
      <c r="AF1713" t="s">
        <v>27</v>
      </c>
      <c r="AG1713">
        <v>58589730</v>
      </c>
      <c r="AH1713">
        <v>16.070249557495099</v>
      </c>
      <c r="AI1713">
        <v>2.2263109683990501</v>
      </c>
    </row>
    <row r="1714" spans="1:35">
      <c r="A1714">
        <f t="shared" si="231"/>
        <v>1</v>
      </c>
      <c r="B1714">
        <f t="shared" si="232"/>
        <v>1</v>
      </c>
      <c r="C1714">
        <f t="shared" si="233"/>
        <v>0</v>
      </c>
      <c r="D1714">
        <f t="shared" si="234"/>
        <v>0</v>
      </c>
      <c r="E1714">
        <f t="shared" si="235"/>
        <v>0</v>
      </c>
      <c r="F1714">
        <f t="shared" si="236"/>
        <v>1</v>
      </c>
      <c r="G1714">
        <f t="shared" si="237"/>
        <v>0</v>
      </c>
      <c r="H1714">
        <v>0</v>
      </c>
      <c r="I1714">
        <f t="shared" si="238"/>
        <v>1</v>
      </c>
      <c r="J1714">
        <f t="shared" si="230"/>
        <v>9.84468722343445</v>
      </c>
      <c r="K1714" t="s">
        <v>1354</v>
      </c>
      <c r="L1714" t="s">
        <v>1355</v>
      </c>
      <c r="M1714" t="s">
        <v>27</v>
      </c>
      <c r="N1714" t="s">
        <v>27</v>
      </c>
      <c r="O1714">
        <v>19.600000000000001</v>
      </c>
      <c r="P1714">
        <v>3.3659229278564502</v>
      </c>
      <c r="Q1714">
        <v>2.1240990161895801</v>
      </c>
      <c r="R1714">
        <v>16.100000381469702</v>
      </c>
      <c r="S1714">
        <v>15</v>
      </c>
      <c r="T1714">
        <v>28.635505676269499</v>
      </c>
      <c r="U1714" t="s">
        <v>27</v>
      </c>
      <c r="V1714">
        <v>-10781000</v>
      </c>
      <c r="W1714">
        <v>0.97248601913452104</v>
      </c>
      <c r="X1714">
        <v>0.5</v>
      </c>
      <c r="Y1714">
        <v>17.333332061767599</v>
      </c>
      <c r="Z1714">
        <v>7.7205882072448704</v>
      </c>
      <c r="AA1714">
        <v>6525000</v>
      </c>
      <c r="AB1714" t="s">
        <v>34</v>
      </c>
      <c r="AC1714" t="s">
        <v>458</v>
      </c>
      <c r="AD1714">
        <v>0.46000000834464999</v>
      </c>
      <c r="AE1714" t="s">
        <v>27</v>
      </c>
      <c r="AF1714" t="s">
        <v>27</v>
      </c>
      <c r="AG1714">
        <v>6515000</v>
      </c>
      <c r="AH1714">
        <v>22.48996925354</v>
      </c>
      <c r="AI1714">
        <v>1.0642720460891699</v>
      </c>
    </row>
    <row r="1715" spans="1:35">
      <c r="A1715">
        <f t="shared" si="231"/>
        <v>0</v>
      </c>
      <c r="B1715">
        <f t="shared" si="232"/>
        <v>1</v>
      </c>
      <c r="C1715">
        <f t="shared" si="233"/>
        <v>1</v>
      </c>
      <c r="D1715">
        <f t="shared" si="234"/>
        <v>0</v>
      </c>
      <c r="E1715">
        <f t="shared" si="235"/>
        <v>0</v>
      </c>
      <c r="F1715">
        <f t="shared" si="236"/>
        <v>1</v>
      </c>
      <c r="G1715">
        <f t="shared" si="237"/>
        <v>0</v>
      </c>
      <c r="H1715">
        <v>0</v>
      </c>
      <c r="I1715">
        <f t="shared" si="238"/>
        <v>0</v>
      </c>
      <c r="J1715">
        <f t="shared" si="230"/>
        <v>9.8089528083801305</v>
      </c>
      <c r="K1715" t="s">
        <v>1904</v>
      </c>
      <c r="L1715" t="s">
        <v>1905</v>
      </c>
      <c r="M1715" t="s">
        <v>27</v>
      </c>
      <c r="N1715" t="s">
        <v>27</v>
      </c>
      <c r="O1715">
        <v>27.63</v>
      </c>
      <c r="P1715">
        <v>5.4834671020507804</v>
      </c>
      <c r="Q1715">
        <v>4.2874808311462402</v>
      </c>
      <c r="R1715">
        <v>27.790000915527301</v>
      </c>
      <c r="S1715">
        <v>19.0625</v>
      </c>
      <c r="T1715">
        <v>31.5580158233643</v>
      </c>
      <c r="U1715">
        <v>9.1751022338867205</v>
      </c>
      <c r="V1715">
        <v>26966000</v>
      </c>
      <c r="W1715">
        <v>2.7759709358215301</v>
      </c>
      <c r="X1715">
        <v>0.259999990463257</v>
      </c>
      <c r="Y1715">
        <v>6.8235287666320801</v>
      </c>
      <c r="Z1715">
        <v>5.5214719772338903</v>
      </c>
      <c r="AA1715">
        <v>35165000</v>
      </c>
      <c r="AB1715" t="s">
        <v>61</v>
      </c>
      <c r="AC1715" t="s">
        <v>234</v>
      </c>
      <c r="AD1715">
        <v>0.129999995231628</v>
      </c>
      <c r="AE1715">
        <v>8.4900865554809606</v>
      </c>
      <c r="AF1715">
        <v>5.4232708219522197</v>
      </c>
      <c r="AG1715">
        <v>35971000</v>
      </c>
      <c r="AH1715">
        <v>32.362312316894503</v>
      </c>
      <c r="AI1715">
        <v>3.0580000877380402</v>
      </c>
    </row>
    <row r="1716" spans="1:35">
      <c r="A1716">
        <f t="shared" si="231"/>
        <v>0</v>
      </c>
      <c r="B1716">
        <f t="shared" si="232"/>
        <v>0</v>
      </c>
      <c r="C1716">
        <f t="shared" si="233"/>
        <v>1</v>
      </c>
      <c r="D1716">
        <f t="shared" si="234"/>
        <v>1</v>
      </c>
      <c r="E1716">
        <f t="shared" si="235"/>
        <v>0</v>
      </c>
      <c r="F1716">
        <f t="shared" si="236"/>
        <v>1</v>
      </c>
      <c r="G1716">
        <f t="shared" si="237"/>
        <v>0</v>
      </c>
      <c r="H1716">
        <v>0</v>
      </c>
      <c r="I1716">
        <f t="shared" si="238"/>
        <v>0</v>
      </c>
      <c r="J1716">
        <f t="shared" si="230"/>
        <v>9.7477731704711914</v>
      </c>
      <c r="K1716" t="s">
        <v>2266</v>
      </c>
      <c r="L1716" t="s">
        <v>2267</v>
      </c>
      <c r="M1716" t="s">
        <v>27</v>
      </c>
      <c r="N1716" t="s">
        <v>27</v>
      </c>
      <c r="O1716">
        <v>23.8</v>
      </c>
      <c r="P1716" t="s">
        <v>27</v>
      </c>
      <c r="Q1716">
        <v>6.8246960639953604</v>
      </c>
      <c r="R1716">
        <v>25.709999084472699</v>
      </c>
      <c r="S1716">
        <v>22.799999237060501</v>
      </c>
      <c r="T1716">
        <v>59.233089447021499</v>
      </c>
      <c r="U1716" t="s">
        <v>27</v>
      </c>
      <c r="V1716">
        <v>20711000</v>
      </c>
      <c r="W1716">
        <v>2.51923799514771</v>
      </c>
      <c r="X1716">
        <v>9.00000035762787E-2</v>
      </c>
      <c r="Y1716" t="s">
        <v>27</v>
      </c>
      <c r="Z1716">
        <v>2.9230771064758301</v>
      </c>
      <c r="AA1716">
        <v>17125000</v>
      </c>
      <c r="AB1716" t="s">
        <v>83</v>
      </c>
      <c r="AC1716" t="s">
        <v>84</v>
      </c>
      <c r="AD1716">
        <v>0.519999980926514</v>
      </c>
      <c r="AE1716" t="s">
        <v>27</v>
      </c>
      <c r="AF1716">
        <v>10.171302198575599</v>
      </c>
      <c r="AG1716">
        <v>17423000</v>
      </c>
      <c r="AH1716">
        <v>60.891574859619098</v>
      </c>
      <c r="AI1716">
        <v>2.2890241146087602</v>
      </c>
    </row>
    <row r="1717" spans="1:35">
      <c r="A1717">
        <f t="shared" si="231"/>
        <v>0</v>
      </c>
      <c r="B1717">
        <f t="shared" si="232"/>
        <v>1</v>
      </c>
      <c r="C1717">
        <f t="shared" si="233"/>
        <v>0</v>
      </c>
      <c r="D1717">
        <f t="shared" si="234"/>
        <v>0</v>
      </c>
      <c r="E1717">
        <f t="shared" si="235"/>
        <v>0</v>
      </c>
      <c r="F1717">
        <f t="shared" si="236"/>
        <v>1</v>
      </c>
      <c r="G1717">
        <f t="shared" si="237"/>
        <v>0</v>
      </c>
      <c r="H1717">
        <v>0</v>
      </c>
      <c r="I1717">
        <f t="shared" si="238"/>
        <v>1</v>
      </c>
      <c r="J1717">
        <f t="shared" si="230"/>
        <v>9.7265450954437291</v>
      </c>
      <c r="K1717" t="s">
        <v>547</v>
      </c>
      <c r="L1717" t="s">
        <v>548</v>
      </c>
      <c r="M1717" t="s">
        <v>27</v>
      </c>
      <c r="N1717" t="s">
        <v>27</v>
      </c>
      <c r="O1717">
        <v>5.72</v>
      </c>
      <c r="P1717">
        <v>4.3523740768432599</v>
      </c>
      <c r="Q1717">
        <v>3.0598781108856201</v>
      </c>
      <c r="R1717">
        <v>2.3699998855590798</v>
      </c>
      <c r="S1717">
        <v>2.3399999141693102</v>
      </c>
      <c r="T1717">
        <v>12.154156684875501</v>
      </c>
      <c r="U1717">
        <v>28.3737888336182</v>
      </c>
      <c r="V1717">
        <v>-19005000</v>
      </c>
      <c r="W1717">
        <v>3.7137920856475799</v>
      </c>
      <c r="X1717">
        <v>-5.0000000745058101E-2</v>
      </c>
      <c r="Y1717">
        <v>8.4444437026977504</v>
      </c>
      <c r="Z1717">
        <v>6.6666669845581099</v>
      </c>
      <c r="AA1717">
        <v>32640000</v>
      </c>
      <c r="AB1717" t="s">
        <v>27</v>
      </c>
      <c r="AC1717" t="s">
        <v>27</v>
      </c>
      <c r="AD1717">
        <v>-7.0000000298023196E-2</v>
      </c>
      <c r="AE1717">
        <v>25.948732376098601</v>
      </c>
      <c r="AF1717">
        <v>8.2309247805580004</v>
      </c>
      <c r="AG1717">
        <v>32694000</v>
      </c>
      <c r="AH1717">
        <v>12.5081520080566</v>
      </c>
      <c r="AI1717">
        <v>4.2323198318481401</v>
      </c>
    </row>
    <row r="1718" spans="1:35">
      <c r="A1718">
        <f t="shared" si="231"/>
        <v>1</v>
      </c>
      <c r="B1718">
        <f t="shared" si="232"/>
        <v>0</v>
      </c>
      <c r="C1718">
        <f t="shared" si="233"/>
        <v>0</v>
      </c>
      <c r="D1718">
        <f t="shared" si="234"/>
        <v>0</v>
      </c>
      <c r="E1718">
        <f t="shared" si="235"/>
        <v>0</v>
      </c>
      <c r="F1718">
        <f t="shared" si="236"/>
        <v>1</v>
      </c>
      <c r="G1718">
        <f t="shared" si="237"/>
        <v>0</v>
      </c>
      <c r="H1718">
        <v>0</v>
      </c>
      <c r="I1718">
        <f t="shared" si="238"/>
        <v>0</v>
      </c>
      <c r="J1718">
        <f t="shared" si="230"/>
        <v>9.7027640342712402</v>
      </c>
      <c r="K1718" t="s">
        <v>3160</v>
      </c>
      <c r="L1718" t="s">
        <v>3161</v>
      </c>
      <c r="M1718" t="s">
        <v>27</v>
      </c>
      <c r="N1718" t="s">
        <v>27</v>
      </c>
      <c r="O1718">
        <v>29.9</v>
      </c>
      <c r="P1718" t="s">
        <v>27</v>
      </c>
      <c r="Q1718">
        <v>7.2807340621948198</v>
      </c>
      <c r="R1718">
        <v>33.099998474121101</v>
      </c>
      <c r="S1718">
        <v>25.5</v>
      </c>
      <c r="T1718">
        <v>41.309181213378899</v>
      </c>
      <c r="U1718" t="s">
        <v>27</v>
      </c>
      <c r="V1718">
        <v>-28965000</v>
      </c>
      <c r="W1718">
        <v>4.3927249908447301</v>
      </c>
      <c r="X1718">
        <v>0.270000010728836</v>
      </c>
      <c r="Y1718">
        <v>5.9833788871765101</v>
      </c>
      <c r="Z1718">
        <v>2.42202997207642</v>
      </c>
      <c r="AA1718">
        <v>29759000</v>
      </c>
      <c r="AB1718" t="s">
        <v>27</v>
      </c>
      <c r="AC1718" t="s">
        <v>27</v>
      </c>
      <c r="AD1718">
        <v>0.259999990463257</v>
      </c>
      <c r="AE1718" t="s">
        <v>27</v>
      </c>
      <c r="AF1718">
        <v>11.9393800730923</v>
      </c>
      <c r="AG1718">
        <v>32570000</v>
      </c>
      <c r="AH1718">
        <v>33.094516754150398</v>
      </c>
      <c r="AI1718">
        <v>2.7109239101409899</v>
      </c>
    </row>
    <row r="1719" spans="1:35">
      <c r="A1719">
        <f t="shared" si="231"/>
        <v>0</v>
      </c>
      <c r="B1719">
        <f t="shared" si="232"/>
        <v>0</v>
      </c>
      <c r="C1719">
        <f t="shared" si="233"/>
        <v>1</v>
      </c>
      <c r="D1719">
        <f t="shared" si="234"/>
        <v>1</v>
      </c>
      <c r="E1719">
        <f t="shared" si="235"/>
        <v>0</v>
      </c>
      <c r="F1719">
        <f t="shared" si="236"/>
        <v>1</v>
      </c>
      <c r="G1719">
        <f t="shared" si="237"/>
        <v>0</v>
      </c>
      <c r="H1719">
        <v>0</v>
      </c>
      <c r="I1719">
        <f t="shared" si="238"/>
        <v>0</v>
      </c>
      <c r="J1719">
        <f t="shared" si="230"/>
        <v>9.6517410278320312</v>
      </c>
      <c r="K1719" t="s">
        <v>891</v>
      </c>
      <c r="L1719" t="s">
        <v>892</v>
      </c>
      <c r="M1719" t="s">
        <v>27</v>
      </c>
      <c r="N1719" t="s">
        <v>27</v>
      </c>
      <c r="O1719">
        <v>23.35</v>
      </c>
      <c r="P1719" t="s">
        <v>27</v>
      </c>
      <c r="Q1719">
        <v>2.2900390625</v>
      </c>
      <c r="R1719">
        <v>24.590000152587901</v>
      </c>
      <c r="S1719">
        <v>21.940000534057599</v>
      </c>
      <c r="T1719">
        <v>29.8302917480469</v>
      </c>
      <c r="U1719" t="s">
        <v>27</v>
      </c>
      <c r="V1719">
        <v>11974999</v>
      </c>
      <c r="W1719">
        <v>0.82168602943420399</v>
      </c>
      <c r="X1719">
        <v>-0.87999999523162797</v>
      </c>
      <c r="Y1719">
        <v>1.6064260005950901</v>
      </c>
      <c r="Z1719">
        <v>7.3617019653320304</v>
      </c>
      <c r="AA1719">
        <v>53209000</v>
      </c>
      <c r="AB1719" t="s">
        <v>27</v>
      </c>
      <c r="AC1719" t="s">
        <v>27</v>
      </c>
      <c r="AD1719">
        <v>0.54000002145767201</v>
      </c>
      <c r="AE1719" t="s">
        <v>27</v>
      </c>
      <c r="AF1719" t="s">
        <v>27</v>
      </c>
      <c r="AG1719">
        <v>45975000</v>
      </c>
      <c r="AH1719">
        <v>42.314731597900398</v>
      </c>
      <c r="AI1719">
        <v>0.76788401603698697</v>
      </c>
    </row>
    <row r="1720" spans="1:35">
      <c r="A1720">
        <f t="shared" si="231"/>
        <v>1</v>
      </c>
      <c r="B1720">
        <f t="shared" si="232"/>
        <v>0</v>
      </c>
      <c r="C1720">
        <f t="shared" si="233"/>
        <v>1</v>
      </c>
      <c r="D1720">
        <f t="shared" si="234"/>
        <v>0</v>
      </c>
      <c r="E1720">
        <f t="shared" si="235"/>
        <v>0</v>
      </c>
      <c r="F1720">
        <f t="shared" si="236"/>
        <v>1</v>
      </c>
      <c r="G1720">
        <f t="shared" si="237"/>
        <v>0</v>
      </c>
      <c r="H1720">
        <v>0</v>
      </c>
      <c r="I1720">
        <f t="shared" si="238"/>
        <v>0</v>
      </c>
      <c r="J1720">
        <f t="shared" si="230"/>
        <v>9.6312401294708305</v>
      </c>
      <c r="K1720" t="s">
        <v>477</v>
      </c>
      <c r="L1720" t="s">
        <v>478</v>
      </c>
      <c r="M1720" t="s">
        <v>27</v>
      </c>
      <c r="N1720" t="s">
        <v>27</v>
      </c>
      <c r="O1720">
        <v>9.15</v>
      </c>
      <c r="P1720">
        <v>2.3440859317779501</v>
      </c>
      <c r="Q1720">
        <v>2.3045070171356201</v>
      </c>
      <c r="R1720">
        <v>11.2299995422363</v>
      </c>
      <c r="S1720">
        <v>5.46000003814697</v>
      </c>
      <c r="T1720">
        <v>43.2994194030762</v>
      </c>
      <c r="U1720" t="s">
        <v>27</v>
      </c>
      <c r="V1720">
        <v>99999.9609375</v>
      </c>
      <c r="W1720">
        <v>0.77668797969818104</v>
      </c>
      <c r="X1720">
        <v>0.140000000596046</v>
      </c>
      <c r="Y1720">
        <v>6.2089548110961896</v>
      </c>
      <c r="Z1720">
        <v>7.3267331123352104</v>
      </c>
      <c r="AA1720">
        <v>36574000</v>
      </c>
      <c r="AB1720" t="s">
        <v>34</v>
      </c>
      <c r="AC1720" t="s">
        <v>479</v>
      </c>
      <c r="AD1720">
        <v>0.119999997317791</v>
      </c>
      <c r="AE1720" t="s">
        <v>27</v>
      </c>
      <c r="AF1720" t="s">
        <v>27</v>
      </c>
      <c r="AG1720">
        <v>51078000</v>
      </c>
      <c r="AH1720">
        <v>40.753173828125</v>
      </c>
      <c r="AI1720">
        <v>0.56314098834991499</v>
      </c>
    </row>
    <row r="1721" spans="1:35">
      <c r="A1721">
        <f t="shared" si="231"/>
        <v>0</v>
      </c>
      <c r="B1721">
        <f t="shared" si="232"/>
        <v>0</v>
      </c>
      <c r="C1721">
        <f t="shared" si="233"/>
        <v>1</v>
      </c>
      <c r="D1721">
        <f t="shared" si="234"/>
        <v>1</v>
      </c>
      <c r="E1721">
        <f t="shared" si="235"/>
        <v>0</v>
      </c>
      <c r="F1721">
        <f t="shared" si="236"/>
        <v>1</v>
      </c>
      <c r="G1721">
        <f t="shared" si="237"/>
        <v>1</v>
      </c>
      <c r="H1721">
        <v>0</v>
      </c>
      <c r="I1721">
        <f t="shared" si="238"/>
        <v>0</v>
      </c>
      <c r="J1721">
        <f t="shared" si="230"/>
        <v>9.6011629104614293</v>
      </c>
      <c r="K1721" t="s">
        <v>50</v>
      </c>
      <c r="L1721" t="s">
        <v>51</v>
      </c>
      <c r="M1721" t="s">
        <v>27</v>
      </c>
      <c r="N1721" t="s">
        <v>27</v>
      </c>
      <c r="O1721">
        <v>15.01</v>
      </c>
      <c r="P1721">
        <v>5.9958829879760698</v>
      </c>
      <c r="Q1721">
        <v>4.68564796447754</v>
      </c>
      <c r="R1721">
        <v>16.690000534057599</v>
      </c>
      <c r="S1721">
        <v>11.625</v>
      </c>
      <c r="T1721">
        <v>15.8752279281616</v>
      </c>
      <c r="U1721">
        <v>13.850263595581101</v>
      </c>
      <c r="V1721">
        <v>22234000</v>
      </c>
      <c r="W1721">
        <v>6.4760298728942898</v>
      </c>
      <c r="X1721">
        <v>-2.9999999329447701E-2</v>
      </c>
      <c r="Y1721">
        <v>7.8756480216979998</v>
      </c>
      <c r="Z1721">
        <v>4.9155149459838903</v>
      </c>
      <c r="AA1721">
        <v>29170000</v>
      </c>
      <c r="AB1721" t="s">
        <v>52</v>
      </c>
      <c r="AC1721" t="s">
        <v>53</v>
      </c>
      <c r="AD1721">
        <v>0.18000000715255701</v>
      </c>
      <c r="AE1721">
        <v>14.9860572814941</v>
      </c>
      <c r="AF1721">
        <v>5.0794887132813802</v>
      </c>
      <c r="AG1721">
        <v>29213000</v>
      </c>
      <c r="AH1721">
        <v>17.334997177123999</v>
      </c>
      <c r="AI1721">
        <v>2.2043120861053498</v>
      </c>
    </row>
    <row r="1722" spans="1:35">
      <c r="A1722">
        <f t="shared" si="231"/>
        <v>1</v>
      </c>
      <c r="B1722">
        <f t="shared" si="232"/>
        <v>0</v>
      </c>
      <c r="C1722">
        <f t="shared" si="233"/>
        <v>1</v>
      </c>
      <c r="D1722">
        <f t="shared" si="234"/>
        <v>1</v>
      </c>
      <c r="E1722">
        <f t="shared" si="235"/>
        <v>0</v>
      </c>
      <c r="F1722">
        <f t="shared" si="236"/>
        <v>1</v>
      </c>
      <c r="G1722">
        <f t="shared" si="237"/>
        <v>0</v>
      </c>
      <c r="H1722">
        <v>0</v>
      </c>
      <c r="I1722">
        <f t="shared" si="238"/>
        <v>1</v>
      </c>
      <c r="J1722">
        <f t="shared" si="230"/>
        <v>9.5564389228820801</v>
      </c>
      <c r="K1722" t="s">
        <v>2208</v>
      </c>
      <c r="L1722" t="s">
        <v>2209</v>
      </c>
      <c r="M1722" t="s">
        <v>27</v>
      </c>
      <c r="N1722" t="s">
        <v>27</v>
      </c>
      <c r="O1722">
        <v>36.75</v>
      </c>
      <c r="P1722">
        <v>4.8822140693664604</v>
      </c>
      <c r="Q1722">
        <v>6.68808889389038</v>
      </c>
      <c r="R1722">
        <v>33.400001525878899</v>
      </c>
      <c r="S1722">
        <v>23</v>
      </c>
      <c r="T1722">
        <v>12.199912071228001</v>
      </c>
      <c r="U1722" t="s">
        <v>27</v>
      </c>
      <c r="V1722">
        <v>28110000</v>
      </c>
      <c r="W1722">
        <v>8.2708997726440394</v>
      </c>
      <c r="X1722">
        <v>0.239999994635582</v>
      </c>
      <c r="Y1722">
        <v>7.76699018478394</v>
      </c>
      <c r="Z1722">
        <v>2.8683500289917001</v>
      </c>
      <c r="AA1722">
        <v>15852000</v>
      </c>
      <c r="AB1722" t="s">
        <v>73</v>
      </c>
      <c r="AC1722" t="s">
        <v>210</v>
      </c>
      <c r="AD1722">
        <v>0.43000000715255698</v>
      </c>
      <c r="AE1722" t="s">
        <v>27</v>
      </c>
      <c r="AF1722">
        <v>7.88080743578828</v>
      </c>
      <c r="AG1722">
        <v>24452000</v>
      </c>
      <c r="AH1722">
        <v>2.79134202003479</v>
      </c>
      <c r="AI1722">
        <v>3.3314940929412802</v>
      </c>
    </row>
    <row r="1723" spans="1:35">
      <c r="A1723">
        <f t="shared" si="231"/>
        <v>0</v>
      </c>
      <c r="B1723">
        <f t="shared" si="232"/>
        <v>0</v>
      </c>
      <c r="C1723">
        <f t="shared" si="233"/>
        <v>1</v>
      </c>
      <c r="D1723">
        <f t="shared" si="234"/>
        <v>0</v>
      </c>
      <c r="E1723">
        <f t="shared" si="235"/>
        <v>0</v>
      </c>
      <c r="F1723">
        <f t="shared" si="236"/>
        <v>1</v>
      </c>
      <c r="G1723">
        <f t="shared" si="237"/>
        <v>0</v>
      </c>
      <c r="H1723">
        <v>0</v>
      </c>
      <c r="I1723">
        <f t="shared" si="238"/>
        <v>0</v>
      </c>
      <c r="J1723">
        <f t="shared" si="230"/>
        <v>9.5453977584838903</v>
      </c>
      <c r="K1723" t="s">
        <v>1189</v>
      </c>
      <c r="L1723" t="s">
        <v>1190</v>
      </c>
      <c r="M1723" t="s">
        <v>27</v>
      </c>
      <c r="N1723" t="s">
        <v>27</v>
      </c>
      <c r="O1723">
        <v>18.05</v>
      </c>
      <c r="P1723">
        <v>6.0064330101013201</v>
      </c>
      <c r="Q1723">
        <v>5.3118209838867196</v>
      </c>
      <c r="R1723">
        <v>20.799999237060501</v>
      </c>
      <c r="S1723">
        <v>20.0100002288818</v>
      </c>
      <c r="T1723">
        <v>47.136070251464801</v>
      </c>
      <c r="U1723">
        <v>59.604743957519503</v>
      </c>
      <c r="V1723">
        <v>9229000</v>
      </c>
      <c r="W1723">
        <v>3.20213103294373</v>
      </c>
      <c r="X1723">
        <v>0.81999999284744296</v>
      </c>
      <c r="Y1723">
        <v>5.2571430206298801</v>
      </c>
      <c r="Z1723">
        <v>4.2335767745971697</v>
      </c>
      <c r="AA1723">
        <v>17587876</v>
      </c>
      <c r="AB1723" t="s">
        <v>254</v>
      </c>
      <c r="AC1723" t="s">
        <v>848</v>
      </c>
      <c r="AD1723">
        <v>0.41999998688697798</v>
      </c>
      <c r="AE1723">
        <v>58.139366149902301</v>
      </c>
      <c r="AF1723">
        <v>8.3062116138894293</v>
      </c>
      <c r="AG1723">
        <v>17705000</v>
      </c>
      <c r="AH1723">
        <v>47.351211547851598</v>
      </c>
      <c r="AI1723">
        <v>3.0255920886993399</v>
      </c>
    </row>
    <row r="1724" spans="1:35">
      <c r="A1724">
        <f t="shared" si="231"/>
        <v>0</v>
      </c>
      <c r="B1724">
        <f t="shared" si="232"/>
        <v>1</v>
      </c>
      <c r="C1724">
        <f t="shared" si="233"/>
        <v>0</v>
      </c>
      <c r="D1724">
        <f t="shared" si="234"/>
        <v>1</v>
      </c>
      <c r="E1724">
        <f t="shared" si="235"/>
        <v>0</v>
      </c>
      <c r="F1724">
        <f t="shared" si="236"/>
        <v>1</v>
      </c>
      <c r="G1724">
        <f t="shared" si="237"/>
        <v>0</v>
      </c>
      <c r="H1724">
        <v>0</v>
      </c>
      <c r="I1724">
        <f t="shared" si="238"/>
        <v>0</v>
      </c>
      <c r="J1724">
        <f t="shared" si="230"/>
        <v>9.5186779499053991</v>
      </c>
      <c r="K1724" t="s">
        <v>1688</v>
      </c>
      <c r="L1724" t="s">
        <v>1689</v>
      </c>
      <c r="M1724" t="s">
        <v>27</v>
      </c>
      <c r="N1724" t="s">
        <v>27</v>
      </c>
      <c r="O1724">
        <v>24.3</v>
      </c>
      <c r="P1724">
        <v>4.54250288009644</v>
      </c>
      <c r="Q1724">
        <v>3.9214770793914799</v>
      </c>
      <c r="R1724">
        <v>24.25</v>
      </c>
      <c r="S1724">
        <v>14.375</v>
      </c>
      <c r="T1724">
        <v>16.8038330078125</v>
      </c>
      <c r="U1724" t="s">
        <v>27</v>
      </c>
      <c r="V1724">
        <v>-467000</v>
      </c>
      <c r="W1724">
        <v>0.93820500373840299</v>
      </c>
      <c r="X1724">
        <v>0.20000000298023199</v>
      </c>
      <c r="Y1724">
        <v>6.0478467941284197</v>
      </c>
      <c r="Z1724">
        <v>5.5972008705139196</v>
      </c>
      <c r="AA1724">
        <v>14091000</v>
      </c>
      <c r="AB1724" t="s">
        <v>27</v>
      </c>
      <c r="AC1724" t="s">
        <v>27</v>
      </c>
      <c r="AD1724">
        <v>0.34999999403953602</v>
      </c>
      <c r="AE1724" t="s">
        <v>27</v>
      </c>
      <c r="AF1724" t="s">
        <v>27</v>
      </c>
      <c r="AG1724">
        <v>14138000</v>
      </c>
      <c r="AH1724">
        <v>20.2945232391357</v>
      </c>
      <c r="AI1724">
        <v>0.98943400382995605</v>
      </c>
    </row>
    <row r="1725" spans="1:35">
      <c r="A1725">
        <f t="shared" si="231"/>
        <v>0</v>
      </c>
      <c r="B1725">
        <f t="shared" si="232"/>
        <v>0</v>
      </c>
      <c r="C1725">
        <f t="shared" si="233"/>
        <v>0</v>
      </c>
      <c r="D1725">
        <f t="shared" si="234"/>
        <v>1</v>
      </c>
      <c r="E1725">
        <f t="shared" si="235"/>
        <v>0</v>
      </c>
      <c r="F1725">
        <f t="shared" si="236"/>
        <v>1</v>
      </c>
      <c r="G1725">
        <f t="shared" si="237"/>
        <v>0</v>
      </c>
      <c r="H1725">
        <v>0</v>
      </c>
      <c r="I1725">
        <f t="shared" si="238"/>
        <v>0</v>
      </c>
      <c r="J1725">
        <f t="shared" si="230"/>
        <v>9.4863228797912598</v>
      </c>
      <c r="K1725" t="s">
        <v>1334</v>
      </c>
      <c r="L1725" t="s">
        <v>1335</v>
      </c>
      <c r="M1725" t="s">
        <v>27</v>
      </c>
      <c r="N1725" t="s">
        <v>27</v>
      </c>
      <c r="O1725">
        <v>11.72</v>
      </c>
      <c r="P1725">
        <v>6.1865258216857901</v>
      </c>
      <c r="Q1725">
        <v>4.2844600677490199</v>
      </c>
      <c r="R1725">
        <v>14.8999996185303</v>
      </c>
      <c r="S1725">
        <v>6.875</v>
      </c>
      <c r="T1725">
        <v>0</v>
      </c>
      <c r="U1725">
        <v>24.627708435058601</v>
      </c>
      <c r="V1725">
        <v>-46908000</v>
      </c>
      <c r="W1725">
        <v>5.4988107681274396</v>
      </c>
      <c r="X1725">
        <v>-0.10000000149011599</v>
      </c>
      <c r="Y1725">
        <v>7.7419347763061497</v>
      </c>
      <c r="Z1725">
        <v>5.2018628120422399</v>
      </c>
      <c r="AA1725">
        <v>24448000</v>
      </c>
      <c r="AB1725" t="s">
        <v>30</v>
      </c>
      <c r="AC1725" t="s">
        <v>68</v>
      </c>
      <c r="AD1725">
        <v>-7.9999998211860698E-2</v>
      </c>
      <c r="AE1725">
        <v>24.5800170898438</v>
      </c>
      <c r="AF1725">
        <v>5.3506182005812999</v>
      </c>
      <c r="AG1725">
        <v>24116000</v>
      </c>
      <c r="AH1725">
        <v>0</v>
      </c>
      <c r="AI1725">
        <v>1.25258600711823</v>
      </c>
    </row>
    <row r="1726" spans="1:35">
      <c r="A1726">
        <f t="shared" si="231"/>
        <v>0</v>
      </c>
      <c r="B1726">
        <f t="shared" si="232"/>
        <v>0</v>
      </c>
      <c r="C1726">
        <f t="shared" si="233"/>
        <v>1</v>
      </c>
      <c r="D1726">
        <f t="shared" si="234"/>
        <v>0</v>
      </c>
      <c r="E1726">
        <f t="shared" si="235"/>
        <v>0</v>
      </c>
      <c r="F1726">
        <f t="shared" si="236"/>
        <v>1</v>
      </c>
      <c r="G1726">
        <f t="shared" si="237"/>
        <v>0</v>
      </c>
      <c r="H1726">
        <v>0</v>
      </c>
      <c r="I1726">
        <f t="shared" si="238"/>
        <v>0</v>
      </c>
      <c r="J1726">
        <f t="shared" si="230"/>
        <v>9.4843072891235298</v>
      </c>
      <c r="K1726" t="s">
        <v>1984</v>
      </c>
      <c r="L1726" t="s">
        <v>1985</v>
      </c>
      <c r="M1726" t="s">
        <v>27</v>
      </c>
      <c r="N1726" t="s">
        <v>27</v>
      </c>
      <c r="O1726">
        <v>5.12</v>
      </c>
      <c r="P1726">
        <v>20.837894439697301</v>
      </c>
      <c r="Q1726">
        <v>2.2210130691528298</v>
      </c>
      <c r="R1726">
        <v>10.1099996566772</v>
      </c>
      <c r="S1726">
        <v>23.375</v>
      </c>
      <c r="T1726">
        <v>65.841934204101605</v>
      </c>
      <c r="U1726" t="s">
        <v>27</v>
      </c>
      <c r="V1726">
        <v>12124000</v>
      </c>
      <c r="W1726">
        <v>22.250421524047901</v>
      </c>
      <c r="X1726">
        <v>0.17000000178813901</v>
      </c>
      <c r="Y1726">
        <v>6.4166669845581099</v>
      </c>
      <c r="Z1726">
        <v>7.2632942199706996</v>
      </c>
      <c r="AA1726">
        <v>122957000</v>
      </c>
      <c r="AB1726" t="s">
        <v>27</v>
      </c>
      <c r="AC1726" t="s">
        <v>27</v>
      </c>
      <c r="AD1726">
        <v>-5.0000000745058101E-2</v>
      </c>
      <c r="AE1726" t="s">
        <v>27</v>
      </c>
      <c r="AF1726">
        <v>77.050227695441095</v>
      </c>
      <c r="AG1726">
        <v>124052000</v>
      </c>
      <c r="AH1726">
        <v>69.733116149902301</v>
      </c>
      <c r="AI1726">
        <v>12.79869556427</v>
      </c>
    </row>
    <row r="1727" spans="1:35">
      <c r="A1727">
        <f t="shared" si="231"/>
        <v>1</v>
      </c>
      <c r="B1727">
        <f t="shared" si="232"/>
        <v>0</v>
      </c>
      <c r="C1727">
        <f t="shared" si="233"/>
        <v>0</v>
      </c>
      <c r="D1727">
        <f t="shared" si="234"/>
        <v>1</v>
      </c>
      <c r="E1727">
        <f t="shared" si="235"/>
        <v>0</v>
      </c>
      <c r="F1727">
        <f t="shared" si="236"/>
        <v>1</v>
      </c>
      <c r="G1727">
        <f t="shared" si="237"/>
        <v>0</v>
      </c>
      <c r="H1727">
        <v>0</v>
      </c>
      <c r="I1727">
        <f t="shared" si="238"/>
        <v>1</v>
      </c>
      <c r="J1727">
        <f t="shared" si="230"/>
        <v>9.4810283184051496</v>
      </c>
      <c r="K1727" t="s">
        <v>2500</v>
      </c>
      <c r="L1727" t="s">
        <v>2501</v>
      </c>
      <c r="M1727" t="s">
        <v>27</v>
      </c>
      <c r="N1727" t="s">
        <v>27</v>
      </c>
      <c r="O1727">
        <v>22.46</v>
      </c>
      <c r="P1727">
        <v>2.7502350807189901</v>
      </c>
      <c r="Q1727">
        <v>2.7081201076507599</v>
      </c>
      <c r="R1727">
        <v>17.813332875569699</v>
      </c>
      <c r="S1727">
        <v>15.0416666666667</v>
      </c>
      <c r="T1727">
        <v>31.660953521728501</v>
      </c>
      <c r="U1727" t="s">
        <v>27</v>
      </c>
      <c r="V1727">
        <v>-11720000</v>
      </c>
      <c r="W1727">
        <v>1.03703200817108</v>
      </c>
      <c r="X1727">
        <v>0.253333330154419</v>
      </c>
      <c r="Y1727">
        <v>7.0361437797546396</v>
      </c>
      <c r="Z1727">
        <v>6.7729082107543901</v>
      </c>
      <c r="AA1727">
        <v>15343500</v>
      </c>
      <c r="AB1727" t="s">
        <v>34</v>
      </c>
      <c r="AC1727" t="s">
        <v>458</v>
      </c>
      <c r="AD1727">
        <v>0.33999999364217098</v>
      </c>
      <c r="AE1727" t="s">
        <v>27</v>
      </c>
      <c r="AF1727" t="s">
        <v>27</v>
      </c>
      <c r="AG1727">
        <v>13629000</v>
      </c>
      <c r="AH1727">
        <v>27.369184494018601</v>
      </c>
      <c r="AI1727">
        <v>1.0140119791030899</v>
      </c>
    </row>
    <row r="1728" spans="1:35">
      <c r="A1728">
        <f t="shared" si="231"/>
        <v>1</v>
      </c>
      <c r="B1728">
        <f t="shared" si="232"/>
        <v>0</v>
      </c>
      <c r="C1728">
        <f t="shared" si="233"/>
        <v>1</v>
      </c>
      <c r="D1728">
        <f t="shared" si="234"/>
        <v>1</v>
      </c>
      <c r="E1728">
        <f t="shared" si="235"/>
        <v>0</v>
      </c>
      <c r="F1728">
        <f t="shared" si="236"/>
        <v>1</v>
      </c>
      <c r="G1728">
        <f t="shared" si="237"/>
        <v>0</v>
      </c>
      <c r="H1728">
        <v>0</v>
      </c>
      <c r="I1728">
        <f t="shared" si="238"/>
        <v>0</v>
      </c>
      <c r="J1728">
        <f t="shared" si="230"/>
        <v>9.4622765779495204</v>
      </c>
      <c r="K1728" t="s">
        <v>3150</v>
      </c>
      <c r="L1728" t="s">
        <v>3151</v>
      </c>
      <c r="M1728" t="s">
        <v>27</v>
      </c>
      <c r="N1728" t="s">
        <v>27</v>
      </c>
      <c r="O1728">
        <v>8.09</v>
      </c>
      <c r="P1728" t="s">
        <v>27</v>
      </c>
      <c r="Q1728">
        <v>8.1688976287841797</v>
      </c>
      <c r="R1728">
        <v>28.9799995422363</v>
      </c>
      <c r="S1728">
        <v>15.9583333333333</v>
      </c>
      <c r="T1728">
        <v>0.93958401679992698</v>
      </c>
      <c r="U1728">
        <v>85.445861816406307</v>
      </c>
      <c r="V1728">
        <v>7872000</v>
      </c>
      <c r="W1728">
        <v>11.005754470825201</v>
      </c>
      <c r="X1728">
        <v>5.0000001986821502E-2</v>
      </c>
      <c r="Y1728" t="s">
        <v>27</v>
      </c>
      <c r="Z1728">
        <v>1.29337894916534</v>
      </c>
      <c r="AA1728">
        <v>19378710</v>
      </c>
      <c r="AB1728" t="s">
        <v>27</v>
      </c>
      <c r="AC1728" t="s">
        <v>27</v>
      </c>
      <c r="AD1728">
        <v>0.119999997317791</v>
      </c>
      <c r="AE1728">
        <v>84.710968017578097</v>
      </c>
      <c r="AF1728">
        <v>10.9908283873086</v>
      </c>
      <c r="AG1728">
        <v>27046000</v>
      </c>
      <c r="AH1728">
        <v>0</v>
      </c>
      <c r="AI1728">
        <v>8.1979007720947301</v>
      </c>
    </row>
    <row r="1729" spans="1:35">
      <c r="A1729">
        <f t="shared" si="231"/>
        <v>1</v>
      </c>
      <c r="B1729">
        <f t="shared" si="232"/>
        <v>0</v>
      </c>
      <c r="C1729">
        <f t="shared" si="233"/>
        <v>1</v>
      </c>
      <c r="D1729">
        <f t="shared" si="234"/>
        <v>1</v>
      </c>
      <c r="E1729">
        <f t="shared" si="235"/>
        <v>0</v>
      </c>
      <c r="F1729">
        <f t="shared" si="236"/>
        <v>1</v>
      </c>
      <c r="G1729">
        <f t="shared" si="237"/>
        <v>0</v>
      </c>
      <c r="H1729">
        <v>0</v>
      </c>
      <c r="I1729">
        <f t="shared" si="238"/>
        <v>1</v>
      </c>
      <c r="J1729">
        <f t="shared" si="230"/>
        <v>9.3883810043334996</v>
      </c>
      <c r="K1729" t="s">
        <v>2042</v>
      </c>
      <c r="L1729" t="s">
        <v>2043</v>
      </c>
      <c r="M1729" t="s">
        <v>27</v>
      </c>
      <c r="N1729" t="s">
        <v>27</v>
      </c>
      <c r="O1729">
        <v>12.81</v>
      </c>
      <c r="P1729">
        <v>7.2905111312866202</v>
      </c>
      <c r="Q1729">
        <v>3.1518220901489298</v>
      </c>
      <c r="R1729">
        <v>10.199999809265099</v>
      </c>
      <c r="S1729">
        <v>10.3900003433228</v>
      </c>
      <c r="T1729">
        <v>35.514743804931598</v>
      </c>
      <c r="U1729">
        <v>31.548078536987301</v>
      </c>
      <c r="V1729">
        <v>62489000</v>
      </c>
      <c r="W1729">
        <v>5.1603360176086399</v>
      </c>
      <c r="X1729">
        <v>0.21999999880790699</v>
      </c>
      <c r="Y1729">
        <v>13.1199998855591</v>
      </c>
      <c r="Z1729">
        <v>6.2365589141845703</v>
      </c>
      <c r="AA1729">
        <v>57245000</v>
      </c>
      <c r="AB1729" t="s">
        <v>61</v>
      </c>
      <c r="AC1729" t="s">
        <v>62</v>
      </c>
      <c r="AD1729">
        <v>0.270000010728836</v>
      </c>
      <c r="AE1729">
        <v>30.227619171142599</v>
      </c>
      <c r="AF1729">
        <v>6.7767249876298896</v>
      </c>
      <c r="AG1729">
        <v>57837200</v>
      </c>
      <c r="AH1729">
        <v>29.367113113403299</v>
      </c>
      <c r="AI1729">
        <v>3.1592769622802699</v>
      </c>
    </row>
    <row r="1730" spans="1:35">
      <c r="A1730">
        <f t="shared" si="231"/>
        <v>0</v>
      </c>
      <c r="B1730">
        <f t="shared" si="232"/>
        <v>0</v>
      </c>
      <c r="C1730">
        <f t="shared" si="233"/>
        <v>0</v>
      </c>
      <c r="D1730">
        <f t="shared" si="234"/>
        <v>1</v>
      </c>
      <c r="E1730">
        <f t="shared" si="235"/>
        <v>0</v>
      </c>
      <c r="F1730">
        <f t="shared" si="236"/>
        <v>1</v>
      </c>
      <c r="G1730">
        <f t="shared" si="237"/>
        <v>1</v>
      </c>
      <c r="H1730">
        <v>0</v>
      </c>
      <c r="I1730">
        <f t="shared" si="238"/>
        <v>0</v>
      </c>
      <c r="J1730">
        <f t="shared" si="230"/>
        <v>9.3819642066955495</v>
      </c>
      <c r="K1730" t="s">
        <v>1170</v>
      </c>
      <c r="L1730" t="s">
        <v>1171</v>
      </c>
      <c r="M1730" t="s">
        <v>27</v>
      </c>
      <c r="N1730" t="s">
        <v>27</v>
      </c>
      <c r="O1730">
        <v>13.8</v>
      </c>
      <c r="P1730">
        <v>18.142471313476602</v>
      </c>
      <c r="Q1730">
        <v>7.6535692214965803</v>
      </c>
      <c r="R1730">
        <v>37.599998474121101</v>
      </c>
      <c r="S1730">
        <v>20</v>
      </c>
      <c r="T1730">
        <v>0</v>
      </c>
      <c r="U1730">
        <v>23.205959320068398</v>
      </c>
      <c r="V1730">
        <v>-25494000</v>
      </c>
      <c r="W1730">
        <v>10.2019605636597</v>
      </c>
      <c r="X1730">
        <v>5.9999998658895499E-2</v>
      </c>
      <c r="Y1730">
        <v>4.46408891677856</v>
      </c>
      <c r="Z1730">
        <v>1.7283949851989699</v>
      </c>
      <c r="AA1730">
        <v>22291000</v>
      </c>
      <c r="AB1730" t="s">
        <v>27</v>
      </c>
      <c r="AC1730" t="s">
        <v>27</v>
      </c>
      <c r="AD1730">
        <v>0.119999997317791</v>
      </c>
      <c r="AE1730">
        <v>25.664213180541999</v>
      </c>
      <c r="AF1730">
        <v>4.2535660859602196</v>
      </c>
      <c r="AG1730">
        <v>25402370</v>
      </c>
      <c r="AH1730">
        <v>0</v>
      </c>
      <c r="AI1730">
        <v>5.4798507690429696</v>
      </c>
    </row>
    <row r="1731" spans="1:35">
      <c r="A1731">
        <f t="shared" si="231"/>
        <v>1</v>
      </c>
      <c r="B1731">
        <f t="shared" si="232"/>
        <v>0</v>
      </c>
      <c r="C1731">
        <f t="shared" si="233"/>
        <v>1</v>
      </c>
      <c r="D1731">
        <f t="shared" si="234"/>
        <v>0</v>
      </c>
      <c r="E1731">
        <f t="shared" si="235"/>
        <v>0</v>
      </c>
      <c r="F1731">
        <f t="shared" si="236"/>
        <v>1</v>
      </c>
      <c r="G1731">
        <f t="shared" si="237"/>
        <v>0</v>
      </c>
      <c r="H1731">
        <v>0</v>
      </c>
      <c r="I1731">
        <f t="shared" si="238"/>
        <v>0</v>
      </c>
      <c r="J1731">
        <f t="shared" si="230"/>
        <v>9.29673528671265</v>
      </c>
      <c r="K1731" t="s">
        <v>551</v>
      </c>
      <c r="L1731" t="s">
        <v>552</v>
      </c>
      <c r="M1731" t="s">
        <v>27</v>
      </c>
      <c r="N1731" t="s">
        <v>27</v>
      </c>
      <c r="O1731">
        <v>10.4</v>
      </c>
      <c r="P1731">
        <v>-3.7017159461975102</v>
      </c>
      <c r="Q1731">
        <v>5.09920406341553</v>
      </c>
      <c r="R1731">
        <v>17</v>
      </c>
      <c r="S1731">
        <v>9.625</v>
      </c>
      <c r="T1731">
        <v>6.0768809318542498</v>
      </c>
      <c r="U1731">
        <v>84.345100402832003</v>
      </c>
      <c r="V1731">
        <v>14599000</v>
      </c>
      <c r="W1731">
        <v>8.0041780471801793</v>
      </c>
      <c r="X1731">
        <v>0.18000000715255701</v>
      </c>
      <c r="Y1731">
        <v>2.4327480792999299</v>
      </c>
      <c r="Z1731">
        <v>4.19753122329712</v>
      </c>
      <c r="AA1731">
        <v>61521000</v>
      </c>
      <c r="AB1731" t="s">
        <v>27</v>
      </c>
      <c r="AC1731" t="s">
        <v>27</v>
      </c>
      <c r="AD1731">
        <v>7.0000000298023196E-2</v>
      </c>
      <c r="AE1731">
        <v>83.628005981445298</v>
      </c>
      <c r="AF1731">
        <v>20.361250938358499</v>
      </c>
      <c r="AG1731">
        <v>65403000</v>
      </c>
      <c r="AH1731">
        <v>0</v>
      </c>
      <c r="AI1731">
        <v>6.33901119232178</v>
      </c>
    </row>
    <row r="1732" spans="1:35">
      <c r="A1732">
        <f t="shared" si="231"/>
        <v>1</v>
      </c>
      <c r="B1732">
        <f t="shared" si="232"/>
        <v>0</v>
      </c>
      <c r="C1732">
        <f t="shared" si="233"/>
        <v>1</v>
      </c>
      <c r="D1732">
        <f t="shared" si="234"/>
        <v>1</v>
      </c>
      <c r="E1732">
        <f t="shared" si="235"/>
        <v>0</v>
      </c>
      <c r="F1732">
        <f t="shared" si="236"/>
        <v>1</v>
      </c>
      <c r="G1732">
        <f t="shared" si="237"/>
        <v>0</v>
      </c>
      <c r="H1732">
        <v>0</v>
      </c>
      <c r="I1732">
        <f t="shared" si="238"/>
        <v>0</v>
      </c>
      <c r="J1732">
        <f t="shared" si="230"/>
        <v>9.2757680416107195</v>
      </c>
      <c r="K1732" t="s">
        <v>1380</v>
      </c>
      <c r="L1732" t="s">
        <v>1381</v>
      </c>
      <c r="M1732" t="s">
        <v>27</v>
      </c>
      <c r="N1732" t="s">
        <v>27</v>
      </c>
      <c r="O1732">
        <v>21.2</v>
      </c>
      <c r="P1732">
        <v>2.0367290973663299</v>
      </c>
      <c r="Q1732">
        <v>2.1733710765838601</v>
      </c>
      <c r="R1732">
        <v>26.430000305175799</v>
      </c>
      <c r="S1732">
        <v>22.233332316080698</v>
      </c>
      <c r="T1732">
        <v>27.122562408447301</v>
      </c>
      <c r="U1732" t="s">
        <v>27</v>
      </c>
      <c r="V1732">
        <v>13192000</v>
      </c>
      <c r="W1732">
        <v>0.67822098731994596</v>
      </c>
      <c r="X1732">
        <v>0.41333333651224802</v>
      </c>
      <c r="Y1732">
        <v>7.9336099624633798</v>
      </c>
      <c r="Z1732">
        <v>7.1023969650268599</v>
      </c>
      <c r="AA1732">
        <v>13548000</v>
      </c>
      <c r="AB1732" t="s">
        <v>27</v>
      </c>
      <c r="AC1732" t="s">
        <v>27</v>
      </c>
      <c r="AD1732">
        <v>0.479999989271164</v>
      </c>
      <c r="AE1732" t="s">
        <v>27</v>
      </c>
      <c r="AF1732" t="s">
        <v>27</v>
      </c>
      <c r="AG1732">
        <v>13637000</v>
      </c>
      <c r="AH1732">
        <v>23.5649528503418</v>
      </c>
      <c r="AI1732">
        <v>0.62410998344421398</v>
      </c>
    </row>
    <row r="1733" spans="1:35">
      <c r="A1733">
        <f t="shared" si="231"/>
        <v>0</v>
      </c>
      <c r="B1733">
        <f t="shared" si="232"/>
        <v>0</v>
      </c>
      <c r="C1733">
        <f t="shared" si="233"/>
        <v>0</v>
      </c>
      <c r="D1733">
        <f t="shared" si="234"/>
        <v>0</v>
      </c>
      <c r="E1733">
        <f t="shared" si="235"/>
        <v>0</v>
      </c>
      <c r="F1733">
        <f t="shared" si="236"/>
        <v>1</v>
      </c>
      <c r="G1733">
        <f t="shared" si="237"/>
        <v>0</v>
      </c>
      <c r="H1733">
        <v>0</v>
      </c>
      <c r="I1733">
        <f t="shared" si="238"/>
        <v>0</v>
      </c>
      <c r="J1733">
        <f t="shared" si="230"/>
        <v>9.2243928909301793</v>
      </c>
      <c r="K1733" t="s">
        <v>1024</v>
      </c>
      <c r="L1733" t="s">
        <v>1025</v>
      </c>
      <c r="M1733" t="s">
        <v>27</v>
      </c>
      <c r="N1733" t="s">
        <v>27</v>
      </c>
      <c r="O1733">
        <v>12.16</v>
      </c>
      <c r="P1733">
        <v>8.0678977966308594</v>
      </c>
      <c r="Q1733">
        <v>3.8761339187622101</v>
      </c>
      <c r="R1733">
        <v>13.1300001144409</v>
      </c>
      <c r="S1733">
        <v>9.6875</v>
      </c>
      <c r="T1733">
        <v>42.655185699462898</v>
      </c>
      <c r="U1733">
        <v>43.7043266296387</v>
      </c>
      <c r="V1733">
        <v>-839000</v>
      </c>
      <c r="W1733">
        <v>6.1192831993103001</v>
      </c>
      <c r="X1733">
        <v>0.37000000476837203</v>
      </c>
      <c r="Y1733">
        <v>11.8343200683594</v>
      </c>
      <c r="Z1733">
        <v>5.3482589721679696</v>
      </c>
      <c r="AA1733">
        <v>12203000</v>
      </c>
      <c r="AB1733" t="s">
        <v>27</v>
      </c>
      <c r="AC1733" t="s">
        <v>27</v>
      </c>
      <c r="AD1733">
        <v>-0.38999998569488498</v>
      </c>
      <c r="AE1733">
        <v>36.163970947265597</v>
      </c>
      <c r="AF1733">
        <v>6.0941366953280198</v>
      </c>
      <c r="AG1733">
        <v>13512000</v>
      </c>
      <c r="AH1733">
        <v>46.925453186035199</v>
      </c>
      <c r="AI1733">
        <v>4.6002240180969203</v>
      </c>
    </row>
    <row r="1734" spans="1:35">
      <c r="A1734">
        <f t="shared" si="231"/>
        <v>1</v>
      </c>
      <c r="B1734">
        <f t="shared" si="232"/>
        <v>0</v>
      </c>
      <c r="C1734">
        <f t="shared" si="233"/>
        <v>1</v>
      </c>
      <c r="D1734">
        <f t="shared" si="234"/>
        <v>1</v>
      </c>
      <c r="E1734">
        <f t="shared" si="235"/>
        <v>0</v>
      </c>
      <c r="F1734">
        <f t="shared" si="236"/>
        <v>1</v>
      </c>
      <c r="G1734">
        <f t="shared" si="237"/>
        <v>1</v>
      </c>
      <c r="H1734">
        <v>0</v>
      </c>
      <c r="I1734">
        <f t="shared" si="238"/>
        <v>0</v>
      </c>
      <c r="J1734">
        <f t="shared" si="230"/>
        <v>9.2072119712829501</v>
      </c>
      <c r="K1734" t="s">
        <v>149</v>
      </c>
      <c r="L1734" t="s">
        <v>150</v>
      </c>
      <c r="M1734" t="s">
        <v>27</v>
      </c>
      <c r="N1734" t="s">
        <v>27</v>
      </c>
      <c r="O1734">
        <v>17.25</v>
      </c>
      <c r="P1734">
        <v>3.68004298210144</v>
      </c>
      <c r="Q1734">
        <v>4.8364510536193803</v>
      </c>
      <c r="R1734">
        <v>17.399999618530298</v>
      </c>
      <c r="S1734">
        <v>7.75</v>
      </c>
      <c r="T1734">
        <v>50.119899749755902</v>
      </c>
      <c r="U1734">
        <v>42.599433898925803</v>
      </c>
      <c r="V1734">
        <v>25054000</v>
      </c>
      <c r="W1734">
        <v>2.2271780967712398</v>
      </c>
      <c r="X1734">
        <v>0.15999999642372101</v>
      </c>
      <c r="Y1734">
        <v>3.5229361057281499</v>
      </c>
      <c r="Z1734">
        <v>4.3707609176635698</v>
      </c>
      <c r="AA1734">
        <v>66635000</v>
      </c>
      <c r="AB1734" t="s">
        <v>52</v>
      </c>
      <c r="AC1734" t="s">
        <v>53</v>
      </c>
      <c r="AD1734">
        <v>0.20999999344348899</v>
      </c>
      <c r="AE1734">
        <v>45.165565490722699</v>
      </c>
      <c r="AF1734">
        <v>7.7733347213006603</v>
      </c>
      <c r="AG1734">
        <v>69233000</v>
      </c>
      <c r="AH1734">
        <v>41.556411743164098</v>
      </c>
      <c r="AI1734">
        <v>1.69986295700073</v>
      </c>
    </row>
    <row r="1735" spans="1:35">
      <c r="A1735">
        <f t="shared" si="231"/>
        <v>0</v>
      </c>
      <c r="B1735">
        <f t="shared" si="232"/>
        <v>0</v>
      </c>
      <c r="C1735">
        <f t="shared" si="233"/>
        <v>0</v>
      </c>
      <c r="D1735">
        <f t="shared" si="234"/>
        <v>1</v>
      </c>
      <c r="E1735">
        <f t="shared" si="235"/>
        <v>0</v>
      </c>
      <c r="F1735">
        <f t="shared" si="236"/>
        <v>1</v>
      </c>
      <c r="G1735">
        <f t="shared" si="237"/>
        <v>0</v>
      </c>
      <c r="H1735">
        <v>0</v>
      </c>
      <c r="I1735">
        <f t="shared" si="238"/>
        <v>0</v>
      </c>
      <c r="J1735">
        <f t="shared" si="230"/>
        <v>9.1840267181396502</v>
      </c>
      <c r="K1735" t="s">
        <v>1227</v>
      </c>
      <c r="L1735" t="s">
        <v>1228</v>
      </c>
      <c r="M1735" t="s">
        <v>27</v>
      </c>
      <c r="N1735" t="s">
        <v>27</v>
      </c>
      <c r="O1735">
        <v>9.1509999999999998</v>
      </c>
      <c r="P1735" t="s">
        <v>27</v>
      </c>
      <c r="Q1735">
        <v>5.8711438179016104</v>
      </c>
      <c r="R1735">
        <v>14.7799997329712</v>
      </c>
      <c r="S1735">
        <v>17.75</v>
      </c>
      <c r="T1735">
        <v>58.172695159912102</v>
      </c>
      <c r="U1735" t="s">
        <v>27</v>
      </c>
      <c r="V1735">
        <v>-3327999</v>
      </c>
      <c r="W1735" t="s">
        <v>27</v>
      </c>
      <c r="X1735">
        <v>0.15000000596046401</v>
      </c>
      <c r="Y1735">
        <v>2.6966290473938002</v>
      </c>
      <c r="Z1735">
        <v>3.3128829002380402</v>
      </c>
      <c r="AA1735">
        <v>13866000</v>
      </c>
      <c r="AB1735" t="s">
        <v>171</v>
      </c>
      <c r="AC1735" t="s">
        <v>172</v>
      </c>
      <c r="AD1735">
        <v>0.20000000298023199</v>
      </c>
      <c r="AE1735" t="s">
        <v>27</v>
      </c>
      <c r="AF1735">
        <v>8.0297899038992604</v>
      </c>
      <c r="AG1735">
        <v>13929000</v>
      </c>
      <c r="AH1735">
        <v>61.229850769042997</v>
      </c>
      <c r="AI1735" t="s">
        <v>27</v>
      </c>
    </row>
    <row r="1736" spans="1:35">
      <c r="A1736">
        <f t="shared" si="231"/>
        <v>0</v>
      </c>
      <c r="B1736">
        <f t="shared" si="232"/>
        <v>1</v>
      </c>
      <c r="C1736">
        <f t="shared" si="233"/>
        <v>1</v>
      </c>
      <c r="D1736">
        <f t="shared" si="234"/>
        <v>1</v>
      </c>
      <c r="E1736">
        <f t="shared" si="235"/>
        <v>0</v>
      </c>
      <c r="F1736">
        <f t="shared" si="236"/>
        <v>1</v>
      </c>
      <c r="G1736">
        <f t="shared" si="237"/>
        <v>0</v>
      </c>
      <c r="H1736">
        <v>0</v>
      </c>
      <c r="I1736">
        <f t="shared" si="238"/>
        <v>1</v>
      </c>
      <c r="J1736">
        <f t="shared" si="230"/>
        <v>9.1800057888031006</v>
      </c>
      <c r="K1736" t="s">
        <v>238</v>
      </c>
      <c r="L1736" t="s">
        <v>239</v>
      </c>
      <c r="M1736" t="s">
        <v>27</v>
      </c>
      <c r="N1736" t="s">
        <v>27</v>
      </c>
      <c r="O1736">
        <v>30.14</v>
      </c>
      <c r="P1736">
        <v>3.9364600181579599</v>
      </c>
      <c r="Q1736">
        <v>3.9254229068756099</v>
      </c>
      <c r="R1736">
        <v>25.799999237060501</v>
      </c>
      <c r="S1736">
        <v>19.9375</v>
      </c>
      <c r="T1736">
        <v>10.817650794982899</v>
      </c>
      <c r="U1736" t="s">
        <v>27</v>
      </c>
      <c r="V1736">
        <v>2414000</v>
      </c>
      <c r="W1736">
        <v>0.16009899973869299</v>
      </c>
      <c r="X1736">
        <v>0.30000001192092901</v>
      </c>
      <c r="Y1736" t="s">
        <v>27</v>
      </c>
      <c r="Z1736">
        <v>5.2545828819274902</v>
      </c>
      <c r="AA1736">
        <v>24099000</v>
      </c>
      <c r="AB1736" t="s">
        <v>27</v>
      </c>
      <c r="AC1736" t="s">
        <v>27</v>
      </c>
      <c r="AD1736">
        <v>0.37000000476837203</v>
      </c>
      <c r="AE1736" t="s">
        <v>27</v>
      </c>
      <c r="AF1736" t="s">
        <v>27</v>
      </c>
      <c r="AG1736">
        <v>19103000</v>
      </c>
      <c r="AH1736">
        <v>18.217117309570298</v>
      </c>
      <c r="AI1736">
        <v>1.6558099985122701</v>
      </c>
    </row>
    <row r="1737" spans="1:35">
      <c r="A1737">
        <f t="shared" si="231"/>
        <v>0</v>
      </c>
      <c r="B1737">
        <f t="shared" si="232"/>
        <v>1</v>
      </c>
      <c r="C1737">
        <f t="shared" si="233"/>
        <v>0</v>
      </c>
      <c r="D1737">
        <f t="shared" si="234"/>
        <v>1</v>
      </c>
      <c r="E1737">
        <f t="shared" si="235"/>
        <v>0</v>
      </c>
      <c r="F1737">
        <f t="shared" si="236"/>
        <v>1</v>
      </c>
      <c r="G1737">
        <f t="shared" si="237"/>
        <v>1</v>
      </c>
      <c r="H1737">
        <v>0</v>
      </c>
      <c r="I1737">
        <f t="shared" si="238"/>
        <v>0</v>
      </c>
      <c r="J1737">
        <f t="shared" si="230"/>
        <v>9.1504060029983503</v>
      </c>
      <c r="K1737" t="s">
        <v>996</v>
      </c>
      <c r="L1737" t="s">
        <v>997</v>
      </c>
      <c r="M1737" t="s">
        <v>27</v>
      </c>
      <c r="N1737" t="s">
        <v>27</v>
      </c>
      <c r="O1737">
        <v>4.8499999999999996</v>
      </c>
      <c r="P1737">
        <v>6.5089359283447301</v>
      </c>
      <c r="Q1737">
        <v>7.8209719657897896</v>
      </c>
      <c r="R1737">
        <v>27.889999389648398</v>
      </c>
      <c r="S1737">
        <v>26.549999237060501</v>
      </c>
      <c r="T1737">
        <v>9.9183635711669904</v>
      </c>
      <c r="U1737">
        <v>57.5496826171875</v>
      </c>
      <c r="V1737">
        <v>-272000</v>
      </c>
      <c r="W1737">
        <v>4.6264591217040998</v>
      </c>
      <c r="X1737">
        <v>0.126666665077209</v>
      </c>
      <c r="Y1737">
        <v>1.61441397666931</v>
      </c>
      <c r="Z1737">
        <v>1.32943403720856</v>
      </c>
      <c r="AA1737">
        <v>18667500</v>
      </c>
      <c r="AB1737" t="s">
        <v>73</v>
      </c>
      <c r="AC1737" t="s">
        <v>74</v>
      </c>
      <c r="AD1737">
        <v>0.140000000596046</v>
      </c>
      <c r="AE1737">
        <v>58.417156219482401</v>
      </c>
      <c r="AF1737" t="s">
        <v>27</v>
      </c>
      <c r="AG1737">
        <v>18865000</v>
      </c>
      <c r="AH1737">
        <v>10.930998802185099</v>
      </c>
      <c r="AI1737">
        <v>7.5880680084228498</v>
      </c>
    </row>
    <row r="1738" spans="1:35">
      <c r="A1738">
        <f t="shared" si="231"/>
        <v>1</v>
      </c>
      <c r="B1738">
        <f t="shared" si="232"/>
        <v>0</v>
      </c>
      <c r="C1738">
        <f t="shared" si="233"/>
        <v>0</v>
      </c>
      <c r="D1738">
        <f t="shared" si="234"/>
        <v>1</v>
      </c>
      <c r="E1738">
        <f t="shared" si="235"/>
        <v>0</v>
      </c>
      <c r="F1738">
        <f t="shared" si="236"/>
        <v>1</v>
      </c>
      <c r="G1738">
        <f t="shared" si="237"/>
        <v>1</v>
      </c>
      <c r="H1738">
        <v>0</v>
      </c>
      <c r="I1738">
        <f t="shared" si="238"/>
        <v>0</v>
      </c>
      <c r="J1738">
        <f t="shared" si="230"/>
        <v>9.0941178798675608</v>
      </c>
      <c r="K1738" t="s">
        <v>2526</v>
      </c>
      <c r="L1738" t="s">
        <v>2527</v>
      </c>
      <c r="M1738" t="s">
        <v>27</v>
      </c>
      <c r="N1738" t="s">
        <v>27</v>
      </c>
      <c r="O1738">
        <v>14.6</v>
      </c>
      <c r="P1738">
        <v>2.76167893409729</v>
      </c>
      <c r="Q1738">
        <v>3.42745089530945</v>
      </c>
      <c r="R1738">
        <v>24.100000381469702</v>
      </c>
      <c r="S1738">
        <v>15.449999809265099</v>
      </c>
      <c r="T1738">
        <v>36.338665008544901</v>
      </c>
      <c r="U1738">
        <v>51.828117370605497</v>
      </c>
      <c r="V1738">
        <v>-1698999.375</v>
      </c>
      <c r="W1738">
        <v>5.3642988204956099</v>
      </c>
      <c r="X1738">
        <v>0.21999999880790699</v>
      </c>
      <c r="Y1738">
        <v>8.4315347671508807</v>
      </c>
      <c r="Z1738">
        <v>5.6666669845581099</v>
      </c>
      <c r="AA1738">
        <v>50390000</v>
      </c>
      <c r="AB1738" t="s">
        <v>27</v>
      </c>
      <c r="AC1738" t="s">
        <v>27</v>
      </c>
      <c r="AD1738">
        <v>0.41999998688697798</v>
      </c>
      <c r="AE1738">
        <v>52.285274505615199</v>
      </c>
      <c r="AF1738">
        <v>4.7768799148042902</v>
      </c>
      <c r="AG1738">
        <v>50610000</v>
      </c>
      <c r="AH1738">
        <v>32.079349517822301</v>
      </c>
      <c r="AI1738">
        <v>3.7323451042175302</v>
      </c>
    </row>
    <row r="1739" spans="1:35">
      <c r="A1739">
        <f t="shared" si="231"/>
        <v>0</v>
      </c>
      <c r="B1739">
        <f t="shared" si="232"/>
        <v>0</v>
      </c>
      <c r="C1739">
        <f t="shared" si="233"/>
        <v>0</v>
      </c>
      <c r="D1739">
        <f t="shared" si="234"/>
        <v>1</v>
      </c>
      <c r="E1739">
        <f t="shared" si="235"/>
        <v>0</v>
      </c>
      <c r="F1739">
        <f t="shared" si="236"/>
        <v>1</v>
      </c>
      <c r="G1739">
        <f t="shared" si="237"/>
        <v>0</v>
      </c>
      <c r="H1739">
        <v>0</v>
      </c>
      <c r="I1739">
        <f t="shared" si="238"/>
        <v>0</v>
      </c>
      <c r="J1739">
        <f t="shared" si="230"/>
        <v>9.0808501243591309</v>
      </c>
      <c r="K1739" t="s">
        <v>2274</v>
      </c>
      <c r="L1739" t="s">
        <v>2275</v>
      </c>
      <c r="M1739" t="s">
        <v>27</v>
      </c>
      <c r="N1739" t="s">
        <v>27</v>
      </c>
      <c r="O1739">
        <v>21.98</v>
      </c>
      <c r="P1739">
        <v>4.7850399017334002</v>
      </c>
      <c r="Q1739">
        <v>5.2929711341857901</v>
      </c>
      <c r="R1739">
        <v>23.5</v>
      </c>
      <c r="S1739">
        <v>21.875</v>
      </c>
      <c r="T1739">
        <v>40.230426788330099</v>
      </c>
      <c r="U1739" t="s">
        <v>27</v>
      </c>
      <c r="V1739">
        <v>-2435000.25</v>
      </c>
      <c r="W1739">
        <v>3.76552510261536</v>
      </c>
      <c r="X1739">
        <v>0.19333332777023299</v>
      </c>
      <c r="Y1739">
        <v>3.1111109256744398</v>
      </c>
      <c r="Z1739">
        <v>3.7878789901733398</v>
      </c>
      <c r="AA1739">
        <v>7544329.5</v>
      </c>
      <c r="AB1739" t="s">
        <v>254</v>
      </c>
      <c r="AC1739" t="s">
        <v>255</v>
      </c>
      <c r="AD1739">
        <v>0.30666667222976701</v>
      </c>
      <c r="AE1739" t="s">
        <v>27</v>
      </c>
      <c r="AF1739">
        <v>12.4269546332935</v>
      </c>
      <c r="AG1739">
        <v>7606500</v>
      </c>
      <c r="AH1739">
        <v>41.4862251281738</v>
      </c>
      <c r="AI1739">
        <v>2.4427239894866899</v>
      </c>
    </row>
    <row r="1740" spans="1:35">
      <c r="A1740">
        <f t="shared" si="231"/>
        <v>1</v>
      </c>
      <c r="B1740">
        <f t="shared" si="232"/>
        <v>0</v>
      </c>
      <c r="C1740">
        <f t="shared" si="233"/>
        <v>1</v>
      </c>
      <c r="D1740">
        <f t="shared" si="234"/>
        <v>1</v>
      </c>
      <c r="E1740">
        <f t="shared" si="235"/>
        <v>0</v>
      </c>
      <c r="F1740">
        <f t="shared" si="236"/>
        <v>1</v>
      </c>
      <c r="G1740">
        <f t="shared" si="237"/>
        <v>0</v>
      </c>
      <c r="H1740">
        <v>0</v>
      </c>
      <c r="I1740">
        <f t="shared" si="238"/>
        <v>0</v>
      </c>
      <c r="J1740">
        <f t="shared" si="230"/>
        <v>9.0792920589447093</v>
      </c>
      <c r="K1740" t="s">
        <v>1410</v>
      </c>
      <c r="L1740" t="s">
        <v>1411</v>
      </c>
      <c r="M1740" t="s">
        <v>27</v>
      </c>
      <c r="N1740" t="s">
        <v>27</v>
      </c>
      <c r="O1740">
        <v>16.829000000000001</v>
      </c>
      <c r="P1740">
        <v>2.1312990188598602</v>
      </c>
      <c r="Q1740">
        <v>2.22628998756409</v>
      </c>
      <c r="R1740">
        <v>17.149999618530298</v>
      </c>
      <c r="S1740">
        <v>11.9166666666667</v>
      </c>
      <c r="T1740">
        <v>37.785945892333999</v>
      </c>
      <c r="U1740" t="s">
        <v>27</v>
      </c>
      <c r="V1740">
        <v>5441000</v>
      </c>
      <c r="W1740">
        <v>1.0649839639663701</v>
      </c>
      <c r="X1740">
        <v>0.20666666825612401</v>
      </c>
      <c r="Y1740">
        <v>9.0708656311035192</v>
      </c>
      <c r="Z1740">
        <v>6.8530020713806197</v>
      </c>
      <c r="AA1740">
        <v>14032500</v>
      </c>
      <c r="AB1740" t="s">
        <v>34</v>
      </c>
      <c r="AC1740" t="s">
        <v>35</v>
      </c>
      <c r="AD1740">
        <v>0.30000001192092901</v>
      </c>
      <c r="AE1740" t="s">
        <v>27</v>
      </c>
      <c r="AF1740" t="s">
        <v>27</v>
      </c>
      <c r="AG1740">
        <v>13609000</v>
      </c>
      <c r="AH1740">
        <v>35.251815795898402</v>
      </c>
      <c r="AI1740">
        <v>0.96011000871658303</v>
      </c>
    </row>
    <row r="1741" spans="1:35">
      <c r="A1741">
        <f t="shared" si="231"/>
        <v>1</v>
      </c>
      <c r="B1741">
        <f t="shared" si="232"/>
        <v>1</v>
      </c>
      <c r="C1741">
        <f t="shared" si="233"/>
        <v>0</v>
      </c>
      <c r="D1741">
        <f t="shared" si="234"/>
        <v>1</v>
      </c>
      <c r="E1741">
        <f t="shared" si="235"/>
        <v>0</v>
      </c>
      <c r="F1741">
        <f t="shared" si="236"/>
        <v>1</v>
      </c>
      <c r="G1741">
        <f t="shared" si="237"/>
        <v>0</v>
      </c>
      <c r="H1741">
        <v>0</v>
      </c>
      <c r="I1741">
        <f t="shared" si="238"/>
        <v>0</v>
      </c>
      <c r="J1741">
        <f t="shared" si="230"/>
        <v>9.0080108642578107</v>
      </c>
      <c r="K1741" t="s">
        <v>2837</v>
      </c>
      <c r="L1741" t="s">
        <v>2838</v>
      </c>
      <c r="M1741" t="s">
        <v>27</v>
      </c>
      <c r="N1741" t="s">
        <v>27</v>
      </c>
      <c r="O1741">
        <v>6.6</v>
      </c>
      <c r="P1741">
        <v>5.9579648971557599</v>
      </c>
      <c r="Q1741">
        <v>6.4767098426818803</v>
      </c>
      <c r="R1741">
        <v>23.1466674804688</v>
      </c>
      <c r="S1741">
        <v>18.2083333333333</v>
      </c>
      <c r="T1741">
        <v>35.102088928222699</v>
      </c>
      <c r="U1741" t="s">
        <v>27</v>
      </c>
      <c r="V1741">
        <v>-10312000</v>
      </c>
      <c r="W1741">
        <v>3.4537830352783199</v>
      </c>
      <c r="X1741">
        <v>0.120000004768372</v>
      </c>
      <c r="Y1741">
        <v>1.84454894065857</v>
      </c>
      <c r="Z1741">
        <v>2.53130102157593</v>
      </c>
      <c r="AA1741">
        <v>46264500</v>
      </c>
      <c r="AB1741" t="s">
        <v>27</v>
      </c>
      <c r="AC1741" t="s">
        <v>27</v>
      </c>
      <c r="AD1741">
        <v>0.146666665871938</v>
      </c>
      <c r="AE1741" t="s">
        <v>27</v>
      </c>
      <c r="AF1741">
        <v>6.2670221422084298</v>
      </c>
      <c r="AG1741">
        <v>47458500</v>
      </c>
      <c r="AH1741">
        <v>34.471229553222699</v>
      </c>
      <c r="AI1741">
        <v>3.8599700927734402</v>
      </c>
    </row>
    <row r="1742" spans="1:35">
      <c r="A1742">
        <f t="shared" si="231"/>
        <v>0</v>
      </c>
      <c r="B1742">
        <f t="shared" si="232"/>
        <v>1</v>
      </c>
      <c r="C1742">
        <f t="shared" si="233"/>
        <v>0</v>
      </c>
      <c r="D1742">
        <f t="shared" si="234"/>
        <v>0</v>
      </c>
      <c r="E1742">
        <f t="shared" si="235"/>
        <v>0</v>
      </c>
      <c r="F1742">
        <f t="shared" si="236"/>
        <v>1</v>
      </c>
      <c r="G1742">
        <f t="shared" si="237"/>
        <v>0</v>
      </c>
      <c r="H1742">
        <v>0</v>
      </c>
      <c r="I1742">
        <f t="shared" si="238"/>
        <v>0</v>
      </c>
      <c r="J1742">
        <f t="shared" si="230"/>
        <v>9.0066258907318097</v>
      </c>
      <c r="K1742" t="s">
        <v>1590</v>
      </c>
      <c r="L1742" t="s">
        <v>1591</v>
      </c>
      <c r="M1742" t="s">
        <v>27</v>
      </c>
      <c r="N1742" t="s">
        <v>27</v>
      </c>
      <c r="O1742">
        <v>11.87</v>
      </c>
      <c r="P1742" t="s">
        <v>27</v>
      </c>
      <c r="Q1742">
        <v>5.4216179847717303</v>
      </c>
      <c r="R1742">
        <v>22.790000915527301</v>
      </c>
      <c r="S1742">
        <v>32.125</v>
      </c>
      <c r="T1742">
        <v>1.43213403224945</v>
      </c>
      <c r="U1742">
        <v>34.8350219726563</v>
      </c>
      <c r="V1742">
        <v>-10888000</v>
      </c>
      <c r="W1742">
        <v>-4.3912439346313503</v>
      </c>
      <c r="X1742">
        <v>0.20000000298023199</v>
      </c>
      <c r="Y1742">
        <v>1.7935940027236901</v>
      </c>
      <c r="Z1742">
        <v>3.5850079059600799</v>
      </c>
      <c r="AA1742">
        <v>32869000</v>
      </c>
      <c r="AB1742" t="s">
        <v>194</v>
      </c>
      <c r="AC1742" t="s">
        <v>195</v>
      </c>
      <c r="AD1742">
        <v>0.15999999642372101</v>
      </c>
      <c r="AE1742">
        <v>29.711927413940401</v>
      </c>
      <c r="AF1742">
        <v>18.2199404714869</v>
      </c>
      <c r="AG1742">
        <v>33615000</v>
      </c>
      <c r="AH1742">
        <v>2.8421781063079798</v>
      </c>
      <c r="AI1742">
        <v>5.3751239776611301</v>
      </c>
    </row>
    <row r="1743" spans="1:35">
      <c r="A1743">
        <f t="shared" si="231"/>
        <v>1</v>
      </c>
      <c r="B1743">
        <f t="shared" si="232"/>
        <v>1</v>
      </c>
      <c r="C1743">
        <f t="shared" si="233"/>
        <v>1</v>
      </c>
      <c r="D1743">
        <f t="shared" si="234"/>
        <v>0</v>
      </c>
      <c r="E1743">
        <f t="shared" si="235"/>
        <v>0</v>
      </c>
      <c r="F1743">
        <f t="shared" si="236"/>
        <v>1</v>
      </c>
      <c r="G1743">
        <f t="shared" si="237"/>
        <v>1</v>
      </c>
      <c r="H1743">
        <v>0</v>
      </c>
      <c r="I1743">
        <f t="shared" si="238"/>
        <v>1</v>
      </c>
      <c r="J1743">
        <f t="shared" si="230"/>
        <v>8.9893260002136302</v>
      </c>
      <c r="K1743" t="s">
        <v>524</v>
      </c>
      <c r="L1743" t="s">
        <v>525</v>
      </c>
      <c r="M1743" t="s">
        <v>27</v>
      </c>
      <c r="N1743" t="s">
        <v>27</v>
      </c>
      <c r="O1743">
        <v>35.750900000000001</v>
      </c>
      <c r="P1743" t="s">
        <v>27</v>
      </c>
      <c r="Q1743">
        <v>6.84145307540894</v>
      </c>
      <c r="R1743">
        <v>13.8900003433228</v>
      </c>
      <c r="S1743">
        <v>37.9375</v>
      </c>
      <c r="T1743">
        <v>8.0260229110717791</v>
      </c>
      <c r="U1743">
        <v>72.632453918457003</v>
      </c>
      <c r="V1743">
        <v>1084000</v>
      </c>
      <c r="W1743">
        <v>1.6482900381088299</v>
      </c>
      <c r="X1743">
        <v>0.15000000596046401</v>
      </c>
      <c r="Y1743">
        <v>1.00313496589661</v>
      </c>
      <c r="Z1743">
        <v>2.1478729248046902</v>
      </c>
      <c r="AA1743">
        <v>14012000</v>
      </c>
      <c r="AB1743" t="s">
        <v>27</v>
      </c>
      <c r="AC1743" t="s">
        <v>27</v>
      </c>
      <c r="AD1743">
        <v>0.15000000596046401</v>
      </c>
      <c r="AE1743">
        <v>75.633560180664105</v>
      </c>
      <c r="AF1743" t="s">
        <v>27</v>
      </c>
      <c r="AG1743">
        <v>14546000</v>
      </c>
      <c r="AH1743">
        <v>5.70678806304932</v>
      </c>
      <c r="AI1743">
        <v>8.1541671752929705</v>
      </c>
    </row>
    <row r="1744" spans="1:35">
      <c r="A1744">
        <f t="shared" si="231"/>
        <v>0</v>
      </c>
      <c r="B1744">
        <f t="shared" si="232"/>
        <v>0</v>
      </c>
      <c r="C1744">
        <f t="shared" si="233"/>
        <v>1</v>
      </c>
      <c r="D1744">
        <f t="shared" si="234"/>
        <v>0</v>
      </c>
      <c r="E1744">
        <f t="shared" si="235"/>
        <v>0</v>
      </c>
      <c r="F1744">
        <f t="shared" si="236"/>
        <v>1</v>
      </c>
      <c r="G1744">
        <f t="shared" si="237"/>
        <v>0</v>
      </c>
      <c r="H1744">
        <v>0</v>
      </c>
      <c r="I1744">
        <f t="shared" si="238"/>
        <v>0</v>
      </c>
      <c r="J1744">
        <f t="shared" si="230"/>
        <v>8.9228470325470006</v>
      </c>
      <c r="K1744" t="s">
        <v>641</v>
      </c>
      <c r="L1744" t="s">
        <v>642</v>
      </c>
      <c r="M1744" t="s">
        <v>27</v>
      </c>
      <c r="N1744" t="s">
        <v>27</v>
      </c>
      <c r="O1744">
        <v>24.35</v>
      </c>
      <c r="P1744">
        <v>7.4790701866149902</v>
      </c>
      <c r="Q1744">
        <v>5.3672909736633301</v>
      </c>
      <c r="R1744">
        <v>24.280000686645501</v>
      </c>
      <c r="S1744">
        <v>23.700000762939499</v>
      </c>
      <c r="T1744">
        <v>28.221523284912099</v>
      </c>
      <c r="U1744" t="s">
        <v>27</v>
      </c>
      <c r="V1744">
        <v>8519000</v>
      </c>
      <c r="W1744">
        <v>3.6435699462890598</v>
      </c>
      <c r="X1744">
        <v>0.61000001430511497</v>
      </c>
      <c r="Y1744">
        <v>5.0093460083007804</v>
      </c>
      <c r="Z1744">
        <v>3.5555560588836701</v>
      </c>
      <c r="AA1744">
        <v>15145870</v>
      </c>
      <c r="AB1744" t="s">
        <v>254</v>
      </c>
      <c r="AC1744" t="s">
        <v>255</v>
      </c>
      <c r="AD1744">
        <v>0.38999998569488498</v>
      </c>
      <c r="AE1744" t="s">
        <v>27</v>
      </c>
      <c r="AF1744">
        <v>10.069468425591699</v>
      </c>
      <c r="AG1744">
        <v>15182000</v>
      </c>
      <c r="AH1744">
        <v>30.831344604492202</v>
      </c>
      <c r="AI1744">
        <v>3.0428800582885702</v>
      </c>
    </row>
    <row r="1745" spans="1:35">
      <c r="A1745">
        <f t="shared" si="231"/>
        <v>0</v>
      </c>
      <c r="B1745">
        <f t="shared" si="232"/>
        <v>0</v>
      </c>
      <c r="C1745">
        <f t="shared" si="233"/>
        <v>0</v>
      </c>
      <c r="D1745">
        <f t="shared" si="234"/>
        <v>0</v>
      </c>
      <c r="E1745">
        <f t="shared" si="235"/>
        <v>0</v>
      </c>
      <c r="F1745">
        <f t="shared" si="236"/>
        <v>1</v>
      </c>
      <c r="G1745">
        <f t="shared" si="237"/>
        <v>0</v>
      </c>
      <c r="H1745">
        <v>0</v>
      </c>
      <c r="I1745">
        <f t="shared" si="238"/>
        <v>0</v>
      </c>
      <c r="J1745">
        <f t="shared" si="230"/>
        <v>8.9035100936889684</v>
      </c>
      <c r="K1745" t="s">
        <v>3855</v>
      </c>
      <c r="L1745" t="s">
        <v>3856</v>
      </c>
      <c r="M1745" t="s">
        <v>27</v>
      </c>
      <c r="N1745" t="s">
        <v>27</v>
      </c>
      <c r="O1745">
        <v>10.07</v>
      </c>
      <c r="P1745">
        <v>10.9639902114868</v>
      </c>
      <c r="Q1745">
        <v>4.6610860824584996</v>
      </c>
      <c r="R1745">
        <v>15.6000003814697</v>
      </c>
      <c r="S1745">
        <v>8.3500003814697301</v>
      </c>
      <c r="T1745">
        <v>33.5602836608887</v>
      </c>
      <c r="U1745">
        <v>36.797355651855497</v>
      </c>
      <c r="V1745">
        <v>-2037000</v>
      </c>
      <c r="W1745">
        <v>9.9996891021728498</v>
      </c>
      <c r="X1745">
        <v>-0.129999995231628</v>
      </c>
      <c r="Y1745">
        <v>12.25</v>
      </c>
      <c r="Z1745">
        <v>4.2424240112304696</v>
      </c>
      <c r="AA1745">
        <v>15090000</v>
      </c>
      <c r="AB1745" t="s">
        <v>27</v>
      </c>
      <c r="AC1745" t="s">
        <v>27</v>
      </c>
      <c r="AD1745">
        <v>-0.239999994635582</v>
      </c>
      <c r="AE1745">
        <v>33.9397583007813</v>
      </c>
      <c r="AF1745">
        <v>7.5221491713750304</v>
      </c>
      <c r="AG1745">
        <v>14588000</v>
      </c>
      <c r="AH1745">
        <v>35.4572944641113</v>
      </c>
      <c r="AI1745">
        <v>3.09098196029663</v>
      </c>
    </row>
    <row r="1746" spans="1:35">
      <c r="A1746">
        <f t="shared" si="231"/>
        <v>1</v>
      </c>
      <c r="B1746">
        <f t="shared" si="232"/>
        <v>0</v>
      </c>
      <c r="C1746">
        <f t="shared" si="233"/>
        <v>1</v>
      </c>
      <c r="D1746">
        <f t="shared" si="234"/>
        <v>1</v>
      </c>
      <c r="E1746">
        <f t="shared" si="235"/>
        <v>0</v>
      </c>
      <c r="F1746">
        <f t="shared" si="236"/>
        <v>1</v>
      </c>
      <c r="G1746">
        <f t="shared" si="237"/>
        <v>0</v>
      </c>
      <c r="H1746">
        <v>0</v>
      </c>
      <c r="I1746">
        <f t="shared" si="238"/>
        <v>1</v>
      </c>
      <c r="J1746">
        <f t="shared" si="230"/>
        <v>8.8824391365051305</v>
      </c>
      <c r="K1746" t="s">
        <v>1372</v>
      </c>
      <c r="L1746" t="s">
        <v>1373</v>
      </c>
      <c r="M1746" t="s">
        <v>27</v>
      </c>
      <c r="N1746" t="s">
        <v>27</v>
      </c>
      <c r="O1746">
        <v>11.6</v>
      </c>
      <c r="P1746">
        <v>3.7519791126251198</v>
      </c>
      <c r="Q1746">
        <v>3.7154569625854501</v>
      </c>
      <c r="R1746">
        <v>7.1709940958402596</v>
      </c>
      <c r="S1746">
        <v>4.4214689134493801</v>
      </c>
      <c r="T1746">
        <v>16.26340675354</v>
      </c>
      <c r="U1746" t="s">
        <v>27</v>
      </c>
      <c r="V1746" t="s">
        <v>27</v>
      </c>
      <c r="W1746">
        <v>1.1451829671859699</v>
      </c>
      <c r="X1746">
        <v>8.1181066040215202E-2</v>
      </c>
      <c r="Y1746">
        <v>8.2162160873413104</v>
      </c>
      <c r="Z1746">
        <v>5.1669821739196804</v>
      </c>
      <c r="AA1746">
        <v>63731237.969999999</v>
      </c>
      <c r="AB1746" t="s">
        <v>34</v>
      </c>
      <c r="AC1746" t="s">
        <v>35</v>
      </c>
      <c r="AD1746">
        <v>8.8912600528189195E-2</v>
      </c>
      <c r="AE1746" t="s">
        <v>27</v>
      </c>
      <c r="AF1746" t="s">
        <v>27</v>
      </c>
      <c r="AG1746">
        <v>64116672.659999996</v>
      </c>
      <c r="AH1746">
        <v>15.8585357666016</v>
      </c>
      <c r="AI1746">
        <v>0.90024000406265303</v>
      </c>
    </row>
    <row r="1747" spans="1:35">
      <c r="A1747">
        <f t="shared" si="231"/>
        <v>0</v>
      </c>
      <c r="B1747">
        <f t="shared" si="232"/>
        <v>1</v>
      </c>
      <c r="C1747">
        <f t="shared" si="233"/>
        <v>1</v>
      </c>
      <c r="D1747">
        <f t="shared" si="234"/>
        <v>1</v>
      </c>
      <c r="E1747">
        <f t="shared" si="235"/>
        <v>0</v>
      </c>
      <c r="F1747">
        <f t="shared" si="236"/>
        <v>1</v>
      </c>
      <c r="G1747">
        <f t="shared" si="237"/>
        <v>0</v>
      </c>
      <c r="H1747">
        <v>0</v>
      </c>
      <c r="I1747">
        <f t="shared" si="238"/>
        <v>0</v>
      </c>
      <c r="J1747">
        <f t="shared" si="230"/>
        <v>8.8802690505981499</v>
      </c>
      <c r="K1747" t="s">
        <v>3232</v>
      </c>
      <c r="L1747" t="s">
        <v>3233</v>
      </c>
      <c r="M1747" t="s">
        <v>27</v>
      </c>
      <c r="N1747" t="s">
        <v>27</v>
      </c>
      <c r="O1747">
        <v>20.442</v>
      </c>
      <c r="P1747">
        <v>4.3879098892211896</v>
      </c>
      <c r="Q1747">
        <v>3.5772390365600599</v>
      </c>
      <c r="R1747">
        <v>19.200000762939499</v>
      </c>
      <c r="S1747">
        <v>14.1875</v>
      </c>
      <c r="T1747">
        <v>16.3194274902344</v>
      </c>
      <c r="U1747" t="s">
        <v>27</v>
      </c>
      <c r="V1747">
        <v>97967000</v>
      </c>
      <c r="W1747">
        <v>1.04766297340393</v>
      </c>
      <c r="X1747">
        <v>-7.0000000298023196E-2</v>
      </c>
      <c r="Y1747">
        <v>6.4950499534606898</v>
      </c>
      <c r="Z1747">
        <v>5.3030300140380904</v>
      </c>
      <c r="AA1747">
        <v>43135000</v>
      </c>
      <c r="AB1747" t="s">
        <v>27</v>
      </c>
      <c r="AC1747" t="s">
        <v>27</v>
      </c>
      <c r="AD1747">
        <v>0.259999990463257</v>
      </c>
      <c r="AE1747" t="s">
        <v>27</v>
      </c>
      <c r="AF1747" t="s">
        <v>27</v>
      </c>
      <c r="AG1747">
        <v>41300000</v>
      </c>
      <c r="AH1747">
        <v>22.777956008911101</v>
      </c>
      <c r="AI1747" t="s">
        <v>27</v>
      </c>
    </row>
    <row r="1748" spans="1:35">
      <c r="A1748">
        <f t="shared" si="231"/>
        <v>0</v>
      </c>
      <c r="B1748">
        <f t="shared" si="232"/>
        <v>1</v>
      </c>
      <c r="C1748">
        <f t="shared" si="233"/>
        <v>0</v>
      </c>
      <c r="D1748">
        <f t="shared" si="234"/>
        <v>0</v>
      </c>
      <c r="E1748">
        <f t="shared" si="235"/>
        <v>0</v>
      </c>
      <c r="F1748">
        <f t="shared" si="236"/>
        <v>1</v>
      </c>
      <c r="G1748">
        <f t="shared" si="237"/>
        <v>0</v>
      </c>
      <c r="H1748">
        <v>0</v>
      </c>
      <c r="I1748">
        <f t="shared" si="238"/>
        <v>0</v>
      </c>
      <c r="J1748">
        <f t="shared" si="230"/>
        <v>8.87497687339782</v>
      </c>
      <c r="K1748" t="s">
        <v>1002</v>
      </c>
      <c r="L1748" t="s">
        <v>1003</v>
      </c>
      <c r="M1748" t="s">
        <v>27</v>
      </c>
      <c r="N1748" t="s">
        <v>27</v>
      </c>
      <c r="O1748">
        <v>9.67</v>
      </c>
      <c r="P1748">
        <v>5.3282299041748002</v>
      </c>
      <c r="Q1748">
        <v>3.2585389614105198</v>
      </c>
      <c r="R1748">
        <v>16.829999923706101</v>
      </c>
      <c r="S1748">
        <v>18</v>
      </c>
      <c r="T1748">
        <v>13.841320991516101</v>
      </c>
      <c r="U1748" t="s">
        <v>27</v>
      </c>
      <c r="V1748">
        <v>-22256000</v>
      </c>
      <c r="W1748">
        <v>10.4538793563843</v>
      </c>
      <c r="X1748">
        <v>1.45000004768372</v>
      </c>
      <c r="Y1748">
        <v>11.0523080825806</v>
      </c>
      <c r="Z1748">
        <v>5.6164379119873002</v>
      </c>
      <c r="AA1748">
        <v>18858000</v>
      </c>
      <c r="AB1748" t="s">
        <v>27</v>
      </c>
      <c r="AC1748" t="s">
        <v>27</v>
      </c>
      <c r="AD1748">
        <v>0.15000000596046401</v>
      </c>
      <c r="AE1748" t="s">
        <v>27</v>
      </c>
      <c r="AF1748">
        <v>6.7270293941477899</v>
      </c>
      <c r="AG1748">
        <v>18801000</v>
      </c>
      <c r="AH1748">
        <v>30.2452697753906</v>
      </c>
      <c r="AI1748">
        <v>15.768623352050801</v>
      </c>
    </row>
    <row r="1749" spans="1:35">
      <c r="A1749">
        <f t="shared" si="231"/>
        <v>0</v>
      </c>
      <c r="B1749">
        <f t="shared" si="232"/>
        <v>0</v>
      </c>
      <c r="C1749">
        <f t="shared" si="233"/>
        <v>0</v>
      </c>
      <c r="D1749">
        <f t="shared" si="234"/>
        <v>0</v>
      </c>
      <c r="E1749">
        <f t="shared" si="235"/>
        <v>0</v>
      </c>
      <c r="F1749">
        <f t="shared" si="236"/>
        <v>1</v>
      </c>
      <c r="G1749">
        <f t="shared" si="237"/>
        <v>0</v>
      </c>
      <c r="H1749">
        <v>0</v>
      </c>
      <c r="I1749">
        <f t="shared" si="238"/>
        <v>0</v>
      </c>
      <c r="J1749">
        <f t="shared" si="230"/>
        <v>8.7940559387206996</v>
      </c>
      <c r="K1749" t="s">
        <v>2084</v>
      </c>
      <c r="L1749" t="s">
        <v>2085</v>
      </c>
      <c r="M1749" t="s">
        <v>27</v>
      </c>
      <c r="N1749" t="s">
        <v>27</v>
      </c>
      <c r="O1749">
        <v>6.65</v>
      </c>
      <c r="P1749">
        <v>5.4237790107727104</v>
      </c>
      <c r="Q1749">
        <v>4.3395109176635698</v>
      </c>
      <c r="R1749">
        <v>11</v>
      </c>
      <c r="S1749">
        <v>13.8400001525879</v>
      </c>
      <c r="T1749">
        <v>43.39111328125</v>
      </c>
      <c r="U1749">
        <v>18.251270294189499</v>
      </c>
      <c r="V1749">
        <v>-17147998</v>
      </c>
      <c r="W1749">
        <v>3.0245320796966602</v>
      </c>
      <c r="X1749">
        <v>0.18000000715255701</v>
      </c>
      <c r="Y1749">
        <v>5.4311928749084499</v>
      </c>
      <c r="Z1749">
        <v>4.4545450210571298</v>
      </c>
      <c r="AA1749">
        <v>51577000</v>
      </c>
      <c r="AB1749" t="s">
        <v>27</v>
      </c>
      <c r="AC1749" t="s">
        <v>27</v>
      </c>
      <c r="AD1749">
        <v>5.0000000745058101E-2</v>
      </c>
      <c r="AE1749">
        <v>14.564776420593301</v>
      </c>
      <c r="AF1749">
        <v>7.9417404106346696</v>
      </c>
      <c r="AG1749">
        <v>51077000</v>
      </c>
      <c r="AH1749">
        <v>46.298534393310497</v>
      </c>
      <c r="AI1749">
        <v>1.8966310024261499</v>
      </c>
    </row>
    <row r="1750" spans="1:35">
      <c r="A1750">
        <f t="shared" si="231"/>
        <v>1</v>
      </c>
      <c r="B1750">
        <f t="shared" si="232"/>
        <v>0</v>
      </c>
      <c r="C1750">
        <f t="shared" si="233"/>
        <v>0</v>
      </c>
      <c r="D1750">
        <f t="shared" si="234"/>
        <v>1</v>
      </c>
      <c r="E1750">
        <f t="shared" si="235"/>
        <v>0</v>
      </c>
      <c r="F1750">
        <f t="shared" si="236"/>
        <v>1</v>
      </c>
      <c r="G1750">
        <f t="shared" si="237"/>
        <v>0</v>
      </c>
      <c r="H1750">
        <v>0</v>
      </c>
      <c r="I1750">
        <f t="shared" si="238"/>
        <v>1</v>
      </c>
      <c r="J1750">
        <f t="shared" si="230"/>
        <v>8.7728850841522199</v>
      </c>
      <c r="K1750" t="s">
        <v>2596</v>
      </c>
      <c r="L1750" t="s">
        <v>2597</v>
      </c>
      <c r="M1750" t="s">
        <v>27</v>
      </c>
      <c r="N1750" t="s">
        <v>27</v>
      </c>
      <c r="O1750">
        <v>26.54</v>
      </c>
      <c r="P1750">
        <v>1.91669797897339</v>
      </c>
      <c r="Q1750">
        <v>2.33553910255432</v>
      </c>
      <c r="R1750">
        <v>22.850000381469702</v>
      </c>
      <c r="S1750">
        <v>14.5</v>
      </c>
      <c r="T1750">
        <v>33.492748260497997</v>
      </c>
      <c r="U1750" t="s">
        <v>27</v>
      </c>
      <c r="V1750">
        <v>-2650000</v>
      </c>
      <c r="W1750">
        <v>1.0651160478591899</v>
      </c>
      <c r="X1750">
        <v>0.20999999344348899</v>
      </c>
      <c r="Y1750">
        <v>8.1159420013427699</v>
      </c>
      <c r="Z1750">
        <v>6.4373459815979004</v>
      </c>
      <c r="AA1750">
        <v>15274000</v>
      </c>
      <c r="AB1750" t="s">
        <v>27</v>
      </c>
      <c r="AC1750" t="s">
        <v>27</v>
      </c>
      <c r="AD1750">
        <v>0.38999998569488498</v>
      </c>
      <c r="AE1750" t="s">
        <v>27</v>
      </c>
      <c r="AF1750" t="s">
        <v>27</v>
      </c>
      <c r="AG1750">
        <v>15596000</v>
      </c>
      <c r="AH1750">
        <v>31.7608947753906</v>
      </c>
      <c r="AI1750">
        <v>0.22130699455738101</v>
      </c>
    </row>
    <row r="1751" spans="1:35">
      <c r="A1751">
        <f t="shared" si="231"/>
        <v>1</v>
      </c>
      <c r="B1751">
        <f t="shared" si="232"/>
        <v>0</v>
      </c>
      <c r="C1751">
        <f t="shared" si="233"/>
        <v>1</v>
      </c>
      <c r="D1751">
        <f t="shared" si="234"/>
        <v>1</v>
      </c>
      <c r="E1751">
        <f t="shared" si="235"/>
        <v>0</v>
      </c>
      <c r="F1751">
        <f t="shared" si="236"/>
        <v>1</v>
      </c>
      <c r="G1751">
        <f t="shared" si="237"/>
        <v>0</v>
      </c>
      <c r="H1751">
        <v>0</v>
      </c>
      <c r="I1751">
        <f t="shared" si="238"/>
        <v>0</v>
      </c>
      <c r="J1751">
        <f t="shared" si="230"/>
        <v>8.76460909843445</v>
      </c>
      <c r="K1751" t="s">
        <v>3579</v>
      </c>
      <c r="L1751" t="s">
        <v>3580</v>
      </c>
      <c r="M1751" t="s">
        <v>27</v>
      </c>
      <c r="N1751" t="s">
        <v>27</v>
      </c>
      <c r="O1751">
        <v>26.25</v>
      </c>
      <c r="P1751">
        <v>3.2926208972930899</v>
      </c>
      <c r="Q1751">
        <v>3.5564730167388898</v>
      </c>
      <c r="R1751">
        <v>25.714285714285701</v>
      </c>
      <c r="S1751">
        <v>14.1666666666667</v>
      </c>
      <c r="T1751">
        <v>19.392902374267599</v>
      </c>
      <c r="U1751" t="s">
        <v>27</v>
      </c>
      <c r="V1751">
        <v>6916000</v>
      </c>
      <c r="W1751">
        <v>0.93733501434326205</v>
      </c>
      <c r="X1751">
        <v>0.238095238095238</v>
      </c>
      <c r="Y1751">
        <v>7.4042549133300799</v>
      </c>
      <c r="Z1751">
        <v>5.2081360816955602</v>
      </c>
      <c r="AA1751">
        <v>10191300</v>
      </c>
      <c r="AB1751" t="s">
        <v>27</v>
      </c>
      <c r="AC1751" t="s">
        <v>27</v>
      </c>
      <c r="AD1751">
        <v>0.29047619728815</v>
      </c>
      <c r="AE1751" t="s">
        <v>27</v>
      </c>
      <c r="AF1751" t="s">
        <v>27</v>
      </c>
      <c r="AG1751">
        <v>9471000</v>
      </c>
      <c r="AH1751">
        <v>14.030138015747101</v>
      </c>
      <c r="AI1751">
        <v>0.87098997831344604</v>
      </c>
    </row>
    <row r="1752" spans="1:35">
      <c r="A1752">
        <f t="shared" si="231"/>
        <v>1</v>
      </c>
      <c r="B1752">
        <f t="shared" si="232"/>
        <v>1</v>
      </c>
      <c r="C1752">
        <f t="shared" si="233"/>
        <v>1</v>
      </c>
      <c r="D1752">
        <f t="shared" si="234"/>
        <v>1</v>
      </c>
      <c r="E1752">
        <f t="shared" si="235"/>
        <v>0</v>
      </c>
      <c r="F1752">
        <f t="shared" si="236"/>
        <v>1</v>
      </c>
      <c r="G1752">
        <f t="shared" si="237"/>
        <v>0</v>
      </c>
      <c r="H1752">
        <v>0</v>
      </c>
      <c r="I1752">
        <f t="shared" si="238"/>
        <v>0</v>
      </c>
      <c r="J1752">
        <f t="shared" si="230"/>
        <v>8.7603650093078596</v>
      </c>
      <c r="K1752" t="s">
        <v>1085</v>
      </c>
      <c r="L1752" t="s">
        <v>1086</v>
      </c>
      <c r="M1752" t="s">
        <v>27</v>
      </c>
      <c r="N1752" t="s">
        <v>27</v>
      </c>
      <c r="O1752">
        <v>19.73</v>
      </c>
      <c r="P1752" t="s">
        <v>27</v>
      </c>
      <c r="Q1752">
        <v>2.0976290702819802</v>
      </c>
      <c r="R1752">
        <v>19.233333587646499</v>
      </c>
      <c r="S1752">
        <v>11.6944444444444</v>
      </c>
      <c r="T1752">
        <v>40.526405334472699</v>
      </c>
      <c r="U1752" t="s">
        <v>27</v>
      </c>
      <c r="V1752">
        <v>6634000</v>
      </c>
      <c r="W1752">
        <v>0.94211202859878496</v>
      </c>
      <c r="X1752">
        <v>0.231111102634006</v>
      </c>
      <c r="Y1752">
        <v>10.7692308425903</v>
      </c>
      <c r="Z1752">
        <v>6.6627359390258798</v>
      </c>
      <c r="AA1752">
        <v>24702750</v>
      </c>
      <c r="AB1752" t="s">
        <v>34</v>
      </c>
      <c r="AC1752" t="s">
        <v>458</v>
      </c>
      <c r="AD1752">
        <v>0.297777785195245</v>
      </c>
      <c r="AE1752" t="s">
        <v>27</v>
      </c>
      <c r="AF1752" t="s">
        <v>27</v>
      </c>
      <c r="AG1752">
        <v>24057000</v>
      </c>
      <c r="AH1752">
        <v>36.568023681640597</v>
      </c>
      <c r="AI1752">
        <v>0.96633100509643599</v>
      </c>
    </row>
    <row r="1753" spans="1:35">
      <c r="A1753">
        <f t="shared" si="231"/>
        <v>0</v>
      </c>
      <c r="B1753">
        <f t="shared" si="232"/>
        <v>0</v>
      </c>
      <c r="C1753">
        <f t="shared" si="233"/>
        <v>1</v>
      </c>
      <c r="D1753">
        <f t="shared" si="234"/>
        <v>0</v>
      </c>
      <c r="E1753">
        <f t="shared" si="235"/>
        <v>0</v>
      </c>
      <c r="F1753">
        <f t="shared" si="236"/>
        <v>0</v>
      </c>
      <c r="G1753">
        <f t="shared" si="237"/>
        <v>0</v>
      </c>
      <c r="H1753">
        <v>0</v>
      </c>
      <c r="I1753">
        <f t="shared" si="238"/>
        <v>0</v>
      </c>
      <c r="J1753">
        <f t="shared" si="230"/>
        <v>8.7000341415405309</v>
      </c>
      <c r="K1753" t="s">
        <v>1614</v>
      </c>
      <c r="L1753" t="s">
        <v>1615</v>
      </c>
      <c r="M1753" t="s">
        <v>27</v>
      </c>
      <c r="N1753" t="s">
        <v>27</v>
      </c>
      <c r="O1753">
        <v>10.1</v>
      </c>
      <c r="P1753">
        <v>5.0129208564758301</v>
      </c>
      <c r="Q1753">
        <v>3.27550601959229</v>
      </c>
      <c r="R1753">
        <v>12.079999923706101</v>
      </c>
      <c r="S1753">
        <v>6.6500000953674299</v>
      </c>
      <c r="T1753">
        <v>35.996040344238303</v>
      </c>
      <c r="U1753">
        <v>41.0695991516113</v>
      </c>
      <c r="V1753">
        <v>3246000</v>
      </c>
      <c r="W1753">
        <v>3.59977006912231</v>
      </c>
      <c r="X1753">
        <v>0.20999999344348899</v>
      </c>
      <c r="Y1753">
        <v>6.96183204650879</v>
      </c>
      <c r="Z1753">
        <v>5.4245281219482404</v>
      </c>
      <c r="AA1753">
        <v>14342000</v>
      </c>
      <c r="AB1753" t="s">
        <v>27</v>
      </c>
      <c r="AC1753" t="s">
        <v>27</v>
      </c>
      <c r="AD1753">
        <v>-3.6500000953674299</v>
      </c>
      <c r="AE1753">
        <v>39.465164184570298</v>
      </c>
      <c r="AF1753">
        <v>9.9474398333925897</v>
      </c>
      <c r="AG1753">
        <v>14343000</v>
      </c>
      <c r="AH1753">
        <v>41.249824523925803</v>
      </c>
      <c r="AI1753">
        <v>-0.97346699237823497</v>
      </c>
    </row>
    <row r="1754" spans="1:35">
      <c r="A1754">
        <f t="shared" si="231"/>
        <v>0</v>
      </c>
      <c r="B1754">
        <f t="shared" si="232"/>
        <v>0</v>
      </c>
      <c r="C1754">
        <f t="shared" si="233"/>
        <v>0</v>
      </c>
      <c r="D1754">
        <f t="shared" si="234"/>
        <v>0</v>
      </c>
      <c r="E1754">
        <f t="shared" si="235"/>
        <v>0</v>
      </c>
      <c r="F1754">
        <f t="shared" si="236"/>
        <v>1</v>
      </c>
      <c r="G1754">
        <f t="shared" si="237"/>
        <v>0</v>
      </c>
      <c r="H1754">
        <v>0</v>
      </c>
      <c r="I1754">
        <f t="shared" si="238"/>
        <v>0</v>
      </c>
      <c r="J1754">
        <f t="shared" si="230"/>
        <v>8.6734480857849086</v>
      </c>
      <c r="K1754" t="s">
        <v>375</v>
      </c>
      <c r="L1754" t="s">
        <v>376</v>
      </c>
      <c r="M1754" t="s">
        <v>27</v>
      </c>
      <c r="N1754" t="s">
        <v>27</v>
      </c>
      <c r="O1754">
        <v>9.1</v>
      </c>
      <c r="P1754">
        <v>11.6455173492432</v>
      </c>
      <c r="Q1754">
        <v>4.5996589660644496</v>
      </c>
      <c r="R1754">
        <v>12.710000038146999</v>
      </c>
      <c r="S1754">
        <v>14.25</v>
      </c>
      <c r="T1754">
        <v>29.1914768218994</v>
      </c>
      <c r="U1754">
        <v>23.8829154968262</v>
      </c>
      <c r="V1754">
        <v>-9144000</v>
      </c>
      <c r="W1754">
        <v>10.5048875808716</v>
      </c>
      <c r="X1754">
        <v>0.18000000715255701</v>
      </c>
      <c r="Y1754">
        <v>13.3485708236694</v>
      </c>
      <c r="Z1754">
        <v>4.0737891197204599</v>
      </c>
      <c r="AA1754">
        <v>19265000</v>
      </c>
      <c r="AB1754" t="s">
        <v>61</v>
      </c>
      <c r="AC1754" t="s">
        <v>101</v>
      </c>
      <c r="AD1754">
        <v>-7.0000000298023196E-2</v>
      </c>
      <c r="AE1754">
        <v>16.6711940765381</v>
      </c>
      <c r="AF1754">
        <v>14.117436931988401</v>
      </c>
      <c r="AG1754">
        <v>19587000</v>
      </c>
      <c r="AH1754">
        <v>35.493045806884801</v>
      </c>
      <c r="AI1754">
        <v>6.9689431190490696</v>
      </c>
    </row>
    <row r="1755" spans="1:35">
      <c r="A1755">
        <f t="shared" si="231"/>
        <v>1</v>
      </c>
      <c r="B1755">
        <f t="shared" si="232"/>
        <v>0</v>
      </c>
      <c r="C1755">
        <f t="shared" si="233"/>
        <v>1</v>
      </c>
      <c r="D1755">
        <f t="shared" si="234"/>
        <v>1</v>
      </c>
      <c r="E1755">
        <f t="shared" si="235"/>
        <v>0</v>
      </c>
      <c r="F1755">
        <f t="shared" si="236"/>
        <v>1</v>
      </c>
      <c r="G1755">
        <f t="shared" si="237"/>
        <v>1</v>
      </c>
      <c r="H1755">
        <v>0</v>
      </c>
      <c r="I1755">
        <f t="shared" si="238"/>
        <v>1</v>
      </c>
      <c r="J1755">
        <f t="shared" si="230"/>
        <v>8.6638498306274396</v>
      </c>
      <c r="K1755" t="s">
        <v>962</v>
      </c>
      <c r="L1755" t="s">
        <v>963</v>
      </c>
      <c r="M1755" t="s">
        <v>27</v>
      </c>
      <c r="N1755" t="s">
        <v>27</v>
      </c>
      <c r="O1755">
        <v>26.98</v>
      </c>
      <c r="P1755">
        <v>7.3037738800048801</v>
      </c>
      <c r="Q1755">
        <v>5.8162789344787598</v>
      </c>
      <c r="R1755">
        <v>17.709999084472699</v>
      </c>
      <c r="S1755">
        <v>13.75</v>
      </c>
      <c r="T1755">
        <v>35.130348205566399</v>
      </c>
      <c r="U1755">
        <v>25.493379592895501</v>
      </c>
      <c r="V1755">
        <v>26206000</v>
      </c>
      <c r="W1755">
        <v>7.1415657997131303</v>
      </c>
      <c r="X1755">
        <v>2.9999999329447701E-2</v>
      </c>
      <c r="Y1755">
        <v>6.2290081977844203</v>
      </c>
      <c r="Z1755">
        <v>2.8475708961486799</v>
      </c>
      <c r="AA1755">
        <v>57681000</v>
      </c>
      <c r="AB1755" t="s">
        <v>73</v>
      </c>
      <c r="AC1755" t="s">
        <v>177</v>
      </c>
      <c r="AD1755">
        <v>0.15000000596046401</v>
      </c>
      <c r="AE1755">
        <v>26.5518474578857</v>
      </c>
      <c r="AF1755">
        <v>12.426300874729201</v>
      </c>
      <c r="AG1755">
        <v>59397000</v>
      </c>
      <c r="AH1755">
        <v>1.68972599506378</v>
      </c>
      <c r="AI1755">
        <v>2.0859630107879599</v>
      </c>
    </row>
    <row r="1756" spans="1:35">
      <c r="A1756">
        <f t="shared" si="231"/>
        <v>0</v>
      </c>
      <c r="B1756">
        <f t="shared" si="232"/>
        <v>0</v>
      </c>
      <c r="C1756">
        <f t="shared" si="233"/>
        <v>1</v>
      </c>
      <c r="D1756">
        <f t="shared" si="234"/>
        <v>1</v>
      </c>
      <c r="E1756">
        <f t="shared" si="235"/>
        <v>0</v>
      </c>
      <c r="F1756">
        <f t="shared" si="236"/>
        <v>1</v>
      </c>
      <c r="G1756">
        <f t="shared" si="237"/>
        <v>1</v>
      </c>
      <c r="H1756">
        <v>0</v>
      </c>
      <c r="I1756">
        <f t="shared" si="238"/>
        <v>0</v>
      </c>
      <c r="J1756">
        <f t="shared" si="230"/>
        <v>8.64977931976318</v>
      </c>
      <c r="K1756" t="s">
        <v>3196</v>
      </c>
      <c r="L1756" t="s">
        <v>3197</v>
      </c>
      <c r="M1756" t="s">
        <v>27</v>
      </c>
      <c r="N1756" t="s">
        <v>27</v>
      </c>
      <c r="O1756">
        <v>26.75</v>
      </c>
      <c r="P1756">
        <v>3.6976079940795898</v>
      </c>
      <c r="Q1756">
        <v>4.04451608657837</v>
      </c>
      <c r="R1756">
        <v>31.5</v>
      </c>
      <c r="S1756">
        <v>22.309999465942401</v>
      </c>
      <c r="T1756">
        <v>0</v>
      </c>
      <c r="U1756">
        <v>13.627002716064499</v>
      </c>
      <c r="V1756">
        <v>6682000</v>
      </c>
      <c r="W1756">
        <v>6.3057007789611799</v>
      </c>
      <c r="X1756">
        <v>0.37000000476837203</v>
      </c>
      <c r="Y1756">
        <v>6.6461539268493697</v>
      </c>
      <c r="Z1756">
        <v>4.60526323318481</v>
      </c>
      <c r="AA1756">
        <v>8402000</v>
      </c>
      <c r="AB1756" t="s">
        <v>30</v>
      </c>
      <c r="AC1756" t="s">
        <v>410</v>
      </c>
      <c r="AD1756">
        <v>0.44999998807907099</v>
      </c>
      <c r="AE1756">
        <v>14.910972595214799</v>
      </c>
      <c r="AF1756">
        <v>4.5624314417126701</v>
      </c>
      <c r="AG1756">
        <v>8391000</v>
      </c>
      <c r="AH1756">
        <v>0</v>
      </c>
      <c r="AI1756">
        <v>4.7396378517150897</v>
      </c>
    </row>
    <row r="1757" spans="1:35">
      <c r="A1757">
        <f t="shared" si="231"/>
        <v>0</v>
      </c>
      <c r="B1757">
        <f t="shared" si="232"/>
        <v>0</v>
      </c>
      <c r="C1757">
        <f t="shared" si="233"/>
        <v>0</v>
      </c>
      <c r="D1757">
        <f t="shared" si="234"/>
        <v>0</v>
      </c>
      <c r="E1757">
        <f t="shared" si="235"/>
        <v>0</v>
      </c>
      <c r="F1757">
        <f t="shared" si="236"/>
        <v>1</v>
      </c>
      <c r="G1757">
        <f t="shared" si="237"/>
        <v>0</v>
      </c>
      <c r="H1757">
        <v>0</v>
      </c>
      <c r="I1757">
        <f t="shared" si="238"/>
        <v>0</v>
      </c>
      <c r="J1757">
        <f t="shared" si="230"/>
        <v>8.5825929641723597</v>
      </c>
      <c r="K1757" t="s">
        <v>3721</v>
      </c>
      <c r="L1757" t="s">
        <v>3722</v>
      </c>
      <c r="M1757" t="s">
        <v>27</v>
      </c>
      <c r="N1757" t="s">
        <v>27</v>
      </c>
      <c r="O1757">
        <v>12.91</v>
      </c>
      <c r="P1757">
        <v>11.527401924133301</v>
      </c>
      <c r="Q1757">
        <v>6.1279950141906703</v>
      </c>
      <c r="R1757">
        <v>26.6666666666667</v>
      </c>
      <c r="S1757">
        <v>17.727380125374101</v>
      </c>
      <c r="T1757">
        <v>11.1401224136353</v>
      </c>
      <c r="U1757">
        <v>81.372383117675795</v>
      </c>
      <c r="V1757">
        <v>-3079000</v>
      </c>
      <c r="W1757">
        <v>64.265983581542997</v>
      </c>
      <c r="X1757">
        <v>5.9229026846334198</v>
      </c>
      <c r="Y1757">
        <v>1.7869130373001101</v>
      </c>
      <c r="Z1757">
        <v>2.4545979499816899</v>
      </c>
      <c r="AA1757">
        <v>28297955.699999999</v>
      </c>
      <c r="AB1757" t="s">
        <v>194</v>
      </c>
      <c r="AC1757" t="s">
        <v>213</v>
      </c>
      <c r="AD1757">
        <v>0.23047618922733101</v>
      </c>
      <c r="AE1757">
        <v>41.189743041992202</v>
      </c>
      <c r="AF1757" t="s">
        <v>27</v>
      </c>
      <c r="AG1757">
        <v>33126240</v>
      </c>
      <c r="AH1757">
        <v>36.371532440185497</v>
      </c>
      <c r="AI1757">
        <v>37.454315185546903</v>
      </c>
    </row>
    <row r="1758" spans="1:35">
      <c r="A1758">
        <f t="shared" si="231"/>
        <v>0</v>
      </c>
      <c r="B1758">
        <f t="shared" si="232"/>
        <v>1</v>
      </c>
      <c r="C1758">
        <f t="shared" si="233"/>
        <v>0</v>
      </c>
      <c r="D1758">
        <f t="shared" si="234"/>
        <v>0</v>
      </c>
      <c r="E1758">
        <f t="shared" si="235"/>
        <v>1</v>
      </c>
      <c r="F1758">
        <f t="shared" si="236"/>
        <v>1</v>
      </c>
      <c r="G1758">
        <f t="shared" si="237"/>
        <v>1</v>
      </c>
      <c r="H1758">
        <v>0</v>
      </c>
      <c r="I1758">
        <f t="shared" si="238"/>
        <v>0</v>
      </c>
      <c r="J1758">
        <f t="shared" si="230"/>
        <v>8.5820360183715803</v>
      </c>
      <c r="K1758" t="s">
        <v>3268</v>
      </c>
      <c r="L1758" t="s">
        <v>3269</v>
      </c>
      <c r="M1758" t="s">
        <v>27</v>
      </c>
      <c r="N1758" t="s">
        <v>27</v>
      </c>
      <c r="O1758">
        <v>23.62</v>
      </c>
      <c r="P1758">
        <v>6.1347250938415501</v>
      </c>
      <c r="Q1758">
        <v>4.2305722236633301</v>
      </c>
      <c r="R1758">
        <v>23.139999389648398</v>
      </c>
      <c r="S1758">
        <v>21.25</v>
      </c>
      <c r="T1758">
        <v>39.3243598937988</v>
      </c>
      <c r="U1758">
        <v>32.732410430908203</v>
      </c>
      <c r="V1758">
        <v>-4741999.5</v>
      </c>
      <c r="W1758">
        <v>2.9449479579925502</v>
      </c>
      <c r="X1758">
        <v>0.980000019073486</v>
      </c>
      <c r="Y1758">
        <v>7.9144377708435103</v>
      </c>
      <c r="Z1758">
        <v>4.3514637947082502</v>
      </c>
      <c r="AA1758">
        <v>18878000</v>
      </c>
      <c r="AB1758" t="s">
        <v>254</v>
      </c>
      <c r="AC1758" t="s">
        <v>400</v>
      </c>
      <c r="AD1758">
        <v>0.40999999642372098</v>
      </c>
      <c r="AE1758">
        <v>40.612602233886697</v>
      </c>
      <c r="AF1758">
        <v>9.6167664003277995</v>
      </c>
      <c r="AG1758">
        <v>18878000</v>
      </c>
      <c r="AH1758">
        <v>40.285923004150398</v>
      </c>
      <c r="AI1758">
        <v>3.1947159767150901</v>
      </c>
    </row>
    <row r="1759" spans="1:35">
      <c r="A1759">
        <f t="shared" si="231"/>
        <v>1</v>
      </c>
      <c r="B1759">
        <f t="shared" si="232"/>
        <v>0</v>
      </c>
      <c r="C1759">
        <f t="shared" si="233"/>
        <v>1</v>
      </c>
      <c r="D1759">
        <f t="shared" si="234"/>
        <v>0</v>
      </c>
      <c r="E1759">
        <f t="shared" si="235"/>
        <v>0</v>
      </c>
      <c r="F1759">
        <f t="shared" si="236"/>
        <v>1</v>
      </c>
      <c r="G1759">
        <f t="shared" si="237"/>
        <v>0</v>
      </c>
      <c r="H1759">
        <v>0</v>
      </c>
      <c r="I1759">
        <f t="shared" si="238"/>
        <v>0</v>
      </c>
      <c r="J1759">
        <f t="shared" ref="J1759:J1822" si="239">Z1759+Q1759</f>
        <v>8.5627561211585963</v>
      </c>
      <c r="K1759" t="s">
        <v>465</v>
      </c>
      <c r="L1759" t="s">
        <v>466</v>
      </c>
      <c r="M1759" t="s">
        <v>27</v>
      </c>
      <c r="N1759" t="s">
        <v>27</v>
      </c>
      <c r="O1759">
        <v>17.649999999999999</v>
      </c>
      <c r="P1759">
        <v>2.7747941017150901</v>
      </c>
      <c r="Q1759">
        <v>0.43646198511123702</v>
      </c>
      <c r="R1759">
        <v>19.950000762939499</v>
      </c>
      <c r="S1759">
        <v>16.53125</v>
      </c>
      <c r="T1759">
        <v>30.571275711059599</v>
      </c>
      <c r="U1759" t="s">
        <v>27</v>
      </c>
      <c r="V1759">
        <v>4598000</v>
      </c>
      <c r="W1759">
        <v>1.1363120079040501</v>
      </c>
      <c r="X1759">
        <v>0.410000004551627</v>
      </c>
      <c r="Y1759">
        <v>11.008765220642101</v>
      </c>
      <c r="Z1759">
        <v>8.1262941360473597</v>
      </c>
      <c r="AA1759">
        <v>11411400</v>
      </c>
      <c r="AB1759" t="s">
        <v>34</v>
      </c>
      <c r="AC1759" t="s">
        <v>35</v>
      </c>
      <c r="AD1759">
        <v>-9.9999997764825804E-3</v>
      </c>
      <c r="AE1759" t="s">
        <v>27</v>
      </c>
      <c r="AF1759" t="s">
        <v>27</v>
      </c>
      <c r="AG1759">
        <v>11206000</v>
      </c>
      <c r="AH1759">
        <v>28.028629302978501</v>
      </c>
      <c r="AI1759">
        <v>0.96493697166442904</v>
      </c>
    </row>
    <row r="1760" spans="1:35">
      <c r="A1760">
        <f t="shared" ref="A1760:A1823" si="240">IF(AH1760&lt;T1760,1,0)</f>
        <v>1</v>
      </c>
      <c r="B1760">
        <f t="shared" ref="B1760:B1823" si="241">IF(AI1760&gt;W1760,1,0)</f>
        <v>1</v>
      </c>
      <c r="C1760">
        <f t="shared" ref="C1760:C1823" si="242">IF(V1760&gt;0,1,0)</f>
        <v>0</v>
      </c>
      <c r="D1760">
        <f t="shared" ref="D1760:D1823" si="243">IF(AD1760&gt;X1760,1,0)</f>
        <v>1</v>
      </c>
      <c r="E1760">
        <f t="shared" ref="E1760:E1823" si="244">IF(AA1760=AG1760,1,0)</f>
        <v>0</v>
      </c>
      <c r="F1760">
        <f t="shared" ref="F1760:F1823" si="245">IF(AI1760&gt;0,1,0)</f>
        <v>0</v>
      </c>
      <c r="G1760">
        <f t="shared" ref="G1760:G1823" si="246">IF(AE1760&gt;U1760,1,0)</f>
        <v>1</v>
      </c>
      <c r="H1760">
        <v>0</v>
      </c>
      <c r="I1760">
        <f t="shared" ref="I1760:I1823" si="247">IF(((O1760-R1760)/R1760)&gt;0.075,1,0)</f>
        <v>0</v>
      </c>
      <c r="J1760">
        <f t="shared" si="239"/>
        <v>8.5054161548614502</v>
      </c>
      <c r="K1760" t="s">
        <v>1804</v>
      </c>
      <c r="L1760" t="s">
        <v>1805</v>
      </c>
      <c r="M1760" t="s">
        <v>27</v>
      </c>
      <c r="N1760" t="s">
        <v>27</v>
      </c>
      <c r="O1760">
        <v>25.48</v>
      </c>
      <c r="P1760" t="s">
        <v>27</v>
      </c>
      <c r="Q1760">
        <v>6.4917640686035201</v>
      </c>
      <c r="R1760">
        <v>28.319999694824201</v>
      </c>
      <c r="S1760">
        <v>21.340000152587901</v>
      </c>
      <c r="T1760">
        <v>65.299713134765597</v>
      </c>
      <c r="U1760">
        <v>41.821468353271499</v>
      </c>
      <c r="V1760">
        <v>-319000</v>
      </c>
      <c r="W1760">
        <v>-1.1828130483627299</v>
      </c>
      <c r="X1760">
        <v>-7.0000000298023196E-2</v>
      </c>
      <c r="Y1760" t="s">
        <v>27</v>
      </c>
      <c r="Z1760">
        <v>2.0136520862579301</v>
      </c>
      <c r="AA1760">
        <v>18840000</v>
      </c>
      <c r="AB1760" t="s">
        <v>73</v>
      </c>
      <c r="AC1760" t="s">
        <v>74</v>
      </c>
      <c r="AD1760">
        <v>0.17000000178813901</v>
      </c>
      <c r="AE1760">
        <v>43.439010620117202</v>
      </c>
      <c r="AF1760">
        <v>16.177258196292001</v>
      </c>
      <c r="AG1760">
        <v>20780000</v>
      </c>
      <c r="AH1760">
        <v>27.9851894378662</v>
      </c>
      <c r="AI1760">
        <v>-0.29507899284362799</v>
      </c>
    </row>
    <row r="1761" spans="1:35">
      <c r="A1761">
        <f t="shared" si="240"/>
        <v>0</v>
      </c>
      <c r="B1761">
        <f t="shared" si="241"/>
        <v>0</v>
      </c>
      <c r="C1761">
        <f t="shared" si="242"/>
        <v>0</v>
      </c>
      <c r="D1761">
        <f t="shared" si="243"/>
        <v>0</v>
      </c>
      <c r="E1761">
        <f t="shared" si="244"/>
        <v>0</v>
      </c>
      <c r="F1761">
        <f t="shared" si="245"/>
        <v>1</v>
      </c>
      <c r="G1761">
        <f t="shared" si="246"/>
        <v>0</v>
      </c>
      <c r="H1761">
        <v>0</v>
      </c>
      <c r="I1761">
        <f t="shared" si="247"/>
        <v>0</v>
      </c>
      <c r="J1761">
        <f t="shared" si="239"/>
        <v>8.4858272075653112</v>
      </c>
      <c r="K1761" t="s">
        <v>2726</v>
      </c>
      <c r="L1761" t="s">
        <v>2727</v>
      </c>
      <c r="M1761" t="s">
        <v>27</v>
      </c>
      <c r="N1761" t="s">
        <v>27</v>
      </c>
      <c r="O1761">
        <v>3.51</v>
      </c>
      <c r="P1761">
        <v>13.547061920166</v>
      </c>
      <c r="Q1761">
        <v>5.0611691474914604</v>
      </c>
      <c r="R1761">
        <v>10.7399997711182</v>
      </c>
      <c r="S1761">
        <v>42.5</v>
      </c>
      <c r="T1761">
        <v>0</v>
      </c>
      <c r="U1761">
        <v>76.442276000976605</v>
      </c>
      <c r="V1761">
        <v>-1166000</v>
      </c>
      <c r="W1761">
        <v>10.291467666626</v>
      </c>
      <c r="X1761">
        <v>0.20000000298023199</v>
      </c>
      <c r="Y1761">
        <v>1.75648701190948</v>
      </c>
      <c r="Z1761">
        <v>3.4246580600738499</v>
      </c>
      <c r="AA1761">
        <v>13934000</v>
      </c>
      <c r="AB1761" t="s">
        <v>27</v>
      </c>
      <c r="AC1761" t="s">
        <v>27</v>
      </c>
      <c r="AD1761">
        <v>-0.140000000596046</v>
      </c>
      <c r="AE1761">
        <v>71.837013244628906</v>
      </c>
      <c r="AF1761">
        <v>11.778602696426001</v>
      </c>
      <c r="AG1761">
        <v>14906000</v>
      </c>
      <c r="AH1761">
        <v>0</v>
      </c>
      <c r="AI1761">
        <v>2.9150950908660902</v>
      </c>
    </row>
    <row r="1762" spans="1:35">
      <c r="A1762">
        <f t="shared" si="240"/>
        <v>1</v>
      </c>
      <c r="B1762">
        <f t="shared" si="241"/>
        <v>1</v>
      </c>
      <c r="C1762">
        <f t="shared" si="242"/>
        <v>1</v>
      </c>
      <c r="D1762">
        <f t="shared" si="243"/>
        <v>1</v>
      </c>
      <c r="E1762">
        <f t="shared" si="244"/>
        <v>0</v>
      </c>
      <c r="F1762">
        <f t="shared" si="245"/>
        <v>1</v>
      </c>
      <c r="G1762">
        <f t="shared" si="246"/>
        <v>0</v>
      </c>
      <c r="H1762">
        <v>0</v>
      </c>
      <c r="I1762">
        <f t="shared" si="247"/>
        <v>1</v>
      </c>
      <c r="J1762">
        <f t="shared" si="239"/>
        <v>8.4468541145324707</v>
      </c>
      <c r="K1762" t="s">
        <v>3324</v>
      </c>
      <c r="L1762" t="s">
        <v>3325</v>
      </c>
      <c r="M1762" t="s">
        <v>27</v>
      </c>
      <c r="N1762" t="s">
        <v>27</v>
      </c>
      <c r="O1762">
        <v>30.74</v>
      </c>
      <c r="P1762">
        <v>3.4427330493927002</v>
      </c>
      <c r="Q1762">
        <v>3.9796600341796902</v>
      </c>
      <c r="R1762">
        <v>27.690000534057599</v>
      </c>
      <c r="S1762">
        <v>16.5</v>
      </c>
      <c r="T1762">
        <v>15.100983619689901</v>
      </c>
      <c r="U1762" t="s">
        <v>27</v>
      </c>
      <c r="V1762">
        <v>4943000</v>
      </c>
      <c r="W1762">
        <v>0.70776700973510698</v>
      </c>
      <c r="X1762">
        <v>0.230000004172325</v>
      </c>
      <c r="Y1762">
        <v>4.8639998435974103</v>
      </c>
      <c r="Z1762">
        <v>4.4671940803527797</v>
      </c>
      <c r="AA1762">
        <v>7854000</v>
      </c>
      <c r="AB1762" t="s">
        <v>34</v>
      </c>
      <c r="AC1762" t="s">
        <v>35</v>
      </c>
      <c r="AD1762">
        <v>0.25</v>
      </c>
      <c r="AE1762" t="s">
        <v>27</v>
      </c>
      <c r="AF1762" t="s">
        <v>27</v>
      </c>
      <c r="AG1762">
        <v>7831000</v>
      </c>
      <c r="AH1762">
        <v>12.530581474304199</v>
      </c>
      <c r="AI1762">
        <v>0.86695301532745395</v>
      </c>
    </row>
    <row r="1763" spans="1:35">
      <c r="A1763">
        <f t="shared" si="240"/>
        <v>1</v>
      </c>
      <c r="B1763">
        <f t="shared" si="241"/>
        <v>0</v>
      </c>
      <c r="C1763">
        <f t="shared" si="242"/>
        <v>1</v>
      </c>
      <c r="D1763">
        <f t="shared" si="243"/>
        <v>0</v>
      </c>
      <c r="E1763">
        <f t="shared" si="244"/>
        <v>0</v>
      </c>
      <c r="F1763">
        <f t="shared" si="245"/>
        <v>1</v>
      </c>
      <c r="G1763">
        <f t="shared" si="246"/>
        <v>0</v>
      </c>
      <c r="H1763">
        <v>0</v>
      </c>
      <c r="I1763">
        <f t="shared" si="247"/>
        <v>0</v>
      </c>
      <c r="J1763">
        <f t="shared" si="239"/>
        <v>8.4452660083770805</v>
      </c>
      <c r="K1763" t="s">
        <v>887</v>
      </c>
      <c r="L1763" t="s">
        <v>888</v>
      </c>
      <c r="M1763" t="s">
        <v>27</v>
      </c>
      <c r="N1763" t="s">
        <v>27</v>
      </c>
      <c r="O1763">
        <v>2.5</v>
      </c>
      <c r="P1763" t="s">
        <v>27</v>
      </c>
      <c r="Q1763">
        <v>2.77218890190125</v>
      </c>
      <c r="R1763">
        <v>10.3500003814697</v>
      </c>
      <c r="S1763">
        <v>9</v>
      </c>
      <c r="T1763">
        <v>54.9832153320313</v>
      </c>
      <c r="U1763">
        <v>26.705278396606399</v>
      </c>
      <c r="V1763">
        <v>28290000</v>
      </c>
      <c r="W1763">
        <v>2.2374539375305198</v>
      </c>
      <c r="X1763">
        <v>0.31000000238418601</v>
      </c>
      <c r="Y1763">
        <v>10.396312713623001</v>
      </c>
      <c r="Z1763">
        <v>5.6730771064758301</v>
      </c>
      <c r="AA1763">
        <v>14896000</v>
      </c>
      <c r="AB1763" t="s">
        <v>61</v>
      </c>
      <c r="AC1763" t="s">
        <v>101</v>
      </c>
      <c r="AD1763">
        <v>-9.00000035762787E-2</v>
      </c>
      <c r="AE1763">
        <v>25.455762863159201</v>
      </c>
      <c r="AF1763">
        <v>7.5059570779506304</v>
      </c>
      <c r="AG1763">
        <v>14895000</v>
      </c>
      <c r="AH1763">
        <v>50.357517242431598</v>
      </c>
      <c r="AI1763">
        <v>2.0535519123077401</v>
      </c>
    </row>
    <row r="1764" spans="1:35">
      <c r="A1764">
        <f t="shared" si="240"/>
        <v>1</v>
      </c>
      <c r="B1764">
        <f t="shared" si="241"/>
        <v>0</v>
      </c>
      <c r="C1764">
        <f t="shared" si="242"/>
        <v>1</v>
      </c>
      <c r="D1764">
        <f t="shared" si="243"/>
        <v>0</v>
      </c>
      <c r="E1764">
        <f t="shared" si="244"/>
        <v>0</v>
      </c>
      <c r="F1764">
        <f t="shared" si="245"/>
        <v>1</v>
      </c>
      <c r="G1764">
        <f t="shared" si="246"/>
        <v>0</v>
      </c>
      <c r="H1764">
        <v>0</v>
      </c>
      <c r="I1764">
        <f t="shared" si="247"/>
        <v>0</v>
      </c>
      <c r="J1764">
        <f t="shared" si="239"/>
        <v>8.3837350606918299</v>
      </c>
      <c r="K1764" t="s">
        <v>3141</v>
      </c>
      <c r="L1764" t="s">
        <v>3142</v>
      </c>
      <c r="M1764" t="s">
        <v>27</v>
      </c>
      <c r="N1764" t="s">
        <v>27</v>
      </c>
      <c r="O1764">
        <v>5.85</v>
      </c>
      <c r="P1764">
        <v>6.9155330657959002</v>
      </c>
      <c r="Q1764">
        <v>1.71706902980804</v>
      </c>
      <c r="R1764">
        <v>10.1000003814697</v>
      </c>
      <c r="S1764">
        <v>11.569999694824199</v>
      </c>
      <c r="T1764">
        <v>30.733230590820298</v>
      </c>
      <c r="U1764">
        <v>33.043930053710902</v>
      </c>
      <c r="V1764">
        <v>10319001</v>
      </c>
      <c r="W1764">
        <v>3.4959020614624001</v>
      </c>
      <c r="X1764">
        <v>0.37999999523162797</v>
      </c>
      <c r="Y1764">
        <v>13.4031410217285</v>
      </c>
      <c r="Z1764">
        <v>6.66666603088379</v>
      </c>
      <c r="AA1764">
        <v>62157000</v>
      </c>
      <c r="AB1764" t="s">
        <v>27</v>
      </c>
      <c r="AC1764" t="s">
        <v>27</v>
      </c>
      <c r="AD1764">
        <v>-0.79000002145767201</v>
      </c>
      <c r="AE1764">
        <v>26.115928649902301</v>
      </c>
      <c r="AF1764">
        <v>8.9880832277860101</v>
      </c>
      <c r="AG1764">
        <v>58436000</v>
      </c>
      <c r="AH1764">
        <v>11.4708042144775</v>
      </c>
      <c r="AI1764">
        <v>3.0282070636749299</v>
      </c>
    </row>
    <row r="1765" spans="1:35">
      <c r="A1765">
        <f t="shared" si="240"/>
        <v>0</v>
      </c>
      <c r="B1765">
        <f t="shared" si="241"/>
        <v>0</v>
      </c>
      <c r="C1765">
        <f t="shared" si="242"/>
        <v>1</v>
      </c>
      <c r="D1765">
        <f t="shared" si="243"/>
        <v>0</v>
      </c>
      <c r="E1765">
        <f t="shared" si="244"/>
        <v>0</v>
      </c>
      <c r="F1765">
        <f t="shared" si="245"/>
        <v>1</v>
      </c>
      <c r="G1765">
        <f t="shared" si="246"/>
        <v>0</v>
      </c>
      <c r="H1765">
        <v>0</v>
      </c>
      <c r="I1765">
        <f t="shared" si="247"/>
        <v>1</v>
      </c>
      <c r="J1765">
        <f t="shared" si="239"/>
        <v>8.3590989112854004</v>
      </c>
      <c r="K1765" t="s">
        <v>927</v>
      </c>
      <c r="L1765" t="s">
        <v>928</v>
      </c>
      <c r="M1765" t="s">
        <v>27</v>
      </c>
      <c r="N1765" t="s">
        <v>27</v>
      </c>
      <c r="O1765">
        <v>39.9</v>
      </c>
      <c r="P1765" t="s">
        <v>27</v>
      </c>
      <c r="Q1765">
        <v>2.5672440528869598</v>
      </c>
      <c r="R1765">
        <v>28.940000534057599</v>
      </c>
      <c r="S1765">
        <v>20</v>
      </c>
      <c r="T1765">
        <v>16.8807582855225</v>
      </c>
      <c r="U1765" t="s">
        <v>27</v>
      </c>
      <c r="V1765">
        <v>3058999.75</v>
      </c>
      <c r="W1765">
        <v>0.749459028244019</v>
      </c>
      <c r="X1765">
        <v>0.40000000596046398</v>
      </c>
      <c r="Y1765" t="s">
        <v>27</v>
      </c>
      <c r="Z1765">
        <v>5.7918548583984402</v>
      </c>
      <c r="AA1765">
        <v>10378000</v>
      </c>
      <c r="AB1765" t="s">
        <v>27</v>
      </c>
      <c r="AC1765" t="s">
        <v>27</v>
      </c>
      <c r="AD1765">
        <v>0</v>
      </c>
      <c r="AE1765" t="s">
        <v>27</v>
      </c>
      <c r="AF1765" t="s">
        <v>27</v>
      </c>
      <c r="AG1765">
        <v>10439000</v>
      </c>
      <c r="AH1765">
        <v>23.028572082519499</v>
      </c>
      <c r="AI1765">
        <v>0.56120800971984897</v>
      </c>
    </row>
    <row r="1766" spans="1:35">
      <c r="A1766">
        <f t="shared" si="240"/>
        <v>0</v>
      </c>
      <c r="B1766">
        <f t="shared" si="241"/>
        <v>0</v>
      </c>
      <c r="C1766">
        <f t="shared" si="242"/>
        <v>0</v>
      </c>
      <c r="D1766">
        <f t="shared" si="243"/>
        <v>0</v>
      </c>
      <c r="E1766">
        <f t="shared" si="244"/>
        <v>0</v>
      </c>
      <c r="F1766">
        <f t="shared" si="245"/>
        <v>1</v>
      </c>
      <c r="G1766">
        <f t="shared" si="246"/>
        <v>0</v>
      </c>
      <c r="H1766">
        <v>0</v>
      </c>
      <c r="I1766">
        <f t="shared" si="247"/>
        <v>0</v>
      </c>
      <c r="J1766">
        <f t="shared" si="239"/>
        <v>8.2959319353103709</v>
      </c>
      <c r="K1766" t="s">
        <v>1910</v>
      </c>
      <c r="L1766" t="s">
        <v>1911</v>
      </c>
      <c r="M1766" t="s">
        <v>27</v>
      </c>
      <c r="N1766" t="s">
        <v>27</v>
      </c>
      <c r="O1766">
        <v>39.15</v>
      </c>
      <c r="P1766">
        <v>1.9627599716186499</v>
      </c>
      <c r="Q1766">
        <v>1.6292649507522601</v>
      </c>
      <c r="R1766">
        <v>42.5</v>
      </c>
      <c r="S1766">
        <v>30.25</v>
      </c>
      <c r="T1766">
        <v>70.709465026855497</v>
      </c>
      <c r="U1766" t="s">
        <v>27</v>
      </c>
      <c r="V1766">
        <v>-10975000</v>
      </c>
      <c r="W1766">
        <v>2.2388720512390101</v>
      </c>
      <c r="X1766">
        <v>0.62000000476837203</v>
      </c>
      <c r="Y1766">
        <v>8.5209302902221697</v>
      </c>
      <c r="Z1766">
        <v>6.6666669845581099</v>
      </c>
      <c r="AA1766">
        <v>24520000</v>
      </c>
      <c r="AB1766" t="s">
        <v>27</v>
      </c>
      <c r="AC1766" t="s">
        <v>27</v>
      </c>
      <c r="AD1766">
        <v>0.43000000715255698</v>
      </c>
      <c r="AE1766" t="s">
        <v>27</v>
      </c>
      <c r="AF1766">
        <v>29.716012058436998</v>
      </c>
      <c r="AG1766">
        <v>26933000</v>
      </c>
      <c r="AH1766">
        <v>74.338188171386705</v>
      </c>
      <c r="AI1766">
        <v>1.60432004928589</v>
      </c>
    </row>
    <row r="1767" spans="1:35">
      <c r="A1767">
        <f t="shared" si="240"/>
        <v>1</v>
      </c>
      <c r="B1767">
        <f t="shared" si="241"/>
        <v>0</v>
      </c>
      <c r="C1767">
        <f t="shared" si="242"/>
        <v>0</v>
      </c>
      <c r="D1767">
        <f t="shared" si="243"/>
        <v>0</v>
      </c>
      <c r="E1767">
        <f t="shared" si="244"/>
        <v>0</v>
      </c>
      <c r="F1767">
        <f t="shared" si="245"/>
        <v>1</v>
      </c>
      <c r="G1767">
        <f t="shared" si="246"/>
        <v>0</v>
      </c>
      <c r="H1767">
        <v>0</v>
      </c>
      <c r="I1767">
        <f t="shared" si="247"/>
        <v>0</v>
      </c>
      <c r="J1767">
        <f t="shared" si="239"/>
        <v>8.2476511001586896</v>
      </c>
      <c r="K1767" t="s">
        <v>598</v>
      </c>
      <c r="L1767" t="s">
        <v>599</v>
      </c>
      <c r="M1767" t="s">
        <v>27</v>
      </c>
      <c r="N1767" t="s">
        <v>27</v>
      </c>
      <c r="O1767">
        <v>5.28</v>
      </c>
      <c r="P1767">
        <v>10.7544240951538</v>
      </c>
      <c r="Q1767">
        <v>4.7693901062011701</v>
      </c>
      <c r="R1767">
        <v>12.3500003814697</v>
      </c>
      <c r="S1767">
        <v>13.9700002670288</v>
      </c>
      <c r="T1767">
        <v>63.629314422607401</v>
      </c>
      <c r="U1767">
        <v>23.318157196044901</v>
      </c>
      <c r="V1767">
        <v>-404999.71875</v>
      </c>
      <c r="W1767">
        <v>7.0435948371887198</v>
      </c>
      <c r="X1767">
        <v>0.37999999523162797</v>
      </c>
      <c r="Y1767">
        <v>12.017778396606399</v>
      </c>
      <c r="Z1767">
        <v>3.47826099395752</v>
      </c>
      <c r="AA1767">
        <v>34527000</v>
      </c>
      <c r="AB1767" t="s">
        <v>27</v>
      </c>
      <c r="AC1767" t="s">
        <v>27</v>
      </c>
      <c r="AD1767">
        <v>-1.9999999552965199E-2</v>
      </c>
      <c r="AE1767">
        <v>12.1612186431885</v>
      </c>
      <c r="AF1767">
        <v>8.7451928282244094</v>
      </c>
      <c r="AG1767">
        <v>34764000</v>
      </c>
      <c r="AH1767">
        <v>62.584659576416001</v>
      </c>
      <c r="AI1767">
        <v>4.6377577781677202</v>
      </c>
    </row>
    <row r="1768" spans="1:35">
      <c r="A1768">
        <f t="shared" si="240"/>
        <v>1</v>
      </c>
      <c r="B1768">
        <f t="shared" si="241"/>
        <v>0</v>
      </c>
      <c r="C1768">
        <f t="shared" si="242"/>
        <v>1</v>
      </c>
      <c r="D1768">
        <f t="shared" si="243"/>
        <v>0</v>
      </c>
      <c r="E1768">
        <f t="shared" si="244"/>
        <v>0</v>
      </c>
      <c r="F1768">
        <f t="shared" si="245"/>
        <v>1</v>
      </c>
      <c r="G1768">
        <f t="shared" si="246"/>
        <v>1</v>
      </c>
      <c r="H1768">
        <v>0</v>
      </c>
      <c r="I1768">
        <f t="shared" si="247"/>
        <v>0</v>
      </c>
      <c r="J1768">
        <f t="shared" si="239"/>
        <v>8.1208038330078089</v>
      </c>
      <c r="K1768" t="s">
        <v>1945</v>
      </c>
      <c r="L1768" t="s">
        <v>1946</v>
      </c>
      <c r="M1768" t="s">
        <v>27</v>
      </c>
      <c r="N1768" t="s">
        <v>27</v>
      </c>
      <c r="O1768">
        <v>8.09</v>
      </c>
      <c r="P1768">
        <v>5.7348709106445304</v>
      </c>
      <c r="Q1768">
        <v>4.31127977371216</v>
      </c>
      <c r="R1768">
        <v>18.299999237060501</v>
      </c>
      <c r="S1768">
        <v>16.850000381469702</v>
      </c>
      <c r="T1768">
        <v>1.8070219755172701</v>
      </c>
      <c r="U1768">
        <v>29.911548614501999</v>
      </c>
      <c r="V1768">
        <v>23531000</v>
      </c>
      <c r="W1768">
        <v>14.960889816284199</v>
      </c>
      <c r="X1768">
        <v>0.119999997317791</v>
      </c>
      <c r="Y1768">
        <v>2.6436779499053999</v>
      </c>
      <c r="Z1768">
        <v>3.8095240592956499</v>
      </c>
      <c r="AA1768">
        <v>68940136</v>
      </c>
      <c r="AB1768" t="s">
        <v>27</v>
      </c>
      <c r="AC1768" t="s">
        <v>27</v>
      </c>
      <c r="AD1768">
        <v>7.9999998211860698E-2</v>
      </c>
      <c r="AE1768">
        <v>30.660047531127901</v>
      </c>
      <c r="AF1768">
        <v>9.8257088057122193</v>
      </c>
      <c r="AG1768">
        <v>68087000</v>
      </c>
      <c r="AH1768">
        <v>0.55794197320938099</v>
      </c>
      <c r="AI1768">
        <v>4.1416177749633798</v>
      </c>
    </row>
    <row r="1769" spans="1:35">
      <c r="A1769">
        <f t="shared" si="240"/>
        <v>0</v>
      </c>
      <c r="B1769">
        <f t="shared" si="241"/>
        <v>1</v>
      </c>
      <c r="C1769">
        <f t="shared" si="242"/>
        <v>1</v>
      </c>
      <c r="D1769">
        <f t="shared" si="243"/>
        <v>1</v>
      </c>
      <c r="E1769">
        <f t="shared" si="244"/>
        <v>0</v>
      </c>
      <c r="F1769">
        <f t="shared" si="245"/>
        <v>1</v>
      </c>
      <c r="G1769">
        <f t="shared" si="246"/>
        <v>1</v>
      </c>
      <c r="H1769">
        <v>0</v>
      </c>
      <c r="I1769">
        <f t="shared" si="247"/>
        <v>0</v>
      </c>
      <c r="J1769">
        <f t="shared" si="239"/>
        <v>8.0344290733337402</v>
      </c>
      <c r="K1769" t="s">
        <v>729</v>
      </c>
      <c r="L1769" t="s">
        <v>730</v>
      </c>
      <c r="M1769" t="s">
        <v>27</v>
      </c>
      <c r="N1769" t="s">
        <v>27</v>
      </c>
      <c r="O1769">
        <v>20.861000000000001</v>
      </c>
      <c r="P1769">
        <v>4.6873350143432599</v>
      </c>
      <c r="Q1769">
        <v>1.79941701889038</v>
      </c>
      <c r="R1769">
        <v>19.5</v>
      </c>
      <c r="S1769">
        <v>8.375</v>
      </c>
      <c r="T1769">
        <v>0</v>
      </c>
      <c r="U1769">
        <v>64.182571411132798</v>
      </c>
      <c r="V1769">
        <v>8056000</v>
      </c>
      <c r="W1769">
        <v>0.94578802585601796</v>
      </c>
      <c r="X1769">
        <v>0.10000000149011599</v>
      </c>
      <c r="Y1769">
        <v>9.8277149200439506</v>
      </c>
      <c r="Z1769">
        <v>6.2350120544433603</v>
      </c>
      <c r="AA1769">
        <v>24982000</v>
      </c>
      <c r="AB1769" t="s">
        <v>27</v>
      </c>
      <c r="AC1769" t="s">
        <v>27</v>
      </c>
      <c r="AD1769">
        <v>0.28999999165535001</v>
      </c>
      <c r="AE1769">
        <v>64.846519470214801</v>
      </c>
      <c r="AF1769">
        <v>3.7241233288705202</v>
      </c>
      <c r="AG1769">
        <v>24059000</v>
      </c>
      <c r="AH1769">
        <v>0</v>
      </c>
      <c r="AI1769">
        <v>3.1551480293273899</v>
      </c>
    </row>
    <row r="1770" spans="1:35">
      <c r="A1770">
        <f t="shared" si="240"/>
        <v>0</v>
      </c>
      <c r="B1770">
        <f t="shared" si="241"/>
        <v>0</v>
      </c>
      <c r="C1770">
        <f t="shared" si="242"/>
        <v>1</v>
      </c>
      <c r="D1770">
        <f t="shared" si="243"/>
        <v>0</v>
      </c>
      <c r="E1770">
        <f t="shared" si="244"/>
        <v>0</v>
      </c>
      <c r="F1770">
        <f t="shared" si="245"/>
        <v>1</v>
      </c>
      <c r="G1770">
        <f t="shared" si="246"/>
        <v>0</v>
      </c>
      <c r="H1770">
        <v>0</v>
      </c>
      <c r="I1770">
        <f t="shared" si="247"/>
        <v>0</v>
      </c>
      <c r="J1770">
        <f t="shared" si="239"/>
        <v>8.0118179321289098</v>
      </c>
      <c r="K1770" t="s">
        <v>1121</v>
      </c>
      <c r="L1770" t="s">
        <v>1122</v>
      </c>
      <c r="M1770" t="s">
        <v>27</v>
      </c>
      <c r="N1770" t="s">
        <v>27</v>
      </c>
      <c r="O1770">
        <v>13.8</v>
      </c>
      <c r="P1770">
        <v>3.2307000160217298</v>
      </c>
      <c r="Q1770">
        <v>2.8143129348754901</v>
      </c>
      <c r="R1770">
        <v>19.340000152587901</v>
      </c>
      <c r="S1770">
        <v>31.809999465942401</v>
      </c>
      <c r="T1770">
        <v>39.252029418945298</v>
      </c>
      <c r="U1770">
        <v>65.654273986816406</v>
      </c>
      <c r="V1770">
        <v>88800008</v>
      </c>
      <c r="W1770">
        <v>3.67004299163818</v>
      </c>
      <c r="X1770">
        <v>1.03999996185303</v>
      </c>
      <c r="Y1770">
        <v>6.5513229370117196</v>
      </c>
      <c r="Z1770">
        <v>5.1975049972534197</v>
      </c>
      <c r="AA1770">
        <v>57439000</v>
      </c>
      <c r="AB1770" t="s">
        <v>27</v>
      </c>
      <c r="AC1770" t="s">
        <v>27</v>
      </c>
      <c r="AD1770">
        <v>0.40000000596046398</v>
      </c>
      <c r="AE1770">
        <v>61.643833160400398</v>
      </c>
      <c r="AF1770">
        <v>5.9802453745800896</v>
      </c>
      <c r="AG1770">
        <v>55888000</v>
      </c>
      <c r="AH1770">
        <v>40.628044128417997</v>
      </c>
      <c r="AI1770">
        <v>3.2482149600982702</v>
      </c>
    </row>
    <row r="1771" spans="1:35">
      <c r="A1771">
        <f t="shared" si="240"/>
        <v>1</v>
      </c>
      <c r="B1771">
        <f t="shared" si="241"/>
        <v>0</v>
      </c>
      <c r="C1771">
        <f t="shared" si="242"/>
        <v>1</v>
      </c>
      <c r="D1771">
        <f t="shared" si="243"/>
        <v>0</v>
      </c>
      <c r="E1771">
        <f t="shared" si="244"/>
        <v>0</v>
      </c>
      <c r="F1771">
        <f t="shared" si="245"/>
        <v>1</v>
      </c>
      <c r="G1771">
        <f t="shared" si="246"/>
        <v>0</v>
      </c>
      <c r="H1771">
        <v>0</v>
      </c>
      <c r="I1771">
        <f t="shared" si="247"/>
        <v>0</v>
      </c>
      <c r="J1771">
        <f t="shared" si="239"/>
        <v>7.9648091793060303</v>
      </c>
      <c r="K1771" t="s">
        <v>2296</v>
      </c>
      <c r="L1771" t="s">
        <v>2297</v>
      </c>
      <c r="M1771" t="s">
        <v>27</v>
      </c>
      <c r="N1771" t="s">
        <v>27</v>
      </c>
      <c r="O1771">
        <v>16.2</v>
      </c>
      <c r="P1771">
        <v>8.6478662490844709</v>
      </c>
      <c r="Q1771">
        <v>3.9235360622406001</v>
      </c>
      <c r="R1771">
        <v>25.350000381469702</v>
      </c>
      <c r="S1771">
        <v>25.6875</v>
      </c>
      <c r="T1771">
        <v>18.672910690307599</v>
      </c>
      <c r="U1771">
        <v>26.720436096191399</v>
      </c>
      <c r="V1771">
        <v>27444002</v>
      </c>
      <c r="W1771">
        <v>7.0826702117919904</v>
      </c>
      <c r="X1771">
        <v>0.62999999523162797</v>
      </c>
      <c r="Y1771">
        <v>6.8604569435119602</v>
      </c>
      <c r="Z1771">
        <v>4.0412731170654297</v>
      </c>
      <c r="AA1771">
        <v>29280000</v>
      </c>
      <c r="AB1771" t="s">
        <v>30</v>
      </c>
      <c r="AC1771" t="s">
        <v>1457</v>
      </c>
      <c r="AD1771">
        <v>0.20999999344348899</v>
      </c>
      <c r="AE1771">
        <v>23.7477130889893</v>
      </c>
      <c r="AF1771" t="s">
        <v>27</v>
      </c>
      <c r="AG1771">
        <v>33161000</v>
      </c>
      <c r="AH1771">
        <v>17.891647338867202</v>
      </c>
      <c r="AI1771">
        <v>5.5484251976013201</v>
      </c>
    </row>
    <row r="1772" spans="1:35">
      <c r="A1772">
        <f t="shared" si="240"/>
        <v>1</v>
      </c>
      <c r="B1772">
        <f t="shared" si="241"/>
        <v>0</v>
      </c>
      <c r="C1772">
        <f t="shared" si="242"/>
        <v>1</v>
      </c>
      <c r="D1772">
        <f t="shared" si="243"/>
        <v>1</v>
      </c>
      <c r="E1772">
        <f t="shared" si="244"/>
        <v>0</v>
      </c>
      <c r="F1772">
        <f t="shared" si="245"/>
        <v>1</v>
      </c>
      <c r="G1772">
        <f t="shared" si="246"/>
        <v>1</v>
      </c>
      <c r="H1772">
        <v>0</v>
      </c>
      <c r="I1772">
        <f t="shared" si="247"/>
        <v>0</v>
      </c>
      <c r="J1772">
        <f t="shared" si="239"/>
        <v>7.9389369487762398</v>
      </c>
      <c r="K1772" t="s">
        <v>3891</v>
      </c>
      <c r="L1772" t="s">
        <v>3892</v>
      </c>
      <c r="M1772" t="s">
        <v>27</v>
      </c>
      <c r="N1772" t="s">
        <v>27</v>
      </c>
      <c r="O1772">
        <v>15.17</v>
      </c>
      <c r="P1772">
        <v>6.13527584075928</v>
      </c>
      <c r="Q1772">
        <v>4.2902879714965803</v>
      </c>
      <c r="R1772">
        <v>14.7799997329712</v>
      </c>
      <c r="S1772">
        <v>9.6000003814697301</v>
      </c>
      <c r="T1772">
        <v>27.876398086547901</v>
      </c>
      <c r="U1772">
        <v>12.3797197341919</v>
      </c>
      <c r="V1772">
        <v>16254000</v>
      </c>
      <c r="W1772">
        <v>5.6028518676757804</v>
      </c>
      <c r="X1772">
        <v>7.9999998211860698E-2</v>
      </c>
      <c r="Y1772">
        <v>8.8163261413574201</v>
      </c>
      <c r="Z1772">
        <v>3.64864897727966</v>
      </c>
      <c r="AA1772">
        <v>85375000</v>
      </c>
      <c r="AB1772" t="s">
        <v>52</v>
      </c>
      <c r="AC1772" t="s">
        <v>56</v>
      </c>
      <c r="AD1772">
        <v>0.129999995231628</v>
      </c>
      <c r="AE1772">
        <v>14.9366798400879</v>
      </c>
      <c r="AF1772">
        <v>7.97465481624777</v>
      </c>
      <c r="AG1772">
        <v>85400000</v>
      </c>
      <c r="AH1772">
        <v>20.9530124664307</v>
      </c>
      <c r="AI1772">
        <v>2.2582850456237802</v>
      </c>
    </row>
    <row r="1773" spans="1:35">
      <c r="A1773">
        <f t="shared" si="240"/>
        <v>1</v>
      </c>
      <c r="B1773">
        <f t="shared" si="241"/>
        <v>1</v>
      </c>
      <c r="C1773">
        <f t="shared" si="242"/>
        <v>1</v>
      </c>
      <c r="D1773">
        <f t="shared" si="243"/>
        <v>1</v>
      </c>
      <c r="E1773">
        <f t="shared" si="244"/>
        <v>0</v>
      </c>
      <c r="F1773">
        <f t="shared" si="245"/>
        <v>1</v>
      </c>
      <c r="G1773">
        <f t="shared" si="246"/>
        <v>1</v>
      </c>
      <c r="H1773">
        <v>0</v>
      </c>
      <c r="I1773">
        <f t="shared" si="247"/>
        <v>0</v>
      </c>
      <c r="J1773">
        <f t="shared" si="239"/>
        <v>7.9070720672607404</v>
      </c>
      <c r="K1773" t="s">
        <v>422</v>
      </c>
      <c r="L1773" t="s">
        <v>423</v>
      </c>
      <c r="M1773" t="s">
        <v>27</v>
      </c>
      <c r="N1773" t="s">
        <v>27</v>
      </c>
      <c r="O1773">
        <v>5.5110000000000001</v>
      </c>
      <c r="P1773">
        <v>1.22027599811554</v>
      </c>
      <c r="Q1773">
        <v>4.5090141296386701</v>
      </c>
      <c r="R1773">
        <v>9.25</v>
      </c>
      <c r="S1773">
        <v>5.375</v>
      </c>
      <c r="T1773">
        <v>51.721511840820298</v>
      </c>
      <c r="U1773">
        <v>20.7797145843506</v>
      </c>
      <c r="V1773">
        <v>4161999.75</v>
      </c>
      <c r="W1773">
        <v>1.5464940071105999</v>
      </c>
      <c r="X1773">
        <v>-9.9999997764825804E-3</v>
      </c>
      <c r="Y1773">
        <v>0.142857000231743</v>
      </c>
      <c r="Z1773">
        <v>3.3980579376220699</v>
      </c>
      <c r="AA1773">
        <v>37751000</v>
      </c>
      <c r="AB1773" t="s">
        <v>73</v>
      </c>
      <c r="AC1773" t="s">
        <v>141</v>
      </c>
      <c r="AD1773">
        <v>2.6600000858306898</v>
      </c>
      <c r="AE1773">
        <v>35.399158477783203</v>
      </c>
      <c r="AF1773">
        <v>9.3682249587564801</v>
      </c>
      <c r="AG1773">
        <v>38059000</v>
      </c>
      <c r="AH1773">
        <v>26.307146072387699</v>
      </c>
      <c r="AI1773">
        <v>1.98746597766876</v>
      </c>
    </row>
    <row r="1774" spans="1:35">
      <c r="A1774">
        <f t="shared" si="240"/>
        <v>0</v>
      </c>
      <c r="B1774">
        <f t="shared" si="241"/>
        <v>1</v>
      </c>
      <c r="C1774">
        <f t="shared" si="242"/>
        <v>1</v>
      </c>
      <c r="D1774">
        <f t="shared" si="243"/>
        <v>1</v>
      </c>
      <c r="E1774">
        <f t="shared" si="244"/>
        <v>0</v>
      </c>
      <c r="F1774">
        <f t="shared" si="245"/>
        <v>1</v>
      </c>
      <c r="G1774">
        <f t="shared" si="246"/>
        <v>0</v>
      </c>
      <c r="H1774">
        <v>0</v>
      </c>
      <c r="I1774">
        <f t="shared" si="247"/>
        <v>1</v>
      </c>
      <c r="J1774">
        <f t="shared" si="239"/>
        <v>7.8717200756072998</v>
      </c>
      <c r="K1774" t="s">
        <v>3785</v>
      </c>
      <c r="L1774" t="s">
        <v>3786</v>
      </c>
      <c r="M1774" t="s">
        <v>27</v>
      </c>
      <c r="N1774" t="s">
        <v>27</v>
      </c>
      <c r="O1774">
        <v>28.93</v>
      </c>
      <c r="P1774">
        <v>1.6699630022048999</v>
      </c>
      <c r="Q1774">
        <v>1.8685610294342001</v>
      </c>
      <c r="R1774">
        <v>21.350000381469702</v>
      </c>
      <c r="S1774">
        <v>14.375</v>
      </c>
      <c r="T1774">
        <v>33.070381164550803</v>
      </c>
      <c r="U1774" t="s">
        <v>27</v>
      </c>
      <c r="V1774">
        <v>3617000.25</v>
      </c>
      <c r="W1774">
        <v>0.60257697105407704</v>
      </c>
      <c r="X1774">
        <v>0.28000000119209301</v>
      </c>
      <c r="Y1774">
        <v>5.5333328247070304</v>
      </c>
      <c r="Z1774">
        <v>6.0031590461731001</v>
      </c>
      <c r="AA1774">
        <v>5013000</v>
      </c>
      <c r="AB1774" t="s">
        <v>27</v>
      </c>
      <c r="AC1774" t="s">
        <v>27</v>
      </c>
      <c r="AD1774">
        <v>0.36000001430511502</v>
      </c>
      <c r="AE1774" t="s">
        <v>27</v>
      </c>
      <c r="AF1774" t="s">
        <v>27</v>
      </c>
      <c r="AG1774">
        <v>4977000</v>
      </c>
      <c r="AH1774">
        <v>39.071784973144503</v>
      </c>
      <c r="AI1774">
        <v>0.71387302875518799</v>
      </c>
    </row>
    <row r="1775" spans="1:35">
      <c r="A1775">
        <f t="shared" si="240"/>
        <v>0</v>
      </c>
      <c r="B1775">
        <f t="shared" si="241"/>
        <v>1</v>
      </c>
      <c r="C1775">
        <f t="shared" si="242"/>
        <v>1</v>
      </c>
      <c r="D1775">
        <f t="shared" si="243"/>
        <v>0</v>
      </c>
      <c r="E1775">
        <f t="shared" si="244"/>
        <v>0</v>
      </c>
      <c r="F1775">
        <f t="shared" si="245"/>
        <v>1</v>
      </c>
      <c r="G1775">
        <f t="shared" si="246"/>
        <v>0</v>
      </c>
      <c r="H1775">
        <v>0</v>
      </c>
      <c r="I1775">
        <f t="shared" si="247"/>
        <v>0</v>
      </c>
      <c r="J1775">
        <f t="shared" si="239"/>
        <v>7.7538540363311705</v>
      </c>
      <c r="K1775" t="s">
        <v>939</v>
      </c>
      <c r="L1775" t="s">
        <v>940</v>
      </c>
      <c r="M1775" t="s">
        <v>27</v>
      </c>
      <c r="N1775" t="s">
        <v>27</v>
      </c>
      <c r="O1775">
        <v>25.74</v>
      </c>
      <c r="P1775" t="s">
        <v>27</v>
      </c>
      <c r="Q1775">
        <v>4.7526531219482404</v>
      </c>
      <c r="R1775">
        <v>28.850000381469702</v>
      </c>
      <c r="S1775">
        <v>37.5</v>
      </c>
      <c r="T1775">
        <v>26.008220672607401</v>
      </c>
      <c r="U1775">
        <v>24.9928588867188</v>
      </c>
      <c r="V1775">
        <v>4492000</v>
      </c>
      <c r="W1775">
        <v>6.62046194076538</v>
      </c>
      <c r="X1775">
        <v>0.70999997854232799</v>
      </c>
      <c r="Y1775" t="s">
        <v>27</v>
      </c>
      <c r="Z1775">
        <v>3.0012009143829301</v>
      </c>
      <c r="AA1775">
        <v>10453000</v>
      </c>
      <c r="AB1775" t="s">
        <v>27</v>
      </c>
      <c r="AC1775" t="s">
        <v>27</v>
      </c>
      <c r="AD1775">
        <v>-0.769999980926514</v>
      </c>
      <c r="AE1775">
        <v>9.4771661758422905</v>
      </c>
      <c r="AF1775" t="s">
        <v>27</v>
      </c>
      <c r="AG1775">
        <v>10645000</v>
      </c>
      <c r="AH1775">
        <v>29.085161209106399</v>
      </c>
      <c r="AI1775">
        <v>7.3088698387145996</v>
      </c>
    </row>
    <row r="1776" spans="1:35">
      <c r="A1776">
        <f t="shared" si="240"/>
        <v>1</v>
      </c>
      <c r="B1776">
        <f t="shared" si="241"/>
        <v>0</v>
      </c>
      <c r="C1776">
        <f t="shared" si="242"/>
        <v>1</v>
      </c>
      <c r="D1776">
        <f t="shared" si="243"/>
        <v>0</v>
      </c>
      <c r="E1776">
        <f t="shared" si="244"/>
        <v>0</v>
      </c>
      <c r="F1776">
        <f t="shared" si="245"/>
        <v>1</v>
      </c>
      <c r="G1776">
        <f t="shared" si="246"/>
        <v>0</v>
      </c>
      <c r="H1776">
        <v>0</v>
      </c>
      <c r="I1776">
        <f t="shared" si="247"/>
        <v>0</v>
      </c>
      <c r="J1776">
        <f t="shared" si="239"/>
        <v>7.6396870613098198</v>
      </c>
      <c r="K1776" t="s">
        <v>966</v>
      </c>
      <c r="L1776" t="s">
        <v>967</v>
      </c>
      <c r="M1776" t="s">
        <v>27</v>
      </c>
      <c r="N1776" t="s">
        <v>27</v>
      </c>
      <c r="O1776">
        <v>16.77</v>
      </c>
      <c r="P1776">
        <v>6.2152080535888699</v>
      </c>
      <c r="Q1776">
        <v>2.9588360786438002</v>
      </c>
      <c r="R1776">
        <v>16.75</v>
      </c>
      <c r="S1776">
        <v>15.625</v>
      </c>
      <c r="T1776">
        <v>37.077949523925803</v>
      </c>
      <c r="U1776">
        <v>16.593849182128899</v>
      </c>
      <c r="V1776">
        <v>6465999.5</v>
      </c>
      <c r="W1776">
        <v>6.78212213516235</v>
      </c>
      <c r="X1776">
        <v>0.21999999880790699</v>
      </c>
      <c r="Y1776">
        <v>10.630872726440399</v>
      </c>
      <c r="Z1776">
        <v>4.6808509826660201</v>
      </c>
      <c r="AA1776">
        <v>13945000</v>
      </c>
      <c r="AB1776" t="s">
        <v>61</v>
      </c>
      <c r="AC1776" t="s">
        <v>234</v>
      </c>
      <c r="AD1776">
        <v>5.9999998658895499E-2</v>
      </c>
      <c r="AE1776">
        <v>15.1866264343262</v>
      </c>
      <c r="AF1776">
        <v>3.8183521347661902</v>
      </c>
      <c r="AG1776">
        <v>14020000</v>
      </c>
      <c r="AH1776">
        <v>32.758174896240199</v>
      </c>
      <c r="AI1776">
        <v>3.06654596328735</v>
      </c>
    </row>
    <row r="1777" spans="1:35">
      <c r="A1777">
        <f t="shared" si="240"/>
        <v>1</v>
      </c>
      <c r="B1777">
        <f t="shared" si="241"/>
        <v>0</v>
      </c>
      <c r="C1777">
        <f t="shared" si="242"/>
        <v>0</v>
      </c>
      <c r="D1777">
        <f t="shared" si="243"/>
        <v>0</v>
      </c>
      <c r="E1777">
        <f t="shared" si="244"/>
        <v>0</v>
      </c>
      <c r="F1777">
        <f t="shared" si="245"/>
        <v>1</v>
      </c>
      <c r="G1777">
        <f t="shared" si="246"/>
        <v>0</v>
      </c>
      <c r="H1777">
        <v>0</v>
      </c>
      <c r="I1777">
        <f t="shared" si="247"/>
        <v>1</v>
      </c>
      <c r="J1777">
        <f t="shared" si="239"/>
        <v>7.6190857887268102</v>
      </c>
      <c r="K1777" t="s">
        <v>3370</v>
      </c>
      <c r="L1777" t="s">
        <v>3371</v>
      </c>
      <c r="M1777" t="s">
        <v>27</v>
      </c>
      <c r="N1777" t="s">
        <v>27</v>
      </c>
      <c r="O1777">
        <v>18.62</v>
      </c>
      <c r="P1777">
        <v>3.3988409042358398</v>
      </c>
      <c r="Q1777">
        <v>2.4190859794616699</v>
      </c>
      <c r="R1777">
        <v>17</v>
      </c>
      <c r="S1777">
        <v>14.875</v>
      </c>
      <c r="T1777">
        <v>31.130708694458001</v>
      </c>
      <c r="U1777" t="s">
        <v>27</v>
      </c>
      <c r="V1777">
        <v>-15604000</v>
      </c>
      <c r="W1777">
        <v>1.3121039867401101</v>
      </c>
      <c r="X1777">
        <v>0.259999990463257</v>
      </c>
      <c r="Y1777">
        <v>7.6521739959716797</v>
      </c>
      <c r="Z1777">
        <v>5.1999998092651403</v>
      </c>
      <c r="AA1777">
        <v>6771000</v>
      </c>
      <c r="AB1777" t="s">
        <v>27</v>
      </c>
      <c r="AC1777" t="s">
        <v>27</v>
      </c>
      <c r="AD1777">
        <v>0.21999999880790699</v>
      </c>
      <c r="AE1777" t="s">
        <v>27</v>
      </c>
      <c r="AF1777" t="s">
        <v>27</v>
      </c>
      <c r="AG1777">
        <v>7151000</v>
      </c>
      <c r="AH1777">
        <v>26.421724319458001</v>
      </c>
      <c r="AI1777">
        <v>0.632241010665894</v>
      </c>
    </row>
    <row r="1778" spans="1:35">
      <c r="A1778">
        <f t="shared" si="240"/>
        <v>0</v>
      </c>
      <c r="B1778">
        <f t="shared" si="241"/>
        <v>1</v>
      </c>
      <c r="C1778">
        <f t="shared" si="242"/>
        <v>1</v>
      </c>
      <c r="D1778">
        <f t="shared" si="243"/>
        <v>0</v>
      </c>
      <c r="E1778">
        <f t="shared" si="244"/>
        <v>0</v>
      </c>
      <c r="F1778">
        <f t="shared" si="245"/>
        <v>1</v>
      </c>
      <c r="G1778">
        <f t="shared" si="246"/>
        <v>0</v>
      </c>
      <c r="H1778">
        <v>0</v>
      </c>
      <c r="I1778">
        <f t="shared" si="247"/>
        <v>0</v>
      </c>
      <c r="J1778">
        <f t="shared" si="239"/>
        <v>7.6076059341430593</v>
      </c>
      <c r="K1778" t="s">
        <v>1744</v>
      </c>
      <c r="L1778" t="s">
        <v>1745</v>
      </c>
      <c r="M1778" t="s">
        <v>27</v>
      </c>
      <c r="N1778" t="s">
        <v>27</v>
      </c>
      <c r="O1778">
        <v>20.05</v>
      </c>
      <c r="P1778">
        <v>7.2727642059326199</v>
      </c>
      <c r="Q1778">
        <v>4.7968268394470197</v>
      </c>
      <c r="R1778">
        <v>37.75</v>
      </c>
      <c r="S1778">
        <v>45.375</v>
      </c>
      <c r="T1778">
        <v>18.3148002624512</v>
      </c>
      <c r="U1778" t="s">
        <v>27</v>
      </c>
      <c r="V1778">
        <v>4000000.25</v>
      </c>
      <c r="W1778">
        <v>5.4928121566772496</v>
      </c>
      <c r="X1778">
        <v>0.20999999344348899</v>
      </c>
      <c r="Y1778">
        <v>1.1564359664917001</v>
      </c>
      <c r="Z1778">
        <v>2.81077909469604</v>
      </c>
      <c r="AA1778">
        <v>15670000</v>
      </c>
      <c r="AB1778" t="s">
        <v>27</v>
      </c>
      <c r="AC1778" t="s">
        <v>27</v>
      </c>
      <c r="AD1778">
        <v>-0.129999995231628</v>
      </c>
      <c r="AE1778">
        <v>65.799362182617202</v>
      </c>
      <c r="AF1778">
        <v>7.2286789609644098</v>
      </c>
      <c r="AG1778">
        <v>16080999</v>
      </c>
      <c r="AH1778">
        <v>26.222265243530298</v>
      </c>
      <c r="AI1778">
        <v>7.4736690521240199</v>
      </c>
    </row>
    <row r="1779" spans="1:35">
      <c r="A1779">
        <f t="shared" si="240"/>
        <v>1</v>
      </c>
      <c r="B1779">
        <f t="shared" si="241"/>
        <v>1</v>
      </c>
      <c r="C1779">
        <f t="shared" si="242"/>
        <v>1</v>
      </c>
      <c r="D1779">
        <f t="shared" si="243"/>
        <v>1</v>
      </c>
      <c r="E1779">
        <f t="shared" si="244"/>
        <v>0</v>
      </c>
      <c r="F1779">
        <f t="shared" si="245"/>
        <v>1</v>
      </c>
      <c r="G1779">
        <f t="shared" si="246"/>
        <v>0</v>
      </c>
      <c r="H1779">
        <v>0</v>
      </c>
      <c r="I1779">
        <f t="shared" si="247"/>
        <v>0</v>
      </c>
      <c r="J1779">
        <f t="shared" si="239"/>
        <v>7.5993492603302002</v>
      </c>
      <c r="K1779" t="s">
        <v>2961</v>
      </c>
      <c r="L1779" t="s">
        <v>2962</v>
      </c>
      <c r="M1779" t="s">
        <v>27</v>
      </c>
      <c r="N1779" t="s">
        <v>27</v>
      </c>
      <c r="O1779">
        <v>3</v>
      </c>
      <c r="P1779" t="s">
        <v>27</v>
      </c>
      <c r="Q1779">
        <v>3.1549050807952899</v>
      </c>
      <c r="R1779">
        <v>9.4499998092651403</v>
      </c>
      <c r="S1779">
        <v>5.9375</v>
      </c>
      <c r="T1779">
        <v>54.2484130859375</v>
      </c>
      <c r="U1779">
        <v>11.736296653747599</v>
      </c>
      <c r="V1779">
        <v>9367000</v>
      </c>
      <c r="W1779">
        <v>1.24650394916534</v>
      </c>
      <c r="X1779">
        <v>0.129999995231628</v>
      </c>
      <c r="Y1779">
        <v>13.8082189559937</v>
      </c>
      <c r="Z1779">
        <v>4.4444441795349103</v>
      </c>
      <c r="AA1779">
        <v>24320000</v>
      </c>
      <c r="AB1779" t="s">
        <v>27</v>
      </c>
      <c r="AC1779" t="s">
        <v>27</v>
      </c>
      <c r="AD1779">
        <v>0.140000000596046</v>
      </c>
      <c r="AE1779">
        <v>10.3677101135254</v>
      </c>
      <c r="AF1779">
        <v>8.2743758561958707</v>
      </c>
      <c r="AG1779">
        <v>24373000</v>
      </c>
      <c r="AH1779">
        <v>44.382354736328097</v>
      </c>
      <c r="AI1779">
        <v>2.6766440868377699</v>
      </c>
    </row>
    <row r="1780" spans="1:35">
      <c r="A1780">
        <f t="shared" si="240"/>
        <v>1</v>
      </c>
      <c r="B1780">
        <f t="shared" si="241"/>
        <v>0</v>
      </c>
      <c r="C1780">
        <f t="shared" si="242"/>
        <v>0</v>
      </c>
      <c r="D1780">
        <f t="shared" si="243"/>
        <v>0</v>
      </c>
      <c r="E1780">
        <f t="shared" si="244"/>
        <v>0</v>
      </c>
      <c r="F1780">
        <f t="shared" si="245"/>
        <v>1</v>
      </c>
      <c r="G1780">
        <f t="shared" si="246"/>
        <v>0</v>
      </c>
      <c r="H1780">
        <v>0</v>
      </c>
      <c r="I1780">
        <f t="shared" si="247"/>
        <v>0</v>
      </c>
      <c r="J1780">
        <f t="shared" si="239"/>
        <v>7.5987598896026594</v>
      </c>
      <c r="K1780" t="s">
        <v>2140</v>
      </c>
      <c r="L1780" t="s">
        <v>2141</v>
      </c>
      <c r="M1780" t="s">
        <v>27</v>
      </c>
      <c r="N1780" t="s">
        <v>27</v>
      </c>
      <c r="O1780">
        <v>13.8</v>
      </c>
      <c r="P1780">
        <v>4.1487250328064</v>
      </c>
      <c r="Q1780">
        <v>3.9296948909759499</v>
      </c>
      <c r="R1780">
        <v>15.6000003814697</v>
      </c>
      <c r="S1780">
        <v>14.5</v>
      </c>
      <c r="T1780">
        <v>44.998508453369098</v>
      </c>
      <c r="U1780">
        <v>55.727489471435497</v>
      </c>
      <c r="V1780">
        <v>-4773000</v>
      </c>
      <c r="W1780">
        <v>3.2287969589233398</v>
      </c>
      <c r="X1780">
        <v>0.140000000596046</v>
      </c>
      <c r="Y1780">
        <v>4.0336132049560502</v>
      </c>
      <c r="Z1780">
        <v>3.6690649986267099</v>
      </c>
      <c r="AA1780">
        <v>29134000</v>
      </c>
      <c r="AB1780" t="s">
        <v>30</v>
      </c>
      <c r="AC1780" t="s">
        <v>223</v>
      </c>
      <c r="AD1780">
        <v>7.0000000298023196E-2</v>
      </c>
      <c r="AE1780">
        <v>51.150218963622997</v>
      </c>
      <c r="AF1780">
        <v>7.2374065805426602</v>
      </c>
      <c r="AG1780">
        <v>29230000</v>
      </c>
      <c r="AH1780">
        <v>42.887645721435497</v>
      </c>
      <c r="AI1780">
        <v>2.9351511001586901</v>
      </c>
    </row>
    <row r="1781" spans="1:35">
      <c r="A1781">
        <f t="shared" si="240"/>
        <v>0</v>
      </c>
      <c r="B1781">
        <f t="shared" si="241"/>
        <v>1</v>
      </c>
      <c r="C1781">
        <f t="shared" si="242"/>
        <v>1</v>
      </c>
      <c r="D1781">
        <f t="shared" si="243"/>
        <v>0</v>
      </c>
      <c r="E1781">
        <f t="shared" si="244"/>
        <v>0</v>
      </c>
      <c r="F1781">
        <f t="shared" si="245"/>
        <v>1</v>
      </c>
      <c r="G1781">
        <f t="shared" si="246"/>
        <v>0</v>
      </c>
      <c r="H1781">
        <v>0</v>
      </c>
      <c r="I1781">
        <f t="shared" si="247"/>
        <v>0</v>
      </c>
      <c r="J1781">
        <f t="shared" si="239"/>
        <v>7.5784339904785192</v>
      </c>
      <c r="K1781" t="s">
        <v>867</v>
      </c>
      <c r="L1781" t="s">
        <v>868</v>
      </c>
      <c r="M1781" t="s">
        <v>27</v>
      </c>
      <c r="N1781" t="s">
        <v>27</v>
      </c>
      <c r="O1781">
        <v>21.27</v>
      </c>
      <c r="P1781" t="s">
        <v>27</v>
      </c>
      <c r="Q1781">
        <v>4.6732349395751998</v>
      </c>
      <c r="R1781">
        <v>24.100000381469702</v>
      </c>
      <c r="S1781">
        <v>26.296875</v>
      </c>
      <c r="T1781">
        <v>0</v>
      </c>
      <c r="U1781">
        <v>74.393760681152301</v>
      </c>
      <c r="V1781">
        <v>5761000</v>
      </c>
      <c r="W1781">
        <v>10.8200798034668</v>
      </c>
      <c r="X1781">
        <v>0.44999998807907099</v>
      </c>
      <c r="Y1781">
        <v>3.5752770900726301</v>
      </c>
      <c r="Z1781">
        <v>2.9051990509033199</v>
      </c>
      <c r="AA1781">
        <v>43352000</v>
      </c>
      <c r="AB1781" t="s">
        <v>38</v>
      </c>
      <c r="AC1781" t="s">
        <v>146</v>
      </c>
      <c r="AD1781">
        <v>5.0000000745058101E-2</v>
      </c>
      <c r="AE1781">
        <v>67.416259765625</v>
      </c>
      <c r="AF1781" t="s">
        <v>27</v>
      </c>
      <c r="AG1781">
        <v>43759000</v>
      </c>
      <c r="AH1781">
        <v>0</v>
      </c>
      <c r="AI1781">
        <v>18.1494960784912</v>
      </c>
    </row>
    <row r="1782" spans="1:35">
      <c r="A1782">
        <f t="shared" si="240"/>
        <v>0</v>
      </c>
      <c r="B1782">
        <f t="shared" si="241"/>
        <v>1</v>
      </c>
      <c r="C1782">
        <f t="shared" si="242"/>
        <v>1</v>
      </c>
      <c r="D1782">
        <f t="shared" si="243"/>
        <v>0</v>
      </c>
      <c r="E1782">
        <f t="shared" si="244"/>
        <v>0</v>
      </c>
      <c r="F1782">
        <f t="shared" si="245"/>
        <v>1</v>
      </c>
      <c r="G1782">
        <f t="shared" si="246"/>
        <v>1</v>
      </c>
      <c r="H1782">
        <v>0</v>
      </c>
      <c r="I1782">
        <f t="shared" si="247"/>
        <v>0</v>
      </c>
      <c r="J1782">
        <f t="shared" si="239"/>
        <v>7.5752151012420601</v>
      </c>
      <c r="K1782" t="s">
        <v>3204</v>
      </c>
      <c r="L1782" t="s">
        <v>3205</v>
      </c>
      <c r="M1782" t="s">
        <v>27</v>
      </c>
      <c r="N1782" t="s">
        <v>27</v>
      </c>
      <c r="O1782">
        <v>4</v>
      </c>
      <c r="P1782">
        <v>4.7433958053588903</v>
      </c>
      <c r="Q1782">
        <v>4.3239841461181596</v>
      </c>
      <c r="R1782">
        <v>10.670000076293899</v>
      </c>
      <c r="S1782">
        <v>9.3199996948242205</v>
      </c>
      <c r="T1782">
        <v>20.351261138916001</v>
      </c>
      <c r="U1782">
        <v>14.0548553466797</v>
      </c>
      <c r="V1782">
        <v>1369000.375</v>
      </c>
      <c r="W1782">
        <v>0.81142598390579201</v>
      </c>
      <c r="X1782">
        <v>0.140000000596046</v>
      </c>
      <c r="Y1782">
        <v>4.6315789222717303</v>
      </c>
      <c r="Z1782">
        <v>3.2512309551239</v>
      </c>
      <c r="AA1782">
        <v>29203000</v>
      </c>
      <c r="AB1782" t="s">
        <v>27</v>
      </c>
      <c r="AC1782" t="s">
        <v>27</v>
      </c>
      <c r="AD1782">
        <v>0.129999995231628</v>
      </c>
      <c r="AE1782">
        <v>14.502346992492701</v>
      </c>
      <c r="AF1782" t="s">
        <v>27</v>
      </c>
      <c r="AG1782">
        <v>29388000</v>
      </c>
      <c r="AH1782">
        <v>23.4804382324219</v>
      </c>
      <c r="AI1782">
        <v>1.8993079662323</v>
      </c>
    </row>
    <row r="1783" spans="1:35">
      <c r="A1783">
        <f t="shared" si="240"/>
        <v>1</v>
      </c>
      <c r="B1783">
        <f t="shared" si="241"/>
        <v>0</v>
      </c>
      <c r="C1783">
        <f t="shared" si="242"/>
        <v>1</v>
      </c>
      <c r="D1783">
        <f t="shared" si="243"/>
        <v>0</v>
      </c>
      <c r="E1783">
        <f t="shared" si="244"/>
        <v>0</v>
      </c>
      <c r="F1783">
        <f t="shared" si="245"/>
        <v>1</v>
      </c>
      <c r="G1783">
        <f t="shared" si="246"/>
        <v>0</v>
      </c>
      <c r="H1783">
        <v>0</v>
      </c>
      <c r="I1783">
        <f t="shared" si="247"/>
        <v>0</v>
      </c>
      <c r="J1783">
        <f t="shared" si="239"/>
        <v>7.56445217132568</v>
      </c>
      <c r="K1783" t="s">
        <v>1152</v>
      </c>
      <c r="L1783" t="s">
        <v>1153</v>
      </c>
      <c r="M1783" t="s">
        <v>27</v>
      </c>
      <c r="N1783" t="s">
        <v>27</v>
      </c>
      <c r="O1783">
        <v>5.8920000000000003</v>
      </c>
      <c r="P1783" t="s">
        <v>27</v>
      </c>
      <c r="Q1783">
        <v>5.9817051887512198</v>
      </c>
      <c r="R1783">
        <v>18.5</v>
      </c>
      <c r="S1783">
        <v>16.687500000041702</v>
      </c>
      <c r="T1783">
        <v>1.1860049962997401</v>
      </c>
      <c r="U1783">
        <v>90.994064331054702</v>
      </c>
      <c r="V1783">
        <v>7343000</v>
      </c>
      <c r="W1783">
        <v>10.5515480041504</v>
      </c>
      <c r="X1783">
        <v>0.34500000625935001</v>
      </c>
      <c r="Y1783">
        <v>2.0816330909728999</v>
      </c>
      <c r="Z1783">
        <v>1.58274698257446</v>
      </c>
      <c r="AA1783">
        <v>10966667.333305901</v>
      </c>
      <c r="AB1783" t="s">
        <v>27</v>
      </c>
      <c r="AC1783" t="s">
        <v>27</v>
      </c>
      <c r="AD1783">
        <v>9.00000035762787E-2</v>
      </c>
      <c r="AE1783">
        <v>89.610565185546903</v>
      </c>
      <c r="AF1783">
        <v>10.714491277432</v>
      </c>
      <c r="AG1783">
        <v>16410999</v>
      </c>
      <c r="AH1783">
        <v>0.72927999496460005</v>
      </c>
      <c r="AI1783">
        <v>3.84107494354248</v>
      </c>
    </row>
    <row r="1784" spans="1:35">
      <c r="A1784">
        <f t="shared" si="240"/>
        <v>0</v>
      </c>
      <c r="B1784">
        <f t="shared" si="241"/>
        <v>1</v>
      </c>
      <c r="C1784">
        <f t="shared" si="242"/>
        <v>1</v>
      </c>
      <c r="D1784">
        <f t="shared" si="243"/>
        <v>0</v>
      </c>
      <c r="E1784">
        <f t="shared" si="244"/>
        <v>0</v>
      </c>
      <c r="F1784">
        <f t="shared" si="245"/>
        <v>1</v>
      </c>
      <c r="G1784">
        <f t="shared" si="246"/>
        <v>0</v>
      </c>
      <c r="H1784">
        <v>0</v>
      </c>
      <c r="I1784">
        <f t="shared" si="247"/>
        <v>0</v>
      </c>
      <c r="J1784">
        <f t="shared" si="239"/>
        <v>7.5202758312225297</v>
      </c>
      <c r="K1784" t="s">
        <v>3292</v>
      </c>
      <c r="L1784" t="s">
        <v>3293</v>
      </c>
      <c r="M1784" t="s">
        <v>27</v>
      </c>
      <c r="N1784" t="s">
        <v>27</v>
      </c>
      <c r="O1784">
        <v>13.19</v>
      </c>
      <c r="P1784">
        <v>1.55099105834961</v>
      </c>
      <c r="Q1784">
        <v>4.2724127769470197</v>
      </c>
      <c r="R1784">
        <v>14.1000003814697</v>
      </c>
      <c r="S1784">
        <v>8.9099998474121094</v>
      </c>
      <c r="T1784">
        <v>38.930946350097699</v>
      </c>
      <c r="U1784">
        <v>31.261253356933601</v>
      </c>
      <c r="V1784">
        <v>60487000</v>
      </c>
      <c r="W1784">
        <v>1.41521203517914</v>
      </c>
      <c r="X1784">
        <v>0.40999999642372098</v>
      </c>
      <c r="Y1784">
        <v>2.875</v>
      </c>
      <c r="Z1784">
        <v>3.24786305427551</v>
      </c>
      <c r="AA1784">
        <v>11695000</v>
      </c>
      <c r="AB1784" t="s">
        <v>30</v>
      </c>
      <c r="AC1784" t="s">
        <v>1457</v>
      </c>
      <c r="AD1784">
        <v>0.31999999284744302</v>
      </c>
      <c r="AE1784">
        <v>26.112693786621101</v>
      </c>
      <c r="AF1784">
        <v>10.211748710995099</v>
      </c>
      <c r="AG1784">
        <v>11795000</v>
      </c>
      <c r="AH1784">
        <v>42.124069213867202</v>
      </c>
      <c r="AI1784">
        <v>1.7602410316467301</v>
      </c>
    </row>
    <row r="1785" spans="1:35">
      <c r="A1785">
        <f t="shared" si="240"/>
        <v>0</v>
      </c>
      <c r="B1785">
        <f t="shared" si="241"/>
        <v>1</v>
      </c>
      <c r="C1785">
        <f t="shared" si="242"/>
        <v>1</v>
      </c>
      <c r="D1785">
        <f t="shared" si="243"/>
        <v>0</v>
      </c>
      <c r="E1785">
        <f t="shared" si="244"/>
        <v>0</v>
      </c>
      <c r="F1785">
        <f t="shared" si="245"/>
        <v>1</v>
      </c>
      <c r="G1785">
        <f t="shared" si="246"/>
        <v>0</v>
      </c>
      <c r="H1785">
        <v>0</v>
      </c>
      <c r="I1785">
        <f t="shared" si="247"/>
        <v>0</v>
      </c>
      <c r="J1785">
        <f t="shared" si="239"/>
        <v>7.4969480037689209</v>
      </c>
      <c r="K1785" t="s">
        <v>1568</v>
      </c>
      <c r="L1785" t="s">
        <v>1569</v>
      </c>
      <c r="M1785" t="s">
        <v>27</v>
      </c>
      <c r="N1785" t="s">
        <v>27</v>
      </c>
      <c r="O1785">
        <v>636.99099999999999</v>
      </c>
      <c r="P1785">
        <v>8.0249366760253906</v>
      </c>
      <c r="Q1785">
        <v>5.4770560264587402</v>
      </c>
      <c r="R1785">
        <v>647.5</v>
      </c>
      <c r="S1785">
        <v>620.25</v>
      </c>
      <c r="T1785">
        <v>8.8732376098632795</v>
      </c>
      <c r="U1785" t="s">
        <v>27</v>
      </c>
      <c r="V1785">
        <v>5343000.5</v>
      </c>
      <c r="W1785">
        <v>0.38806799054145802</v>
      </c>
      <c r="X1785">
        <v>4.1900000572204599</v>
      </c>
      <c r="Y1785">
        <v>2.8542330265045202</v>
      </c>
      <c r="Z1785">
        <v>2.0198919773101802</v>
      </c>
      <c r="AA1785">
        <v>1253000</v>
      </c>
      <c r="AB1785" t="s">
        <v>27</v>
      </c>
      <c r="AC1785" t="s">
        <v>27</v>
      </c>
      <c r="AD1785">
        <v>1.33000004291534</v>
      </c>
      <c r="AE1785" t="s">
        <v>27</v>
      </c>
      <c r="AF1785">
        <v>9.7343269839674296</v>
      </c>
      <c r="AG1785">
        <v>1259000</v>
      </c>
      <c r="AH1785">
        <v>10.2812843322754</v>
      </c>
      <c r="AI1785">
        <v>1.0216469764709499</v>
      </c>
    </row>
    <row r="1786" spans="1:35">
      <c r="A1786">
        <f t="shared" si="240"/>
        <v>1</v>
      </c>
      <c r="B1786">
        <f t="shared" si="241"/>
        <v>1</v>
      </c>
      <c r="C1786">
        <f t="shared" si="242"/>
        <v>1</v>
      </c>
      <c r="D1786">
        <f t="shared" si="243"/>
        <v>0</v>
      </c>
      <c r="E1786">
        <f t="shared" si="244"/>
        <v>0</v>
      </c>
      <c r="F1786">
        <f t="shared" si="245"/>
        <v>1</v>
      </c>
      <c r="G1786">
        <f t="shared" si="246"/>
        <v>0</v>
      </c>
      <c r="H1786">
        <v>0</v>
      </c>
      <c r="I1786">
        <f t="shared" si="247"/>
        <v>0</v>
      </c>
      <c r="J1786">
        <f t="shared" si="239"/>
        <v>7.4050137996673602</v>
      </c>
      <c r="K1786" t="s">
        <v>2803</v>
      </c>
      <c r="L1786" t="s">
        <v>2804</v>
      </c>
      <c r="M1786" t="s">
        <v>27</v>
      </c>
      <c r="N1786" t="s">
        <v>27</v>
      </c>
      <c r="O1786">
        <v>13.15</v>
      </c>
      <c r="P1786">
        <v>5.7557101249694798</v>
      </c>
      <c r="Q1786">
        <v>5.2811198234558097</v>
      </c>
      <c r="R1786">
        <v>19.190000534057599</v>
      </c>
      <c r="S1786">
        <v>19.309999465942401</v>
      </c>
      <c r="T1786">
        <v>55.4979858398438</v>
      </c>
      <c r="U1786">
        <v>77.930953979492202</v>
      </c>
      <c r="V1786">
        <v>20454000</v>
      </c>
      <c r="W1786">
        <v>0.80262398719787598</v>
      </c>
      <c r="X1786">
        <v>0.140000000596046</v>
      </c>
      <c r="Y1786">
        <v>2.7603828907012899</v>
      </c>
      <c r="Z1786">
        <v>2.1238939762115501</v>
      </c>
      <c r="AA1786">
        <v>55649000</v>
      </c>
      <c r="AB1786" t="s">
        <v>27</v>
      </c>
      <c r="AC1786" t="s">
        <v>27</v>
      </c>
      <c r="AD1786">
        <v>9.00000035762787E-2</v>
      </c>
      <c r="AE1786">
        <v>68.823341369628906</v>
      </c>
      <c r="AF1786">
        <v>6.2941229664212601</v>
      </c>
      <c r="AG1786">
        <v>54890000</v>
      </c>
      <c r="AH1786">
        <v>54.5783882141113</v>
      </c>
      <c r="AI1786">
        <v>2.2472350597381601</v>
      </c>
    </row>
    <row r="1787" spans="1:35">
      <c r="A1787">
        <f t="shared" si="240"/>
        <v>0</v>
      </c>
      <c r="B1787">
        <f t="shared" si="241"/>
        <v>1</v>
      </c>
      <c r="C1787">
        <f t="shared" si="242"/>
        <v>1</v>
      </c>
      <c r="D1787">
        <f t="shared" si="243"/>
        <v>0</v>
      </c>
      <c r="E1787">
        <f t="shared" si="244"/>
        <v>0</v>
      </c>
      <c r="F1787">
        <f t="shared" si="245"/>
        <v>1</v>
      </c>
      <c r="G1787">
        <f t="shared" si="246"/>
        <v>1</v>
      </c>
      <c r="H1787">
        <v>0</v>
      </c>
      <c r="I1787">
        <f t="shared" si="247"/>
        <v>0</v>
      </c>
      <c r="J1787">
        <f t="shared" si="239"/>
        <v>7.3639829158782995</v>
      </c>
      <c r="K1787" t="s">
        <v>1906</v>
      </c>
      <c r="L1787" t="s">
        <v>1907</v>
      </c>
      <c r="M1787" t="s">
        <v>27</v>
      </c>
      <c r="N1787" t="s">
        <v>27</v>
      </c>
      <c r="O1787">
        <v>12.24</v>
      </c>
      <c r="P1787">
        <v>4.1491260528564498</v>
      </c>
      <c r="Q1787">
        <v>3.1021869182586701</v>
      </c>
      <c r="R1787">
        <v>28.040000915527301</v>
      </c>
      <c r="S1787">
        <v>10.875</v>
      </c>
      <c r="T1787">
        <v>0</v>
      </c>
      <c r="U1787">
        <v>50.267845153808601</v>
      </c>
      <c r="V1787">
        <v>2541000.25</v>
      </c>
      <c r="W1787">
        <v>0.169942006468773</v>
      </c>
      <c r="X1787">
        <v>7.9999998211860698E-2</v>
      </c>
      <c r="Y1787">
        <v>3.92156910896301</v>
      </c>
      <c r="Z1787">
        <v>4.2617959976196298</v>
      </c>
      <c r="AA1787">
        <v>24557000</v>
      </c>
      <c r="AB1787" t="s">
        <v>27</v>
      </c>
      <c r="AC1787" t="s">
        <v>27</v>
      </c>
      <c r="AD1787">
        <v>5.0000000745058101E-2</v>
      </c>
      <c r="AE1787">
        <v>55.086627960205099</v>
      </c>
      <c r="AF1787">
        <v>8.3824512103980506</v>
      </c>
      <c r="AG1787">
        <v>26627000</v>
      </c>
      <c r="AH1787">
        <v>0</v>
      </c>
      <c r="AI1787">
        <v>4.2684168815612802</v>
      </c>
    </row>
    <row r="1788" spans="1:35">
      <c r="A1788">
        <f t="shared" si="240"/>
        <v>0</v>
      </c>
      <c r="B1788">
        <f t="shared" si="241"/>
        <v>0</v>
      </c>
      <c r="C1788">
        <f t="shared" si="242"/>
        <v>0</v>
      </c>
      <c r="D1788">
        <f t="shared" si="243"/>
        <v>0</v>
      </c>
      <c r="E1788">
        <f t="shared" si="244"/>
        <v>0</v>
      </c>
      <c r="F1788">
        <f t="shared" si="245"/>
        <v>1</v>
      </c>
      <c r="G1788">
        <f t="shared" si="246"/>
        <v>0</v>
      </c>
      <c r="H1788">
        <v>0</v>
      </c>
      <c r="I1788">
        <f t="shared" si="247"/>
        <v>0</v>
      </c>
      <c r="J1788">
        <f t="shared" si="239"/>
        <v>7.1981480121612496</v>
      </c>
      <c r="K1788" t="s">
        <v>1760</v>
      </c>
      <c r="L1788" t="s">
        <v>1761</v>
      </c>
      <c r="M1788" t="s">
        <v>27</v>
      </c>
      <c r="N1788" t="s">
        <v>27</v>
      </c>
      <c r="O1788">
        <v>7.7590000000000003</v>
      </c>
      <c r="P1788">
        <v>22.297687530517599</v>
      </c>
      <c r="Q1788">
        <v>3.3064389228820801</v>
      </c>
      <c r="R1788">
        <v>10.3599996566772</v>
      </c>
      <c r="S1788">
        <v>40.0625</v>
      </c>
      <c r="T1788">
        <v>0</v>
      </c>
      <c r="U1788">
        <v>74.783340454101605</v>
      </c>
      <c r="V1788">
        <v>-2081000</v>
      </c>
      <c r="W1788">
        <v>25.231813430786101</v>
      </c>
      <c r="X1788">
        <v>0.21999999880790699</v>
      </c>
      <c r="Y1788">
        <v>2.7350430488586399</v>
      </c>
      <c r="Z1788">
        <v>3.8917090892791699</v>
      </c>
      <c r="AA1788">
        <v>46267000</v>
      </c>
      <c r="AB1788" t="s">
        <v>27</v>
      </c>
      <c r="AC1788" t="s">
        <v>27</v>
      </c>
      <c r="AD1788">
        <v>1.9999999552965199E-2</v>
      </c>
      <c r="AE1788">
        <v>56.9331245422363</v>
      </c>
      <c r="AF1788">
        <v>12.7928831306187</v>
      </c>
      <c r="AG1788">
        <v>46734000</v>
      </c>
      <c r="AH1788">
        <v>0</v>
      </c>
      <c r="AI1788">
        <v>19.953851699829102</v>
      </c>
    </row>
    <row r="1789" spans="1:35">
      <c r="A1789">
        <f t="shared" si="240"/>
        <v>1</v>
      </c>
      <c r="B1789">
        <f t="shared" si="241"/>
        <v>1</v>
      </c>
      <c r="C1789">
        <f t="shared" si="242"/>
        <v>1</v>
      </c>
      <c r="D1789">
        <f t="shared" si="243"/>
        <v>1</v>
      </c>
      <c r="E1789">
        <f t="shared" si="244"/>
        <v>0</v>
      </c>
      <c r="F1789">
        <f t="shared" si="245"/>
        <v>1</v>
      </c>
      <c r="G1789">
        <f t="shared" si="246"/>
        <v>0</v>
      </c>
      <c r="H1789">
        <v>0</v>
      </c>
      <c r="I1789">
        <f t="shared" si="247"/>
        <v>1</v>
      </c>
      <c r="J1789">
        <f t="shared" si="239"/>
        <v>7.1138648986816397</v>
      </c>
      <c r="K1789" t="s">
        <v>1478</v>
      </c>
      <c r="L1789" t="s">
        <v>1479</v>
      </c>
      <c r="M1789" t="s">
        <v>27</v>
      </c>
      <c r="N1789" t="s">
        <v>27</v>
      </c>
      <c r="O1789">
        <v>17.16</v>
      </c>
      <c r="P1789">
        <v>0.91382098197937001</v>
      </c>
      <c r="Q1789">
        <v>4.0738649368286097</v>
      </c>
      <c r="R1789">
        <v>12.449999809265099</v>
      </c>
      <c r="S1789">
        <v>7.9499998092651403</v>
      </c>
      <c r="T1789">
        <v>24.7223815917969</v>
      </c>
      <c r="U1789">
        <v>29.094364166259801</v>
      </c>
      <c r="V1789">
        <v>3401000</v>
      </c>
      <c r="W1789">
        <v>0.49637600779533397</v>
      </c>
      <c r="X1789">
        <v>7.0000000298023196E-2</v>
      </c>
      <c r="Y1789">
        <v>3.125</v>
      </c>
      <c r="Z1789">
        <v>3.03999996185303</v>
      </c>
      <c r="AA1789">
        <v>14376000</v>
      </c>
      <c r="AB1789" t="s">
        <v>27</v>
      </c>
      <c r="AC1789" t="s">
        <v>27</v>
      </c>
      <c r="AD1789">
        <v>7.9999998211860698E-2</v>
      </c>
      <c r="AE1789">
        <v>28.758377075195298</v>
      </c>
      <c r="AF1789">
        <v>11.5296543995925</v>
      </c>
      <c r="AG1789">
        <v>14502000</v>
      </c>
      <c r="AH1789">
        <v>22.161544799804702</v>
      </c>
      <c r="AI1789">
        <v>2.8293368816375701</v>
      </c>
    </row>
    <row r="1790" spans="1:35">
      <c r="A1790">
        <f t="shared" si="240"/>
        <v>0</v>
      </c>
      <c r="B1790">
        <f t="shared" si="241"/>
        <v>1</v>
      </c>
      <c r="C1790">
        <f t="shared" si="242"/>
        <v>0</v>
      </c>
      <c r="D1790">
        <f t="shared" si="243"/>
        <v>0</v>
      </c>
      <c r="E1790">
        <f t="shared" si="244"/>
        <v>0</v>
      </c>
      <c r="F1790">
        <f t="shared" si="245"/>
        <v>1</v>
      </c>
      <c r="G1790">
        <f t="shared" si="246"/>
        <v>0</v>
      </c>
      <c r="H1790">
        <v>0</v>
      </c>
      <c r="I1790">
        <f t="shared" si="247"/>
        <v>0</v>
      </c>
      <c r="J1790">
        <f t="shared" si="239"/>
        <v>7.0926848948001817</v>
      </c>
      <c r="K1790" t="s">
        <v>3444</v>
      </c>
      <c r="L1790" t="s">
        <v>3445</v>
      </c>
      <c r="M1790" t="s">
        <v>27</v>
      </c>
      <c r="N1790" t="s">
        <v>27</v>
      </c>
      <c r="O1790">
        <v>16.36</v>
      </c>
      <c r="P1790">
        <v>12.849637031555201</v>
      </c>
      <c r="Q1790">
        <v>6.9326848983764604</v>
      </c>
      <c r="R1790">
        <v>15.430000305175801</v>
      </c>
      <c r="S1790">
        <v>11.199999809265099</v>
      </c>
      <c r="T1790">
        <v>59.409130096435497</v>
      </c>
      <c r="U1790" t="s">
        <v>27</v>
      </c>
      <c r="V1790">
        <v>-24800998</v>
      </c>
      <c r="W1790">
        <v>1.65717196464539</v>
      </c>
      <c r="X1790">
        <v>1.62999999523163</v>
      </c>
      <c r="Y1790">
        <v>14.4432430267334</v>
      </c>
      <c r="Z1790">
        <v>0.15999999642372101</v>
      </c>
      <c r="AA1790">
        <v>51931000</v>
      </c>
      <c r="AB1790" t="s">
        <v>83</v>
      </c>
      <c r="AC1790" t="s">
        <v>84</v>
      </c>
      <c r="AD1790">
        <v>-2.9999999329447701E-2</v>
      </c>
      <c r="AE1790" t="s">
        <v>27</v>
      </c>
      <c r="AF1790">
        <v>13.000497657295901</v>
      </c>
      <c r="AG1790">
        <v>50285000</v>
      </c>
      <c r="AH1790">
        <v>66.535827636718807</v>
      </c>
      <c r="AI1790">
        <v>5.8793411254882804</v>
      </c>
    </row>
    <row r="1791" spans="1:35">
      <c r="A1791">
        <f t="shared" si="240"/>
        <v>0</v>
      </c>
      <c r="B1791">
        <f t="shared" si="241"/>
        <v>1</v>
      </c>
      <c r="C1791">
        <f t="shared" si="242"/>
        <v>1</v>
      </c>
      <c r="D1791">
        <f t="shared" si="243"/>
        <v>1</v>
      </c>
      <c r="E1791">
        <f t="shared" si="244"/>
        <v>0</v>
      </c>
      <c r="F1791">
        <f t="shared" si="245"/>
        <v>1</v>
      </c>
      <c r="G1791">
        <f t="shared" si="246"/>
        <v>0</v>
      </c>
      <c r="H1791">
        <v>0</v>
      </c>
      <c r="I1791">
        <f t="shared" si="247"/>
        <v>1</v>
      </c>
      <c r="J1791">
        <f t="shared" si="239"/>
        <v>7.0914230346679705</v>
      </c>
      <c r="K1791" t="s">
        <v>3643</v>
      </c>
      <c r="L1791" t="s">
        <v>3644</v>
      </c>
      <c r="M1791" t="s">
        <v>27</v>
      </c>
      <c r="N1791" t="s">
        <v>27</v>
      </c>
      <c r="O1791">
        <v>8.9499999999999993</v>
      </c>
      <c r="P1791">
        <v>3.1490778923034699</v>
      </c>
      <c r="Q1791">
        <v>2.1268839836120601</v>
      </c>
      <c r="R1791">
        <v>7.4400000572204599</v>
      </c>
      <c r="S1791">
        <v>6.6875</v>
      </c>
      <c r="T1791">
        <v>12.5083255767822</v>
      </c>
      <c r="U1791" t="s">
        <v>27</v>
      </c>
      <c r="V1791">
        <v>13883000</v>
      </c>
      <c r="W1791">
        <v>0.79192101955413796</v>
      </c>
      <c r="X1791">
        <v>9.00000035762787E-2</v>
      </c>
      <c r="Y1791">
        <v>5.0285720825195304</v>
      </c>
      <c r="Z1791">
        <v>4.96453905105591</v>
      </c>
      <c r="AA1791">
        <v>37803000</v>
      </c>
      <c r="AB1791" t="s">
        <v>34</v>
      </c>
      <c r="AC1791" t="s">
        <v>458</v>
      </c>
      <c r="AD1791">
        <v>0.119999997317791</v>
      </c>
      <c r="AE1791" t="s">
        <v>27</v>
      </c>
      <c r="AF1791" t="s">
        <v>27</v>
      </c>
      <c r="AG1791">
        <v>35795000</v>
      </c>
      <c r="AH1791">
        <v>24.935228347778299</v>
      </c>
      <c r="AI1791">
        <v>0.88394302129745495</v>
      </c>
    </row>
    <row r="1792" spans="1:35">
      <c r="A1792">
        <f t="shared" si="240"/>
        <v>1</v>
      </c>
      <c r="B1792">
        <f t="shared" si="241"/>
        <v>1</v>
      </c>
      <c r="C1792">
        <f t="shared" si="242"/>
        <v>0</v>
      </c>
      <c r="D1792">
        <f t="shared" si="243"/>
        <v>0</v>
      </c>
      <c r="E1792">
        <f t="shared" si="244"/>
        <v>0</v>
      </c>
      <c r="F1792">
        <f t="shared" si="245"/>
        <v>1</v>
      </c>
      <c r="G1792">
        <f t="shared" si="246"/>
        <v>0</v>
      </c>
      <c r="H1792">
        <v>0</v>
      </c>
      <c r="I1792">
        <f t="shared" si="247"/>
        <v>0</v>
      </c>
      <c r="J1792">
        <f t="shared" si="239"/>
        <v>7.0786650180816597</v>
      </c>
      <c r="K1792" t="s">
        <v>871</v>
      </c>
      <c r="L1792" t="s">
        <v>872</v>
      </c>
      <c r="M1792" t="s">
        <v>27</v>
      </c>
      <c r="N1792" t="s">
        <v>27</v>
      </c>
      <c r="O1792">
        <v>19.760000000000002</v>
      </c>
      <c r="P1792">
        <v>5.8312969207763699</v>
      </c>
      <c r="Q1792">
        <v>3.52232694625854</v>
      </c>
      <c r="R1792">
        <v>31.379999160766602</v>
      </c>
      <c r="S1792">
        <v>50.9375</v>
      </c>
      <c r="T1792">
        <v>11.349480628967299</v>
      </c>
      <c r="U1792">
        <v>45.558788299560497</v>
      </c>
      <c r="V1792">
        <v>-32340000</v>
      </c>
      <c r="W1792">
        <v>11.6063747406006</v>
      </c>
      <c r="X1792">
        <v>1.7200000286102299</v>
      </c>
      <c r="Y1792">
        <v>1.4705879688262899</v>
      </c>
      <c r="Z1792">
        <v>3.5563380718231201</v>
      </c>
      <c r="AA1792">
        <v>27102000</v>
      </c>
      <c r="AB1792" t="s">
        <v>38</v>
      </c>
      <c r="AC1792" t="s">
        <v>146</v>
      </c>
      <c r="AD1792">
        <v>0</v>
      </c>
      <c r="AE1792">
        <v>30.4095249176025</v>
      </c>
      <c r="AF1792">
        <v>11.3177406808821</v>
      </c>
      <c r="AG1792">
        <v>28426000</v>
      </c>
      <c r="AH1792">
        <v>10.259835243225099</v>
      </c>
      <c r="AI1792">
        <v>12.719378471374499</v>
      </c>
    </row>
    <row r="1793" spans="1:35">
      <c r="A1793">
        <f t="shared" si="240"/>
        <v>0</v>
      </c>
      <c r="B1793">
        <f t="shared" si="241"/>
        <v>0</v>
      </c>
      <c r="C1793">
        <f t="shared" si="242"/>
        <v>1</v>
      </c>
      <c r="D1793">
        <f t="shared" si="243"/>
        <v>0</v>
      </c>
      <c r="E1793">
        <f t="shared" si="244"/>
        <v>0</v>
      </c>
      <c r="F1793">
        <f t="shared" si="245"/>
        <v>1</v>
      </c>
      <c r="G1793">
        <f t="shared" si="246"/>
        <v>0</v>
      </c>
      <c r="H1793">
        <v>0</v>
      </c>
      <c r="I1793">
        <f t="shared" si="247"/>
        <v>0</v>
      </c>
      <c r="J1793">
        <f t="shared" si="239"/>
        <v>7.0512409210205096</v>
      </c>
      <c r="K1793" t="s">
        <v>2696</v>
      </c>
      <c r="L1793" t="s">
        <v>2697</v>
      </c>
      <c r="M1793" t="s">
        <v>27</v>
      </c>
      <c r="N1793" t="s">
        <v>27</v>
      </c>
      <c r="O1793">
        <v>8.84</v>
      </c>
      <c r="P1793">
        <v>12.5808401107788</v>
      </c>
      <c r="Q1793">
        <v>4.0296578407287598</v>
      </c>
      <c r="R1793">
        <v>15.199999809265099</v>
      </c>
      <c r="S1793">
        <v>21.9375</v>
      </c>
      <c r="T1793">
        <v>0</v>
      </c>
      <c r="U1793">
        <v>42.895687103271499</v>
      </c>
      <c r="V1793">
        <v>2869000</v>
      </c>
      <c r="W1793">
        <v>11.185360908508301</v>
      </c>
      <c r="X1793">
        <v>0.239999994635582</v>
      </c>
      <c r="Y1793">
        <v>1.7836940288543699</v>
      </c>
      <c r="Z1793">
        <v>3.0215830802917498</v>
      </c>
      <c r="AA1793">
        <v>24856000</v>
      </c>
      <c r="AB1793" t="s">
        <v>38</v>
      </c>
      <c r="AC1793" t="s">
        <v>118</v>
      </c>
      <c r="AD1793">
        <v>0</v>
      </c>
      <c r="AE1793">
        <v>34.169589996337898</v>
      </c>
      <c r="AF1793" t="s">
        <v>27</v>
      </c>
      <c r="AG1793">
        <v>25221000</v>
      </c>
      <c r="AH1793">
        <v>0</v>
      </c>
      <c r="AI1793">
        <v>9.2140769958496094</v>
      </c>
    </row>
    <row r="1794" spans="1:35">
      <c r="A1794">
        <f t="shared" si="240"/>
        <v>1</v>
      </c>
      <c r="B1794">
        <f t="shared" si="241"/>
        <v>1</v>
      </c>
      <c r="C1794">
        <f t="shared" si="242"/>
        <v>1</v>
      </c>
      <c r="D1794">
        <f t="shared" si="243"/>
        <v>0</v>
      </c>
      <c r="E1794">
        <f t="shared" si="244"/>
        <v>0</v>
      </c>
      <c r="F1794">
        <f t="shared" si="245"/>
        <v>1</v>
      </c>
      <c r="G1794">
        <f t="shared" si="246"/>
        <v>0</v>
      </c>
      <c r="H1794">
        <v>0</v>
      </c>
      <c r="I1794">
        <f t="shared" si="247"/>
        <v>0</v>
      </c>
      <c r="J1794">
        <f t="shared" si="239"/>
        <v>7.0088489055633598</v>
      </c>
      <c r="K1794" t="s">
        <v>3707</v>
      </c>
      <c r="L1794" t="s">
        <v>3708</v>
      </c>
      <c r="M1794" t="s">
        <v>27</v>
      </c>
      <c r="N1794" t="s">
        <v>27</v>
      </c>
      <c r="O1794">
        <v>8.17</v>
      </c>
      <c r="P1794" t="s">
        <v>27</v>
      </c>
      <c r="Q1794">
        <v>4.6780219078064</v>
      </c>
      <c r="R1794">
        <v>13.2399997711182</v>
      </c>
      <c r="S1794">
        <v>11.819999694824199</v>
      </c>
      <c r="T1794">
        <v>31.108402252197301</v>
      </c>
      <c r="U1794">
        <v>31.1457824707031</v>
      </c>
      <c r="V1794">
        <v>31664002</v>
      </c>
      <c r="W1794">
        <v>2.20765900611877</v>
      </c>
      <c r="X1794">
        <v>0.109999999403954</v>
      </c>
      <c r="Y1794">
        <v>3.26368188858032</v>
      </c>
      <c r="Z1794">
        <v>2.3308269977569598</v>
      </c>
      <c r="AA1794">
        <v>114680000</v>
      </c>
      <c r="AB1794" t="s">
        <v>52</v>
      </c>
      <c r="AC1794" t="s">
        <v>53</v>
      </c>
      <c r="AD1794">
        <v>9.00000035762787E-2</v>
      </c>
      <c r="AE1794">
        <v>26.376827239990199</v>
      </c>
      <c r="AF1794" t="s">
        <v>27</v>
      </c>
      <c r="AG1794">
        <v>114766000</v>
      </c>
      <c r="AH1794">
        <v>27.895664215087901</v>
      </c>
      <c r="AI1794">
        <v>3.4111390113830602</v>
      </c>
    </row>
    <row r="1795" spans="1:35">
      <c r="A1795">
        <f t="shared" si="240"/>
        <v>0</v>
      </c>
      <c r="B1795">
        <f t="shared" si="241"/>
        <v>0</v>
      </c>
      <c r="C1795">
        <f t="shared" si="242"/>
        <v>1</v>
      </c>
      <c r="D1795">
        <f t="shared" si="243"/>
        <v>0</v>
      </c>
      <c r="E1795">
        <f t="shared" si="244"/>
        <v>0</v>
      </c>
      <c r="F1795">
        <f t="shared" si="245"/>
        <v>1</v>
      </c>
      <c r="G1795">
        <f t="shared" si="246"/>
        <v>0</v>
      </c>
      <c r="H1795">
        <v>0</v>
      </c>
      <c r="I1795">
        <f t="shared" si="247"/>
        <v>0</v>
      </c>
      <c r="J1795">
        <f t="shared" si="239"/>
        <v>6.9995959997177106</v>
      </c>
      <c r="K1795" t="s">
        <v>2238</v>
      </c>
      <c r="L1795" t="s">
        <v>2239</v>
      </c>
      <c r="M1795" t="s">
        <v>27</v>
      </c>
      <c r="N1795" t="s">
        <v>27</v>
      </c>
      <c r="O1795">
        <v>9</v>
      </c>
      <c r="P1795">
        <v>6.2349748611450204</v>
      </c>
      <c r="Q1795">
        <v>1.48235499858856</v>
      </c>
      <c r="R1795">
        <v>9</v>
      </c>
      <c r="S1795">
        <v>8.4896624999999997</v>
      </c>
      <c r="T1795">
        <v>0</v>
      </c>
      <c r="U1795">
        <v>19.8171195983887</v>
      </c>
      <c r="V1795">
        <v>10184000</v>
      </c>
      <c r="W1795">
        <v>9.5124740600585902</v>
      </c>
      <c r="X1795">
        <v>0.25</v>
      </c>
      <c r="Y1795">
        <v>2.0465118885040301</v>
      </c>
      <c r="Z1795">
        <v>5.5172410011291504</v>
      </c>
      <c r="AA1795">
        <v>35729000</v>
      </c>
      <c r="AB1795" t="s">
        <v>38</v>
      </c>
      <c r="AC1795" t="s">
        <v>146</v>
      </c>
      <c r="AD1795">
        <v>0.109999999403954</v>
      </c>
      <c r="AE1795">
        <v>17.747705459594702</v>
      </c>
      <c r="AF1795">
        <v>8.45297237802931</v>
      </c>
      <c r="AG1795">
        <v>35912000</v>
      </c>
      <c r="AH1795">
        <v>0</v>
      </c>
      <c r="AI1795">
        <v>6.1657280921936</v>
      </c>
    </row>
    <row r="1796" spans="1:35">
      <c r="A1796">
        <f t="shared" si="240"/>
        <v>0</v>
      </c>
      <c r="B1796">
        <f t="shared" si="241"/>
        <v>0</v>
      </c>
      <c r="C1796">
        <f t="shared" si="242"/>
        <v>0</v>
      </c>
      <c r="D1796">
        <f t="shared" si="243"/>
        <v>0</v>
      </c>
      <c r="E1796">
        <f t="shared" si="244"/>
        <v>0</v>
      </c>
      <c r="F1796">
        <f t="shared" si="245"/>
        <v>1</v>
      </c>
      <c r="G1796">
        <f t="shared" si="246"/>
        <v>0</v>
      </c>
      <c r="H1796">
        <v>0</v>
      </c>
      <c r="I1796">
        <f t="shared" si="247"/>
        <v>0</v>
      </c>
      <c r="J1796">
        <f t="shared" si="239"/>
        <v>6.9434968233108503</v>
      </c>
      <c r="K1796" t="s">
        <v>2370</v>
      </c>
      <c r="L1796" t="s">
        <v>2371</v>
      </c>
      <c r="M1796" t="s">
        <v>27</v>
      </c>
      <c r="N1796" t="s">
        <v>27</v>
      </c>
      <c r="O1796">
        <v>27.66</v>
      </c>
      <c r="P1796">
        <v>4.9667382240295401</v>
      </c>
      <c r="Q1796">
        <v>1.3301140069961499</v>
      </c>
      <c r="R1796">
        <v>28.5</v>
      </c>
      <c r="S1796">
        <v>33.599998474121101</v>
      </c>
      <c r="T1796">
        <v>0</v>
      </c>
      <c r="U1796">
        <v>32.140453338622997</v>
      </c>
      <c r="V1796">
        <v>-12995000</v>
      </c>
      <c r="W1796">
        <v>7.0089459419250497</v>
      </c>
      <c r="X1796">
        <v>0.519999980926514</v>
      </c>
      <c r="Y1796">
        <v>9.3194160461425799</v>
      </c>
      <c r="Z1796">
        <v>5.6133828163146999</v>
      </c>
      <c r="AA1796">
        <v>6935000</v>
      </c>
      <c r="AB1796" t="s">
        <v>61</v>
      </c>
      <c r="AC1796" t="s">
        <v>65</v>
      </c>
      <c r="AD1796">
        <v>0.31000000238418601</v>
      </c>
      <c r="AE1796">
        <v>23.407550811767599</v>
      </c>
      <c r="AF1796">
        <v>1.23232466044837</v>
      </c>
      <c r="AG1796">
        <v>6836000</v>
      </c>
      <c r="AH1796">
        <v>0</v>
      </c>
      <c r="AI1796">
        <v>5.1549057960510298</v>
      </c>
    </row>
    <row r="1797" spans="1:35">
      <c r="A1797">
        <f t="shared" si="240"/>
        <v>1</v>
      </c>
      <c r="B1797">
        <f t="shared" si="241"/>
        <v>1</v>
      </c>
      <c r="C1797">
        <f t="shared" si="242"/>
        <v>1</v>
      </c>
      <c r="D1797">
        <f t="shared" si="243"/>
        <v>0</v>
      </c>
      <c r="E1797">
        <f t="shared" si="244"/>
        <v>0</v>
      </c>
      <c r="F1797">
        <f t="shared" si="245"/>
        <v>1</v>
      </c>
      <c r="G1797">
        <f t="shared" si="246"/>
        <v>0</v>
      </c>
      <c r="H1797">
        <v>0</v>
      </c>
      <c r="I1797">
        <f t="shared" si="247"/>
        <v>0</v>
      </c>
      <c r="J1797">
        <f t="shared" si="239"/>
        <v>6.9166901111602801</v>
      </c>
      <c r="K1797" t="s">
        <v>635</v>
      </c>
      <c r="L1797" t="s">
        <v>636</v>
      </c>
      <c r="M1797" t="s">
        <v>27</v>
      </c>
      <c r="N1797" t="s">
        <v>27</v>
      </c>
      <c r="O1797">
        <v>6</v>
      </c>
      <c r="P1797" t="s">
        <v>27</v>
      </c>
      <c r="Q1797">
        <v>3.50013303756714</v>
      </c>
      <c r="R1797">
        <v>7.9499998092651403</v>
      </c>
      <c r="S1797">
        <v>6.4499998092651403</v>
      </c>
      <c r="T1797">
        <v>21.190168380737301</v>
      </c>
      <c r="U1797">
        <v>35.802410125732401</v>
      </c>
      <c r="V1797">
        <v>4612000</v>
      </c>
      <c r="W1797">
        <v>-3.5729389190673801</v>
      </c>
      <c r="X1797">
        <v>3.9999999105930301E-2</v>
      </c>
      <c r="Y1797">
        <v>3.6697249412536599</v>
      </c>
      <c r="Z1797">
        <v>3.4165570735931401</v>
      </c>
      <c r="AA1797">
        <v>38813000</v>
      </c>
      <c r="AB1797" t="s">
        <v>52</v>
      </c>
      <c r="AC1797" t="s">
        <v>53</v>
      </c>
      <c r="AD1797">
        <v>3.9999999105930301E-2</v>
      </c>
      <c r="AE1797">
        <v>31.376359939575199</v>
      </c>
      <c r="AF1797">
        <v>10.368498587621101</v>
      </c>
      <c r="AG1797">
        <v>38802000</v>
      </c>
      <c r="AH1797">
        <v>19.945348739623999</v>
      </c>
      <c r="AI1797">
        <v>2.8102600574493399</v>
      </c>
    </row>
    <row r="1798" spans="1:35">
      <c r="A1798">
        <f t="shared" si="240"/>
        <v>0</v>
      </c>
      <c r="B1798">
        <f t="shared" si="241"/>
        <v>1</v>
      </c>
      <c r="C1798">
        <f t="shared" si="242"/>
        <v>0</v>
      </c>
      <c r="D1798">
        <f t="shared" si="243"/>
        <v>1</v>
      </c>
      <c r="E1798">
        <f t="shared" si="244"/>
        <v>0</v>
      </c>
      <c r="F1798">
        <f t="shared" si="245"/>
        <v>1</v>
      </c>
      <c r="G1798">
        <f t="shared" si="246"/>
        <v>0</v>
      </c>
      <c r="H1798">
        <v>0</v>
      </c>
      <c r="I1798">
        <f t="shared" si="247"/>
        <v>0</v>
      </c>
      <c r="J1798">
        <f t="shared" si="239"/>
        <v>6.8787292242050198</v>
      </c>
      <c r="K1798" t="s">
        <v>463</v>
      </c>
      <c r="L1798" t="s">
        <v>464</v>
      </c>
      <c r="M1798" t="s">
        <v>27</v>
      </c>
      <c r="N1798" t="s">
        <v>27</v>
      </c>
      <c r="O1798">
        <v>15.8</v>
      </c>
      <c r="P1798">
        <v>1.0706700086593599</v>
      </c>
      <c r="Q1798">
        <v>1.1527580022811901</v>
      </c>
      <c r="R1798">
        <v>15.7700004577637</v>
      </c>
      <c r="S1798">
        <v>9.4375</v>
      </c>
      <c r="T1798">
        <v>36.753044128417997</v>
      </c>
      <c r="U1798" t="s">
        <v>27</v>
      </c>
      <c r="V1798">
        <v>-84999.9765625</v>
      </c>
      <c r="W1798">
        <v>0.36530700325965898</v>
      </c>
      <c r="X1798">
        <v>0.18999999761581399</v>
      </c>
      <c r="Y1798">
        <v>10.440677642822299</v>
      </c>
      <c r="Z1798">
        <v>5.7259712219238299</v>
      </c>
      <c r="AA1798">
        <v>18207000</v>
      </c>
      <c r="AB1798" t="s">
        <v>27</v>
      </c>
      <c r="AC1798" t="s">
        <v>27</v>
      </c>
      <c r="AD1798">
        <v>0.239999994635582</v>
      </c>
      <c r="AE1798" t="s">
        <v>27</v>
      </c>
      <c r="AF1798" t="s">
        <v>27</v>
      </c>
      <c r="AG1798">
        <v>25044000</v>
      </c>
      <c r="AH1798">
        <v>41.944049835205099</v>
      </c>
      <c r="AI1798">
        <v>0.390101999044418</v>
      </c>
    </row>
    <row r="1799" spans="1:35">
      <c r="A1799">
        <f t="shared" si="240"/>
        <v>0</v>
      </c>
      <c r="B1799">
        <f t="shared" si="241"/>
        <v>0</v>
      </c>
      <c r="C1799">
        <f t="shared" si="242"/>
        <v>1</v>
      </c>
      <c r="D1799">
        <f t="shared" si="243"/>
        <v>0</v>
      </c>
      <c r="E1799">
        <f t="shared" si="244"/>
        <v>0</v>
      </c>
      <c r="F1799">
        <f t="shared" si="245"/>
        <v>1</v>
      </c>
      <c r="G1799">
        <f t="shared" si="246"/>
        <v>1</v>
      </c>
      <c r="H1799">
        <v>0</v>
      </c>
      <c r="I1799">
        <f t="shared" si="247"/>
        <v>0</v>
      </c>
      <c r="J1799">
        <f t="shared" si="239"/>
        <v>6.8493777513504099</v>
      </c>
      <c r="K1799" t="s">
        <v>1229</v>
      </c>
      <c r="L1799" t="s">
        <v>1230</v>
      </c>
      <c r="M1799" t="s">
        <v>27</v>
      </c>
      <c r="N1799" t="s">
        <v>27</v>
      </c>
      <c r="O1799">
        <v>13.01</v>
      </c>
      <c r="P1799">
        <v>5.4291357994079599</v>
      </c>
      <c r="Q1799">
        <v>5.6937108039856001</v>
      </c>
      <c r="R1799">
        <v>21.790000915527301</v>
      </c>
      <c r="S1799">
        <v>22.757369752914201</v>
      </c>
      <c r="T1799">
        <v>0</v>
      </c>
      <c r="U1799">
        <v>71.729560852050795</v>
      </c>
      <c r="V1799">
        <v>2627000</v>
      </c>
      <c r="W1799">
        <v>7.74133205413818</v>
      </c>
      <c r="X1799">
        <v>6.34920637623793E-2</v>
      </c>
      <c r="Y1799">
        <v>0.623377025127411</v>
      </c>
      <c r="Z1799">
        <v>1.15566694736481</v>
      </c>
      <c r="AA1799">
        <v>28285740</v>
      </c>
      <c r="AB1799" t="s">
        <v>73</v>
      </c>
      <c r="AC1799" t="s">
        <v>177</v>
      </c>
      <c r="AD1799">
        <v>5.7142855865614801E-2</v>
      </c>
      <c r="AE1799">
        <v>78.761390686035199</v>
      </c>
      <c r="AF1799">
        <v>22.476717203812999</v>
      </c>
      <c r="AG1799">
        <v>28438200</v>
      </c>
      <c r="AH1799">
        <v>0</v>
      </c>
      <c r="AI1799">
        <v>6.9799609184265101</v>
      </c>
    </row>
    <row r="1800" spans="1:35">
      <c r="A1800">
        <f t="shared" si="240"/>
        <v>0</v>
      </c>
      <c r="B1800">
        <f t="shared" si="241"/>
        <v>0</v>
      </c>
      <c r="C1800">
        <f t="shared" si="242"/>
        <v>1</v>
      </c>
      <c r="D1800">
        <f t="shared" si="243"/>
        <v>0</v>
      </c>
      <c r="E1800">
        <f t="shared" si="244"/>
        <v>0</v>
      </c>
      <c r="F1800">
        <f t="shared" si="245"/>
        <v>1</v>
      </c>
      <c r="G1800">
        <f t="shared" si="246"/>
        <v>0</v>
      </c>
      <c r="H1800">
        <v>0</v>
      </c>
      <c r="I1800">
        <f t="shared" si="247"/>
        <v>0</v>
      </c>
      <c r="J1800">
        <f t="shared" si="239"/>
        <v>6.8326700925827009</v>
      </c>
      <c r="K1800" t="s">
        <v>3131</v>
      </c>
      <c r="L1800" t="s">
        <v>3132</v>
      </c>
      <c r="M1800" t="s">
        <v>27</v>
      </c>
      <c r="N1800" t="s">
        <v>27</v>
      </c>
      <c r="O1800">
        <v>35.78</v>
      </c>
      <c r="P1800">
        <v>3.31899094581604</v>
      </c>
      <c r="Q1800">
        <v>4.9095931053161603</v>
      </c>
      <c r="R1800">
        <v>46.200000762939503</v>
      </c>
      <c r="S1800">
        <v>46.360000610351598</v>
      </c>
      <c r="T1800">
        <v>34.069183349609403</v>
      </c>
      <c r="U1800">
        <v>19.163896560668899</v>
      </c>
      <c r="V1800">
        <v>10889000</v>
      </c>
      <c r="W1800" t="s">
        <v>27</v>
      </c>
      <c r="X1800">
        <v>0.43999999761581399</v>
      </c>
      <c r="Y1800">
        <v>3.88235306739807</v>
      </c>
      <c r="Z1800">
        <v>1.9230769872665401</v>
      </c>
      <c r="AA1800">
        <v>10377000</v>
      </c>
      <c r="AB1800" t="s">
        <v>27</v>
      </c>
      <c r="AC1800" t="s">
        <v>27</v>
      </c>
      <c r="AD1800">
        <v>-0.31999999284744302</v>
      </c>
      <c r="AE1800">
        <v>16.9077758789063</v>
      </c>
      <c r="AF1800">
        <v>9.1163124501775492</v>
      </c>
      <c r="AG1800">
        <v>10386000</v>
      </c>
      <c r="AH1800">
        <v>38.1403617858887</v>
      </c>
      <c r="AI1800">
        <v>1.41338098049164</v>
      </c>
    </row>
    <row r="1801" spans="1:35">
      <c r="A1801">
        <f t="shared" si="240"/>
        <v>1</v>
      </c>
      <c r="B1801">
        <f t="shared" si="241"/>
        <v>0</v>
      </c>
      <c r="C1801">
        <f t="shared" si="242"/>
        <v>1</v>
      </c>
      <c r="D1801">
        <f t="shared" si="243"/>
        <v>1</v>
      </c>
      <c r="E1801">
        <f t="shared" si="244"/>
        <v>0</v>
      </c>
      <c r="F1801">
        <f t="shared" si="245"/>
        <v>1</v>
      </c>
      <c r="G1801">
        <f t="shared" si="246"/>
        <v>0</v>
      </c>
      <c r="H1801">
        <v>0</v>
      </c>
      <c r="I1801">
        <f t="shared" si="247"/>
        <v>1</v>
      </c>
      <c r="J1801">
        <f t="shared" si="239"/>
        <v>6.7929052114486748</v>
      </c>
      <c r="K1801" t="s">
        <v>3085</v>
      </c>
      <c r="L1801" t="s">
        <v>3086</v>
      </c>
      <c r="M1801" t="s">
        <v>27</v>
      </c>
      <c r="N1801" t="s">
        <v>27</v>
      </c>
      <c r="O1801">
        <v>21.3</v>
      </c>
      <c r="P1801">
        <v>2.07618308067322</v>
      </c>
      <c r="Q1801">
        <v>0.25444400310516402</v>
      </c>
      <c r="R1801">
        <v>16</v>
      </c>
      <c r="S1801">
        <v>12.9375</v>
      </c>
      <c r="T1801">
        <v>21.589643478393601</v>
      </c>
      <c r="U1801">
        <v>10.4531545639038</v>
      </c>
      <c r="V1801">
        <v>5634000</v>
      </c>
      <c r="W1801">
        <v>2.3757600784301798</v>
      </c>
      <c r="X1801">
        <v>0.140000000596046</v>
      </c>
      <c r="Y1801">
        <v>7.7857141494751003</v>
      </c>
      <c r="Z1801">
        <v>6.5384612083435103</v>
      </c>
      <c r="AA1801">
        <v>9556000</v>
      </c>
      <c r="AB1801" t="s">
        <v>52</v>
      </c>
      <c r="AC1801" t="s">
        <v>56</v>
      </c>
      <c r="AD1801">
        <v>0.21999999880790699</v>
      </c>
      <c r="AE1801">
        <v>6.92922115325928</v>
      </c>
      <c r="AF1801">
        <v>14.2972687492327</v>
      </c>
      <c r="AG1801">
        <v>9150000</v>
      </c>
      <c r="AH1801">
        <v>21.119529724121101</v>
      </c>
      <c r="AI1801">
        <v>1.8585729598998999</v>
      </c>
    </row>
    <row r="1802" spans="1:35">
      <c r="A1802">
        <f t="shared" si="240"/>
        <v>1</v>
      </c>
      <c r="B1802">
        <f t="shared" si="241"/>
        <v>0</v>
      </c>
      <c r="C1802">
        <f t="shared" si="242"/>
        <v>1</v>
      </c>
      <c r="D1802">
        <f t="shared" si="243"/>
        <v>0</v>
      </c>
      <c r="E1802">
        <f t="shared" si="244"/>
        <v>0</v>
      </c>
      <c r="F1802">
        <f t="shared" si="245"/>
        <v>1</v>
      </c>
      <c r="G1802">
        <f t="shared" si="246"/>
        <v>0</v>
      </c>
      <c r="H1802">
        <v>0</v>
      </c>
      <c r="I1802">
        <f t="shared" si="247"/>
        <v>0</v>
      </c>
      <c r="J1802">
        <f t="shared" si="239"/>
        <v>6.79039418697357</v>
      </c>
      <c r="K1802" t="s">
        <v>1172</v>
      </c>
      <c r="L1802" t="s">
        <v>1173</v>
      </c>
      <c r="M1802" t="s">
        <v>27</v>
      </c>
      <c r="N1802" t="s">
        <v>27</v>
      </c>
      <c r="O1802">
        <v>17.399999999999999</v>
      </c>
      <c r="P1802">
        <v>14.6989898681641</v>
      </c>
      <c r="Q1802">
        <v>1.2007130384445199</v>
      </c>
      <c r="R1802">
        <v>20.459999084472699</v>
      </c>
      <c r="S1802">
        <v>22.9375</v>
      </c>
      <c r="T1802">
        <v>0.49226999282836897</v>
      </c>
      <c r="U1802">
        <v>47.981487274169901</v>
      </c>
      <c r="V1802">
        <v>26508000</v>
      </c>
      <c r="W1802">
        <v>16.712415695190401</v>
      </c>
      <c r="X1802">
        <v>0.37000000476837203</v>
      </c>
      <c r="Y1802">
        <v>6.5346531867981001</v>
      </c>
      <c r="Z1802">
        <v>5.5896811485290501</v>
      </c>
      <c r="AA1802">
        <v>56858000</v>
      </c>
      <c r="AB1802" t="s">
        <v>38</v>
      </c>
      <c r="AC1802" t="s">
        <v>39</v>
      </c>
      <c r="AD1802">
        <v>0.20999999344348899</v>
      </c>
      <c r="AE1802">
        <v>46.428230285644503</v>
      </c>
      <c r="AF1802">
        <v>14.918922182046799</v>
      </c>
      <c r="AG1802">
        <v>53755000</v>
      </c>
      <c r="AH1802">
        <v>0.41196599602699302</v>
      </c>
      <c r="AI1802">
        <v>8.2959871292114293</v>
      </c>
    </row>
    <row r="1803" spans="1:35">
      <c r="A1803">
        <f t="shared" si="240"/>
        <v>1</v>
      </c>
      <c r="B1803">
        <f t="shared" si="241"/>
        <v>0</v>
      </c>
      <c r="C1803">
        <f t="shared" si="242"/>
        <v>1</v>
      </c>
      <c r="D1803">
        <f t="shared" si="243"/>
        <v>0</v>
      </c>
      <c r="E1803">
        <f t="shared" si="244"/>
        <v>1</v>
      </c>
      <c r="F1803">
        <f t="shared" si="245"/>
        <v>1</v>
      </c>
      <c r="G1803">
        <f t="shared" si="246"/>
        <v>0</v>
      </c>
      <c r="H1803">
        <v>0</v>
      </c>
      <c r="I1803">
        <f t="shared" si="247"/>
        <v>1</v>
      </c>
      <c r="J1803">
        <f t="shared" si="239"/>
        <v>6.7583911418914804</v>
      </c>
      <c r="K1803" t="s">
        <v>3348</v>
      </c>
      <c r="L1803" t="s">
        <v>3349</v>
      </c>
      <c r="M1803" t="s">
        <v>27</v>
      </c>
      <c r="N1803" t="s">
        <v>27</v>
      </c>
      <c r="O1803">
        <v>11.85</v>
      </c>
      <c r="P1803">
        <v>10.356248855590801</v>
      </c>
      <c r="Q1803">
        <v>4.1869621276855504</v>
      </c>
      <c r="R1803">
        <v>7.5999999046325701</v>
      </c>
      <c r="S1803">
        <v>7.2300000190734899</v>
      </c>
      <c r="T1803">
        <v>45.8370971679688</v>
      </c>
      <c r="U1803">
        <v>24.719705581665</v>
      </c>
      <c r="V1803">
        <v>9713999</v>
      </c>
      <c r="W1803" t="s">
        <v>27</v>
      </c>
      <c r="X1803">
        <v>0.34000000357627902</v>
      </c>
      <c r="Y1803">
        <v>19.6363639831543</v>
      </c>
      <c r="Z1803">
        <v>2.57142901420593</v>
      </c>
      <c r="AA1803">
        <v>22397000</v>
      </c>
      <c r="AB1803" t="s">
        <v>30</v>
      </c>
      <c r="AC1803" t="s">
        <v>1457</v>
      </c>
      <c r="AD1803">
        <v>-7.9999998211860698E-2</v>
      </c>
      <c r="AE1803">
        <v>22.1756896972656</v>
      </c>
      <c r="AF1803">
        <v>5.3997094688807197</v>
      </c>
      <c r="AG1803">
        <v>22397000</v>
      </c>
      <c r="AH1803">
        <v>45.598682403564503</v>
      </c>
      <c r="AI1803">
        <v>4.6884407997131303</v>
      </c>
    </row>
    <row r="1804" spans="1:35">
      <c r="A1804">
        <f t="shared" si="240"/>
        <v>0</v>
      </c>
      <c r="B1804">
        <f t="shared" si="241"/>
        <v>0</v>
      </c>
      <c r="C1804">
        <f t="shared" si="242"/>
        <v>1</v>
      </c>
      <c r="D1804">
        <f t="shared" si="243"/>
        <v>0</v>
      </c>
      <c r="E1804">
        <f t="shared" si="244"/>
        <v>0</v>
      </c>
      <c r="F1804">
        <f t="shared" si="245"/>
        <v>1</v>
      </c>
      <c r="G1804">
        <f t="shared" si="246"/>
        <v>0</v>
      </c>
      <c r="H1804">
        <v>0</v>
      </c>
      <c r="I1804">
        <f t="shared" si="247"/>
        <v>0</v>
      </c>
      <c r="J1804">
        <f t="shared" si="239"/>
        <v>6.7184669971466002</v>
      </c>
      <c r="K1804" t="s">
        <v>3619</v>
      </c>
      <c r="L1804" t="s">
        <v>3620</v>
      </c>
      <c r="M1804" t="s">
        <v>27</v>
      </c>
      <c r="N1804" t="s">
        <v>27</v>
      </c>
      <c r="O1804">
        <v>6</v>
      </c>
      <c r="P1804" t="s">
        <v>27</v>
      </c>
      <c r="Q1804">
        <v>3.3851339817047101</v>
      </c>
      <c r="R1804">
        <v>8.6700000762939506</v>
      </c>
      <c r="S1804">
        <v>41.625</v>
      </c>
      <c r="T1804">
        <v>0</v>
      </c>
      <c r="U1804">
        <v>67.519302368164105</v>
      </c>
      <c r="V1804">
        <v>3672000</v>
      </c>
      <c r="W1804">
        <v>11.993750572204601</v>
      </c>
      <c r="X1804">
        <v>5.9999998658895499E-2</v>
      </c>
      <c r="Y1804" t="s">
        <v>27</v>
      </c>
      <c r="Z1804">
        <v>3.3333330154418901</v>
      </c>
      <c r="AA1804">
        <v>40511000</v>
      </c>
      <c r="AB1804" t="s">
        <v>27</v>
      </c>
      <c r="AC1804" t="s">
        <v>27</v>
      </c>
      <c r="AD1804">
        <v>3.9999999105930301E-2</v>
      </c>
      <c r="AE1804">
        <v>61.661415100097699</v>
      </c>
      <c r="AF1804" t="s">
        <v>27</v>
      </c>
      <c r="AG1804">
        <v>41115000</v>
      </c>
      <c r="AH1804">
        <v>0</v>
      </c>
      <c r="AI1804">
        <v>7.2746648788452104</v>
      </c>
    </row>
    <row r="1805" spans="1:35">
      <c r="A1805">
        <f t="shared" si="240"/>
        <v>1</v>
      </c>
      <c r="B1805">
        <f t="shared" si="241"/>
        <v>1</v>
      </c>
      <c r="C1805">
        <f t="shared" si="242"/>
        <v>1</v>
      </c>
      <c r="D1805">
        <f t="shared" si="243"/>
        <v>0</v>
      </c>
      <c r="E1805">
        <f t="shared" si="244"/>
        <v>0</v>
      </c>
      <c r="F1805">
        <f t="shared" si="245"/>
        <v>1</v>
      </c>
      <c r="G1805">
        <f t="shared" si="246"/>
        <v>0</v>
      </c>
      <c r="H1805">
        <v>0</v>
      </c>
      <c r="I1805">
        <f t="shared" si="247"/>
        <v>0</v>
      </c>
      <c r="J1805">
        <f t="shared" si="239"/>
        <v>6.6986429691314697</v>
      </c>
      <c r="K1805" t="s">
        <v>2324</v>
      </c>
      <c r="L1805" t="s">
        <v>2325</v>
      </c>
      <c r="M1805" t="s">
        <v>27</v>
      </c>
      <c r="N1805" t="s">
        <v>27</v>
      </c>
      <c r="O1805">
        <v>5.76</v>
      </c>
      <c r="P1805" t="s">
        <v>27</v>
      </c>
      <c r="Q1805">
        <v>1.6986429691314699</v>
      </c>
      <c r="R1805">
        <v>7.3000001907348597</v>
      </c>
      <c r="S1805">
        <v>6.5</v>
      </c>
      <c r="T1805">
        <v>18.5680446624756</v>
      </c>
      <c r="U1805">
        <v>30.137090682983398</v>
      </c>
      <c r="V1805">
        <v>40198000</v>
      </c>
      <c r="W1805">
        <v>6.5699877738952601</v>
      </c>
      <c r="X1805">
        <v>0.89999997615814198</v>
      </c>
      <c r="Y1805">
        <v>11.9518070220947</v>
      </c>
      <c r="Z1805">
        <v>5</v>
      </c>
      <c r="AA1805">
        <v>96423000</v>
      </c>
      <c r="AB1805" t="s">
        <v>27</v>
      </c>
      <c r="AC1805" t="s">
        <v>27</v>
      </c>
      <c r="AD1805">
        <v>9.9999997764825804E-3</v>
      </c>
      <c r="AE1805">
        <v>26.571290969848601</v>
      </c>
      <c r="AF1805">
        <v>11.612276165963101</v>
      </c>
      <c r="AG1805">
        <v>98130000</v>
      </c>
      <c r="AH1805">
        <v>9.0350799560546893</v>
      </c>
      <c r="AI1805">
        <v>7.3695168495178196</v>
      </c>
    </row>
    <row r="1806" spans="1:35">
      <c r="A1806">
        <f t="shared" si="240"/>
        <v>1</v>
      </c>
      <c r="B1806">
        <f t="shared" si="241"/>
        <v>0</v>
      </c>
      <c r="C1806">
        <f t="shared" si="242"/>
        <v>1</v>
      </c>
      <c r="D1806">
        <f t="shared" si="243"/>
        <v>0</v>
      </c>
      <c r="E1806">
        <f t="shared" si="244"/>
        <v>0</v>
      </c>
      <c r="F1806">
        <f t="shared" si="245"/>
        <v>1</v>
      </c>
      <c r="G1806">
        <f t="shared" si="246"/>
        <v>0</v>
      </c>
      <c r="H1806">
        <v>0</v>
      </c>
      <c r="I1806">
        <f t="shared" si="247"/>
        <v>1</v>
      </c>
      <c r="J1806">
        <f t="shared" si="239"/>
        <v>6.6673150062561</v>
      </c>
      <c r="K1806" t="s">
        <v>3921</v>
      </c>
      <c r="L1806" t="s">
        <v>3922</v>
      </c>
      <c r="M1806" t="s">
        <v>27</v>
      </c>
      <c r="N1806" t="s">
        <v>27</v>
      </c>
      <c r="O1806">
        <v>39.94</v>
      </c>
      <c r="P1806">
        <v>9.1996212005615199</v>
      </c>
      <c r="Q1806">
        <v>4.33585405349731</v>
      </c>
      <c r="R1806">
        <v>36.069999694824197</v>
      </c>
      <c r="S1806">
        <v>43</v>
      </c>
      <c r="T1806">
        <v>1.4512999914586501E-2</v>
      </c>
      <c r="U1806">
        <v>58.160041809082003</v>
      </c>
      <c r="V1806">
        <v>2646000</v>
      </c>
      <c r="W1806">
        <v>8.9136428833007795</v>
      </c>
      <c r="X1806">
        <v>0.34999999403953602</v>
      </c>
      <c r="Y1806">
        <v>2.13333296775818</v>
      </c>
      <c r="Z1806">
        <v>2.33146095275879</v>
      </c>
      <c r="AA1806">
        <v>8798000</v>
      </c>
      <c r="AB1806" t="s">
        <v>27</v>
      </c>
      <c r="AC1806" t="s">
        <v>27</v>
      </c>
      <c r="AD1806">
        <v>0.31000000238418601</v>
      </c>
      <c r="AE1806">
        <v>54.997001647949197</v>
      </c>
      <c r="AF1806">
        <v>14.434191867040401</v>
      </c>
      <c r="AG1806">
        <v>8884000</v>
      </c>
      <c r="AH1806">
        <v>0</v>
      </c>
      <c r="AI1806">
        <v>5.3593950271606401</v>
      </c>
    </row>
    <row r="1807" spans="1:35">
      <c r="A1807">
        <f t="shared" si="240"/>
        <v>0</v>
      </c>
      <c r="B1807">
        <f t="shared" si="241"/>
        <v>0</v>
      </c>
      <c r="C1807">
        <f t="shared" si="242"/>
        <v>0</v>
      </c>
      <c r="D1807">
        <f t="shared" si="243"/>
        <v>0</v>
      </c>
      <c r="E1807">
        <f t="shared" si="244"/>
        <v>0</v>
      </c>
      <c r="F1807">
        <f t="shared" si="245"/>
        <v>1</v>
      </c>
      <c r="G1807">
        <f t="shared" si="246"/>
        <v>0</v>
      </c>
      <c r="H1807">
        <v>0</v>
      </c>
      <c r="I1807">
        <f t="shared" si="247"/>
        <v>0</v>
      </c>
      <c r="J1807">
        <f t="shared" si="239"/>
        <v>6.62408399581909</v>
      </c>
      <c r="K1807" t="s">
        <v>1850</v>
      </c>
      <c r="L1807" t="s">
        <v>1851</v>
      </c>
      <c r="M1807" t="s">
        <v>27</v>
      </c>
      <c r="N1807" t="s">
        <v>27</v>
      </c>
      <c r="O1807">
        <v>9.07</v>
      </c>
      <c r="P1807">
        <v>18.36354637146</v>
      </c>
      <c r="Q1807">
        <v>4.0664319992065403</v>
      </c>
      <c r="R1807">
        <v>16.850000381469702</v>
      </c>
      <c r="S1807">
        <v>103.34375</v>
      </c>
      <c r="T1807">
        <v>0</v>
      </c>
      <c r="U1807">
        <v>25.050073623657202</v>
      </c>
      <c r="V1807">
        <v>-29483000</v>
      </c>
      <c r="W1807" t="s">
        <v>27</v>
      </c>
      <c r="X1807">
        <v>0.41999998688697798</v>
      </c>
      <c r="Y1807">
        <v>2.42105293273926</v>
      </c>
      <c r="Z1807">
        <v>2.5576519966125502</v>
      </c>
      <c r="AA1807">
        <v>13651000</v>
      </c>
      <c r="AB1807" t="s">
        <v>73</v>
      </c>
      <c r="AC1807" t="s">
        <v>210</v>
      </c>
      <c r="AD1807">
        <v>-1.2400000095367401</v>
      </c>
      <c r="AE1807">
        <v>3.7355298995971702</v>
      </c>
      <c r="AF1807" t="s">
        <v>27</v>
      </c>
      <c r="AG1807">
        <v>13877000</v>
      </c>
      <c r="AH1807">
        <v>0</v>
      </c>
      <c r="AI1807">
        <v>14.4850406646729</v>
      </c>
    </row>
    <row r="1808" spans="1:35">
      <c r="A1808">
        <f t="shared" si="240"/>
        <v>0</v>
      </c>
      <c r="B1808">
        <f t="shared" si="241"/>
        <v>0</v>
      </c>
      <c r="C1808">
        <f t="shared" si="242"/>
        <v>1</v>
      </c>
      <c r="D1808">
        <f t="shared" si="243"/>
        <v>0</v>
      </c>
      <c r="E1808">
        <f t="shared" si="244"/>
        <v>0</v>
      </c>
      <c r="F1808">
        <f t="shared" si="245"/>
        <v>1</v>
      </c>
      <c r="G1808">
        <f t="shared" si="246"/>
        <v>0</v>
      </c>
      <c r="H1808">
        <v>0</v>
      </c>
      <c r="I1808">
        <f t="shared" si="247"/>
        <v>1</v>
      </c>
      <c r="J1808">
        <f t="shared" si="239"/>
        <v>6.5293349027633605</v>
      </c>
      <c r="K1808" t="s">
        <v>875</v>
      </c>
      <c r="L1808" t="s">
        <v>876</v>
      </c>
      <c r="M1808" t="s">
        <v>27</v>
      </c>
      <c r="N1808" t="s">
        <v>27</v>
      </c>
      <c r="O1808">
        <v>12.35</v>
      </c>
      <c r="P1808">
        <v>21.743757247924801</v>
      </c>
      <c r="Q1808">
        <v>4.6948308944702104</v>
      </c>
      <c r="R1808">
        <v>10.9251251220703</v>
      </c>
      <c r="S1808">
        <v>25.90625</v>
      </c>
      <c r="T1808">
        <v>0</v>
      </c>
      <c r="U1808">
        <v>47.462009429931598</v>
      </c>
      <c r="V1808">
        <v>788000.125</v>
      </c>
      <c r="W1808">
        <v>12.618483543396</v>
      </c>
      <c r="X1808">
        <v>0.44666667779286701</v>
      </c>
      <c r="Y1808">
        <v>6.7058820724487296</v>
      </c>
      <c r="Z1808">
        <v>1.8345040082931501</v>
      </c>
      <c r="AA1808">
        <v>15859500</v>
      </c>
      <c r="AB1808" t="s">
        <v>30</v>
      </c>
      <c r="AC1808" t="s">
        <v>68</v>
      </c>
      <c r="AD1808">
        <v>0.100000003973643</v>
      </c>
      <c r="AE1808">
        <v>43.966072082519503</v>
      </c>
      <c r="AF1808">
        <v>7.38497024092411</v>
      </c>
      <c r="AG1808">
        <v>16072500</v>
      </c>
      <c r="AH1808">
        <v>0</v>
      </c>
      <c r="AI1808">
        <v>9.6319789886474592</v>
      </c>
    </row>
    <row r="1809" spans="1:35">
      <c r="A1809">
        <f t="shared" si="240"/>
        <v>0</v>
      </c>
      <c r="B1809">
        <f t="shared" si="241"/>
        <v>0</v>
      </c>
      <c r="C1809">
        <f t="shared" si="242"/>
        <v>1</v>
      </c>
      <c r="D1809">
        <f t="shared" si="243"/>
        <v>0</v>
      </c>
      <c r="E1809">
        <f t="shared" si="244"/>
        <v>1</v>
      </c>
      <c r="F1809">
        <f t="shared" si="245"/>
        <v>1</v>
      </c>
      <c r="G1809">
        <f t="shared" si="246"/>
        <v>0</v>
      </c>
      <c r="H1809">
        <v>0</v>
      </c>
      <c r="I1809">
        <f t="shared" si="247"/>
        <v>0</v>
      </c>
      <c r="J1809">
        <f t="shared" si="239"/>
        <v>6.5140571594238299</v>
      </c>
      <c r="K1809" t="s">
        <v>3711</v>
      </c>
      <c r="L1809" t="s">
        <v>3712</v>
      </c>
      <c r="M1809" t="s">
        <v>27</v>
      </c>
      <c r="N1809" t="s">
        <v>27</v>
      </c>
      <c r="O1809">
        <v>46.13</v>
      </c>
      <c r="P1809">
        <v>9.3570747375488299</v>
      </c>
      <c r="Q1809">
        <v>1.35818195343018</v>
      </c>
      <c r="R1809">
        <v>48.200000762939503</v>
      </c>
      <c r="S1809">
        <v>36.34375</v>
      </c>
      <c r="T1809">
        <v>0</v>
      </c>
      <c r="U1809">
        <v>92.673233032226605</v>
      </c>
      <c r="V1809">
        <v>4469000</v>
      </c>
      <c r="W1809">
        <v>12.434572219848601</v>
      </c>
      <c r="X1809">
        <v>0.64999997615814198</v>
      </c>
      <c r="Y1809">
        <v>9.51971340179443</v>
      </c>
      <c r="Z1809">
        <v>5.1558752059936497</v>
      </c>
      <c r="AA1809">
        <v>9979000</v>
      </c>
      <c r="AB1809" t="s">
        <v>34</v>
      </c>
      <c r="AC1809" t="s">
        <v>237</v>
      </c>
      <c r="AD1809">
        <v>0.55000001192092896</v>
      </c>
      <c r="AE1809">
        <v>89.966476440429702</v>
      </c>
      <c r="AF1809">
        <v>13.565364329360101</v>
      </c>
      <c r="AG1809">
        <v>9979000</v>
      </c>
      <c r="AH1809">
        <v>0</v>
      </c>
      <c r="AI1809">
        <v>8.4650115966796893</v>
      </c>
    </row>
    <row r="1810" spans="1:35">
      <c r="A1810">
        <f t="shared" si="240"/>
        <v>1</v>
      </c>
      <c r="B1810">
        <f t="shared" si="241"/>
        <v>0</v>
      </c>
      <c r="C1810">
        <f t="shared" si="242"/>
        <v>1</v>
      </c>
      <c r="D1810">
        <f t="shared" si="243"/>
        <v>0</v>
      </c>
      <c r="E1810">
        <f t="shared" si="244"/>
        <v>0</v>
      </c>
      <c r="F1810">
        <f t="shared" si="245"/>
        <v>1</v>
      </c>
      <c r="G1810">
        <f t="shared" si="246"/>
        <v>0</v>
      </c>
      <c r="H1810">
        <v>0</v>
      </c>
      <c r="I1810">
        <f t="shared" si="247"/>
        <v>0</v>
      </c>
      <c r="J1810">
        <f t="shared" si="239"/>
        <v>6.4931378364563006</v>
      </c>
      <c r="K1810" t="s">
        <v>1177</v>
      </c>
      <c r="L1810" t="s">
        <v>1178</v>
      </c>
      <c r="M1810" t="s">
        <v>27</v>
      </c>
      <c r="N1810" t="s">
        <v>27</v>
      </c>
      <c r="O1810">
        <v>17.399999999999999</v>
      </c>
      <c r="P1810">
        <v>10.1888933181763</v>
      </c>
      <c r="Q1810">
        <v>4.1707968711853001</v>
      </c>
      <c r="R1810">
        <v>22.600000381469702</v>
      </c>
      <c r="S1810">
        <v>16.2600002288818</v>
      </c>
      <c r="T1810">
        <v>31.061031341552699</v>
      </c>
      <c r="U1810">
        <v>19.544532775878899</v>
      </c>
      <c r="V1810">
        <v>24167000</v>
      </c>
      <c r="W1810">
        <v>10.415550231933601</v>
      </c>
      <c r="X1810">
        <v>0.28000000119209301</v>
      </c>
      <c r="Y1810">
        <v>8.4827594757080096</v>
      </c>
      <c r="Z1810">
        <v>2.3223409652710001</v>
      </c>
      <c r="AA1810">
        <v>19374000</v>
      </c>
      <c r="AB1810" t="s">
        <v>27</v>
      </c>
      <c r="AC1810" t="s">
        <v>27</v>
      </c>
      <c r="AD1810">
        <v>0.25</v>
      </c>
      <c r="AE1810">
        <v>18.6532497406006</v>
      </c>
      <c r="AF1810">
        <v>7.8020283156580303</v>
      </c>
      <c r="AG1810">
        <v>19237000</v>
      </c>
      <c r="AH1810">
        <v>28.150457382202099</v>
      </c>
      <c r="AI1810">
        <v>2.56715989112854</v>
      </c>
    </row>
    <row r="1811" spans="1:35">
      <c r="A1811">
        <f t="shared" si="240"/>
        <v>0</v>
      </c>
      <c r="B1811">
        <f t="shared" si="241"/>
        <v>1</v>
      </c>
      <c r="C1811">
        <f t="shared" si="242"/>
        <v>0</v>
      </c>
      <c r="D1811">
        <f t="shared" si="243"/>
        <v>0</v>
      </c>
      <c r="E1811">
        <f t="shared" si="244"/>
        <v>0</v>
      </c>
      <c r="F1811">
        <f t="shared" si="245"/>
        <v>1</v>
      </c>
      <c r="G1811">
        <f t="shared" si="246"/>
        <v>0</v>
      </c>
      <c r="H1811">
        <v>0</v>
      </c>
      <c r="I1811">
        <f t="shared" si="247"/>
        <v>0</v>
      </c>
      <c r="J1811">
        <f t="shared" si="239"/>
        <v>6.4856488704681396</v>
      </c>
      <c r="K1811" t="s">
        <v>2346</v>
      </c>
      <c r="L1811" t="s">
        <v>2347</v>
      </c>
      <c r="M1811" t="s">
        <v>27</v>
      </c>
      <c r="N1811" t="s">
        <v>27</v>
      </c>
      <c r="O1811">
        <v>40.5</v>
      </c>
      <c r="P1811">
        <v>7.9248228073120099</v>
      </c>
      <c r="Q1811">
        <v>2.3421509265899698</v>
      </c>
      <c r="R1811">
        <v>56</v>
      </c>
      <c r="S1811">
        <v>55.2299995422363</v>
      </c>
      <c r="T1811">
        <v>23.480754852294901</v>
      </c>
      <c r="U1811">
        <v>17.776502609252901</v>
      </c>
      <c r="V1811">
        <v>-44300000</v>
      </c>
      <c r="W1811">
        <v>2.7152099609375</v>
      </c>
      <c r="X1811">
        <v>1.0900000333786</v>
      </c>
      <c r="Y1811">
        <v>15.238095283508301</v>
      </c>
      <c r="Z1811">
        <v>4.1434979438781703</v>
      </c>
      <c r="AA1811">
        <v>8170000</v>
      </c>
      <c r="AB1811" t="s">
        <v>30</v>
      </c>
      <c r="AC1811" t="s">
        <v>410</v>
      </c>
      <c r="AD1811">
        <v>-3.3599998950958301</v>
      </c>
      <c r="AE1811">
        <v>14.594143867492701</v>
      </c>
      <c r="AF1811">
        <v>4.7970476537585398</v>
      </c>
      <c r="AG1811">
        <v>8194999.5</v>
      </c>
      <c r="AH1811">
        <v>29.012485504150401</v>
      </c>
      <c r="AI1811">
        <v>3.2185220718383798</v>
      </c>
    </row>
    <row r="1812" spans="1:35">
      <c r="A1812">
        <f t="shared" si="240"/>
        <v>0</v>
      </c>
      <c r="B1812">
        <f t="shared" si="241"/>
        <v>1</v>
      </c>
      <c r="C1812">
        <f t="shared" si="242"/>
        <v>1</v>
      </c>
      <c r="D1812">
        <f t="shared" si="243"/>
        <v>1</v>
      </c>
      <c r="E1812">
        <f t="shared" si="244"/>
        <v>0</v>
      </c>
      <c r="F1812">
        <f t="shared" si="245"/>
        <v>1</v>
      </c>
      <c r="G1812">
        <f t="shared" si="246"/>
        <v>1</v>
      </c>
      <c r="H1812">
        <v>0</v>
      </c>
      <c r="I1812">
        <f t="shared" si="247"/>
        <v>0</v>
      </c>
      <c r="J1812">
        <f t="shared" si="239"/>
        <v>6.4569559097290101</v>
      </c>
      <c r="K1812" t="s">
        <v>3434</v>
      </c>
      <c r="L1812" t="s">
        <v>3435</v>
      </c>
      <c r="M1812" t="s">
        <v>27</v>
      </c>
      <c r="N1812" t="s">
        <v>27</v>
      </c>
      <c r="O1812">
        <v>14.34</v>
      </c>
      <c r="P1812">
        <v>15.0374870300293</v>
      </c>
      <c r="Q1812">
        <v>4.5150389671325701</v>
      </c>
      <c r="R1812">
        <v>21.649999618530298</v>
      </c>
      <c r="S1812">
        <v>22.386363636363601</v>
      </c>
      <c r="T1812">
        <v>0</v>
      </c>
      <c r="U1812">
        <v>54.905609130859403</v>
      </c>
      <c r="V1812">
        <v>5303000</v>
      </c>
      <c r="W1812">
        <v>10.5453691482544</v>
      </c>
      <c r="X1812">
        <v>0.12727272329908401</v>
      </c>
      <c r="Y1812">
        <v>1.56818199157715</v>
      </c>
      <c r="Z1812">
        <v>1.94191694259644</v>
      </c>
      <c r="AA1812">
        <v>10347150</v>
      </c>
      <c r="AB1812" t="s">
        <v>27</v>
      </c>
      <c r="AC1812" t="s">
        <v>27</v>
      </c>
      <c r="AD1812">
        <v>0.239999994635582</v>
      </c>
      <c r="AE1812">
        <v>62.434734344482401</v>
      </c>
      <c r="AF1812">
        <v>9.8773318579990796</v>
      </c>
      <c r="AG1812">
        <v>13764000</v>
      </c>
      <c r="AH1812">
        <v>0</v>
      </c>
      <c r="AI1812">
        <v>13.551022529602101</v>
      </c>
    </row>
    <row r="1813" spans="1:35">
      <c r="A1813">
        <f t="shared" si="240"/>
        <v>1</v>
      </c>
      <c r="B1813">
        <f t="shared" si="241"/>
        <v>0</v>
      </c>
      <c r="C1813">
        <f t="shared" si="242"/>
        <v>0</v>
      </c>
      <c r="D1813">
        <f t="shared" si="243"/>
        <v>1</v>
      </c>
      <c r="E1813">
        <f t="shared" si="244"/>
        <v>0</v>
      </c>
      <c r="F1813">
        <f t="shared" si="245"/>
        <v>0</v>
      </c>
      <c r="G1813">
        <f t="shared" si="246"/>
        <v>0</v>
      </c>
      <c r="H1813">
        <v>0</v>
      </c>
      <c r="I1813">
        <f t="shared" si="247"/>
        <v>0</v>
      </c>
      <c r="J1813">
        <f t="shared" si="239"/>
        <v>6.4468967914581299</v>
      </c>
      <c r="K1813" t="s">
        <v>649</v>
      </c>
      <c r="L1813" t="s">
        <v>650</v>
      </c>
      <c r="M1813" t="s">
        <v>27</v>
      </c>
      <c r="N1813" t="s">
        <v>27</v>
      </c>
      <c r="O1813">
        <v>15.32</v>
      </c>
      <c r="P1813" t="s">
        <v>27</v>
      </c>
      <c r="Q1813">
        <v>2.8492178916931201</v>
      </c>
      <c r="R1813">
        <v>28.920000076293899</v>
      </c>
      <c r="S1813">
        <v>23.180000305175799</v>
      </c>
      <c r="T1813">
        <v>35.897262573242202</v>
      </c>
      <c r="U1813">
        <v>25.195899963378899</v>
      </c>
      <c r="V1813">
        <v>-21500000</v>
      </c>
      <c r="W1813">
        <v>21.321092605590799</v>
      </c>
      <c r="X1813">
        <v>-0.109999999403954</v>
      </c>
      <c r="Y1813">
        <v>6.4415578842163104</v>
      </c>
      <c r="Z1813">
        <v>3.5976788997650102</v>
      </c>
      <c r="AA1813">
        <v>15100000</v>
      </c>
      <c r="AB1813" t="s">
        <v>27</v>
      </c>
      <c r="AC1813" t="s">
        <v>27</v>
      </c>
      <c r="AD1813">
        <v>0.490000009536743</v>
      </c>
      <c r="AE1813">
        <v>19.794721603393601</v>
      </c>
      <c r="AF1813">
        <v>6.6318733753713399</v>
      </c>
      <c r="AG1813">
        <v>15173000</v>
      </c>
      <c r="AH1813">
        <v>33.242507934570298</v>
      </c>
      <c r="AI1813">
        <v>-4.6189222335815403</v>
      </c>
    </row>
    <row r="1814" spans="1:35">
      <c r="A1814">
        <f t="shared" si="240"/>
        <v>1</v>
      </c>
      <c r="B1814">
        <f t="shared" si="241"/>
        <v>0</v>
      </c>
      <c r="C1814">
        <f t="shared" si="242"/>
        <v>1</v>
      </c>
      <c r="D1814">
        <f t="shared" si="243"/>
        <v>0</v>
      </c>
      <c r="E1814">
        <f t="shared" si="244"/>
        <v>0</v>
      </c>
      <c r="F1814">
        <f t="shared" si="245"/>
        <v>1</v>
      </c>
      <c r="G1814">
        <f t="shared" si="246"/>
        <v>0</v>
      </c>
      <c r="H1814">
        <v>0</v>
      </c>
      <c r="I1814">
        <f t="shared" si="247"/>
        <v>0</v>
      </c>
      <c r="J1814">
        <f t="shared" si="239"/>
        <v>6.3938748836517405</v>
      </c>
      <c r="K1814" t="s">
        <v>144</v>
      </c>
      <c r="L1814" t="s">
        <v>145</v>
      </c>
      <c r="M1814" t="s">
        <v>27</v>
      </c>
      <c r="N1814" t="s">
        <v>27</v>
      </c>
      <c r="O1814">
        <v>9.75</v>
      </c>
      <c r="P1814">
        <v>7.4046988487243697</v>
      </c>
      <c r="Q1814">
        <v>2.2918789386749299</v>
      </c>
      <c r="R1814">
        <v>12.6300001144409</v>
      </c>
      <c r="S1814">
        <v>14</v>
      </c>
      <c r="T1814">
        <v>34.929416656494098</v>
      </c>
      <c r="U1814">
        <v>15.0856075286865</v>
      </c>
      <c r="V1814">
        <v>53276000</v>
      </c>
      <c r="W1814">
        <v>3.9007840156555198</v>
      </c>
      <c r="X1814">
        <v>0.41999998688697798</v>
      </c>
      <c r="Y1814">
        <v>10.1013832092285</v>
      </c>
      <c r="Z1814">
        <v>4.1019959449768102</v>
      </c>
      <c r="AA1814">
        <v>27510000</v>
      </c>
      <c r="AB1814" t="s">
        <v>38</v>
      </c>
      <c r="AC1814" t="s">
        <v>146</v>
      </c>
      <c r="AD1814">
        <v>-0.17000000178813901</v>
      </c>
      <c r="AE1814">
        <v>13.199913978576699</v>
      </c>
      <c r="AF1814">
        <v>17.303410925042598</v>
      </c>
      <c r="AG1814">
        <v>27767000</v>
      </c>
      <c r="AH1814">
        <v>27.339796066284201</v>
      </c>
      <c r="AI1814">
        <v>3.0099520683288601</v>
      </c>
    </row>
    <row r="1815" spans="1:35">
      <c r="A1815">
        <f t="shared" si="240"/>
        <v>1</v>
      </c>
      <c r="B1815">
        <f t="shared" si="241"/>
        <v>0</v>
      </c>
      <c r="C1815">
        <f t="shared" si="242"/>
        <v>1</v>
      </c>
      <c r="D1815">
        <f t="shared" si="243"/>
        <v>0</v>
      </c>
      <c r="E1815">
        <f t="shared" si="244"/>
        <v>0</v>
      </c>
      <c r="F1815">
        <f t="shared" si="245"/>
        <v>1</v>
      </c>
      <c r="G1815">
        <f t="shared" si="246"/>
        <v>0</v>
      </c>
      <c r="H1815">
        <v>0</v>
      </c>
      <c r="I1815">
        <f t="shared" si="247"/>
        <v>0</v>
      </c>
      <c r="J1815">
        <f t="shared" si="239"/>
        <v>6.3787531852722106</v>
      </c>
      <c r="K1815" t="s">
        <v>299</v>
      </c>
      <c r="L1815" t="s">
        <v>300</v>
      </c>
      <c r="M1815" t="s">
        <v>27</v>
      </c>
      <c r="N1815" t="s">
        <v>27</v>
      </c>
      <c r="O1815">
        <v>25.99</v>
      </c>
      <c r="P1815">
        <v>7.7611680030822798</v>
      </c>
      <c r="Q1815">
        <v>4.3263010978698704</v>
      </c>
      <c r="R1815">
        <v>24.7700004577637</v>
      </c>
      <c r="S1815">
        <v>16.899999618530298</v>
      </c>
      <c r="T1815">
        <v>30.338615417480501</v>
      </c>
      <c r="U1815">
        <v>18.683464050293001</v>
      </c>
      <c r="V1815">
        <v>59265000</v>
      </c>
      <c r="W1815">
        <v>4.7121000289917001</v>
      </c>
      <c r="X1815">
        <v>0.37999999523162797</v>
      </c>
      <c r="Y1815">
        <v>17.034826278686499</v>
      </c>
      <c r="Z1815">
        <v>2.0524520874023402</v>
      </c>
      <c r="AA1815">
        <v>23537000</v>
      </c>
      <c r="AB1815" t="s">
        <v>61</v>
      </c>
      <c r="AC1815" t="s">
        <v>62</v>
      </c>
      <c r="AD1815">
        <v>1.9999999552965199E-2</v>
      </c>
      <c r="AE1815">
        <v>15.8420400619507</v>
      </c>
      <c r="AF1815">
        <v>7.3380853753326996</v>
      </c>
      <c r="AG1815">
        <v>23776000</v>
      </c>
      <c r="AH1815">
        <v>26.675630569458001</v>
      </c>
      <c r="AI1815">
        <v>2.7952129840850799</v>
      </c>
    </row>
    <row r="1816" spans="1:35">
      <c r="A1816">
        <f t="shared" si="240"/>
        <v>1</v>
      </c>
      <c r="B1816">
        <f t="shared" si="241"/>
        <v>1</v>
      </c>
      <c r="C1816">
        <f t="shared" si="242"/>
        <v>1</v>
      </c>
      <c r="D1816">
        <f t="shared" si="243"/>
        <v>0</v>
      </c>
      <c r="E1816">
        <f t="shared" si="244"/>
        <v>0</v>
      </c>
      <c r="F1816">
        <f t="shared" si="245"/>
        <v>1</v>
      </c>
      <c r="G1816">
        <f t="shared" si="246"/>
        <v>1</v>
      </c>
      <c r="H1816">
        <v>0</v>
      </c>
      <c r="I1816">
        <f t="shared" si="247"/>
        <v>0</v>
      </c>
      <c r="J1816">
        <f t="shared" si="239"/>
        <v>6.3606328964233398</v>
      </c>
      <c r="K1816" t="s">
        <v>359</v>
      </c>
      <c r="L1816" t="s">
        <v>360</v>
      </c>
      <c r="M1816" t="s">
        <v>27</v>
      </c>
      <c r="N1816" t="s">
        <v>27</v>
      </c>
      <c r="O1816">
        <v>10.29</v>
      </c>
      <c r="P1816" t="s">
        <v>27</v>
      </c>
      <c r="Q1816">
        <v>4.2177758216857901</v>
      </c>
      <c r="R1816">
        <v>13.960000038146999</v>
      </c>
      <c r="S1816">
        <v>24.1875</v>
      </c>
      <c r="T1816">
        <v>7.2869002819061293E-2</v>
      </c>
      <c r="U1816">
        <v>61.606407165527301</v>
      </c>
      <c r="V1816">
        <v>3559000</v>
      </c>
      <c r="W1816">
        <v>8.0450506210327095</v>
      </c>
      <c r="X1816">
        <v>0.31999999284744302</v>
      </c>
      <c r="Y1816">
        <v>3.6784570217132599</v>
      </c>
      <c r="Z1816">
        <v>2.1428570747375502</v>
      </c>
      <c r="AA1816">
        <v>22093610</v>
      </c>
      <c r="AB1816" t="s">
        <v>27</v>
      </c>
      <c r="AC1816" t="s">
        <v>27</v>
      </c>
      <c r="AD1816">
        <v>0.119999997317791</v>
      </c>
      <c r="AE1816">
        <v>62.876319885253899</v>
      </c>
      <c r="AF1816">
        <v>18.504438135593201</v>
      </c>
      <c r="AG1816">
        <v>22784000</v>
      </c>
      <c r="AH1816">
        <v>1.07019999995828E-2</v>
      </c>
      <c r="AI1816">
        <v>9.21752834320068</v>
      </c>
    </row>
    <row r="1817" spans="1:35">
      <c r="A1817">
        <f t="shared" si="240"/>
        <v>1</v>
      </c>
      <c r="B1817">
        <f t="shared" si="241"/>
        <v>1</v>
      </c>
      <c r="C1817">
        <f t="shared" si="242"/>
        <v>0</v>
      </c>
      <c r="D1817">
        <f t="shared" si="243"/>
        <v>0</v>
      </c>
      <c r="E1817">
        <f t="shared" si="244"/>
        <v>0</v>
      </c>
      <c r="F1817">
        <f t="shared" si="245"/>
        <v>1</v>
      </c>
      <c r="G1817">
        <f t="shared" si="246"/>
        <v>0</v>
      </c>
      <c r="H1817">
        <v>0</v>
      </c>
      <c r="I1817">
        <f t="shared" si="247"/>
        <v>0</v>
      </c>
      <c r="J1817">
        <f t="shared" si="239"/>
        <v>6.3113861083984402</v>
      </c>
      <c r="K1817" t="s">
        <v>762</v>
      </c>
      <c r="L1817" t="s">
        <v>763</v>
      </c>
      <c r="M1817" t="s">
        <v>27</v>
      </c>
      <c r="N1817" t="s">
        <v>27</v>
      </c>
      <c r="O1817">
        <v>13.81</v>
      </c>
      <c r="P1817">
        <v>1.94314301013947</v>
      </c>
      <c r="Q1817">
        <v>1.57271003723145</v>
      </c>
      <c r="R1817">
        <v>13.699999809265099</v>
      </c>
      <c r="S1817">
        <v>11.0625</v>
      </c>
      <c r="T1817">
        <v>32.044181823730497</v>
      </c>
      <c r="U1817" t="s">
        <v>27</v>
      </c>
      <c r="V1817">
        <v>-5970000</v>
      </c>
      <c r="W1817">
        <v>0.63650500774383501</v>
      </c>
      <c r="X1817">
        <v>0.20000000298023199</v>
      </c>
      <c r="Y1817">
        <v>6.1754388809204102</v>
      </c>
      <c r="Z1817">
        <v>4.7386760711669904</v>
      </c>
      <c r="AA1817">
        <v>15705384</v>
      </c>
      <c r="AB1817" t="s">
        <v>27</v>
      </c>
      <c r="AC1817" t="s">
        <v>27</v>
      </c>
      <c r="AD1817">
        <v>0.140000000596046</v>
      </c>
      <c r="AE1817" t="s">
        <v>27</v>
      </c>
      <c r="AF1817" t="s">
        <v>27</v>
      </c>
      <c r="AG1817">
        <v>12669000</v>
      </c>
      <c r="AH1817">
        <v>28.8416042327881</v>
      </c>
      <c r="AI1817">
        <v>0.67418700456619296</v>
      </c>
    </row>
    <row r="1818" spans="1:35">
      <c r="A1818">
        <f t="shared" si="240"/>
        <v>1</v>
      </c>
      <c r="B1818">
        <f t="shared" si="241"/>
        <v>1</v>
      </c>
      <c r="C1818">
        <f t="shared" si="242"/>
        <v>1</v>
      </c>
      <c r="D1818">
        <f t="shared" si="243"/>
        <v>0</v>
      </c>
      <c r="E1818">
        <f t="shared" si="244"/>
        <v>0</v>
      </c>
      <c r="F1818">
        <f t="shared" si="245"/>
        <v>1</v>
      </c>
      <c r="G1818">
        <f t="shared" si="246"/>
        <v>0</v>
      </c>
      <c r="H1818">
        <v>0</v>
      </c>
      <c r="I1818">
        <f t="shared" si="247"/>
        <v>0</v>
      </c>
      <c r="J1818">
        <f t="shared" si="239"/>
        <v>6.2774400711059597</v>
      </c>
      <c r="K1818" t="s">
        <v>3312</v>
      </c>
      <c r="L1818" t="s">
        <v>3313</v>
      </c>
      <c r="M1818" t="s">
        <v>27</v>
      </c>
      <c r="N1818" t="s">
        <v>27</v>
      </c>
      <c r="O1818">
        <v>13.3</v>
      </c>
      <c r="P1818">
        <v>7.5704531669616699</v>
      </c>
      <c r="Q1818">
        <v>2.7385120391845699</v>
      </c>
      <c r="R1818">
        <v>13.689999580383301</v>
      </c>
      <c r="S1818">
        <v>10.9375</v>
      </c>
      <c r="T1818">
        <v>51.648708343505902</v>
      </c>
      <c r="U1818">
        <v>22.314292907714801</v>
      </c>
      <c r="V1818">
        <v>2481001</v>
      </c>
      <c r="W1818">
        <v>4.1526551246643102</v>
      </c>
      <c r="X1818">
        <v>0.270000010728836</v>
      </c>
      <c r="Y1818">
        <v>13.931973457336399</v>
      </c>
      <c r="Z1818">
        <v>3.5389280319213898</v>
      </c>
      <c r="AA1818">
        <v>45618000</v>
      </c>
      <c r="AB1818" t="s">
        <v>52</v>
      </c>
      <c r="AC1818" t="s">
        <v>56</v>
      </c>
      <c r="AD1818">
        <v>5.0000000745058101E-2</v>
      </c>
      <c r="AE1818">
        <v>13.9783334732056</v>
      </c>
      <c r="AF1818">
        <v>7.3896765354430798</v>
      </c>
      <c r="AG1818">
        <v>45742000</v>
      </c>
      <c r="AH1818">
        <v>49.083072662353501</v>
      </c>
      <c r="AI1818">
        <v>5.2262911796569798</v>
      </c>
    </row>
    <row r="1819" spans="1:35">
      <c r="A1819">
        <f t="shared" si="240"/>
        <v>0</v>
      </c>
      <c r="B1819">
        <f t="shared" si="241"/>
        <v>1</v>
      </c>
      <c r="C1819">
        <f t="shared" si="242"/>
        <v>1</v>
      </c>
      <c r="D1819">
        <f t="shared" si="243"/>
        <v>0</v>
      </c>
      <c r="E1819">
        <f t="shared" si="244"/>
        <v>0</v>
      </c>
      <c r="F1819">
        <f t="shared" si="245"/>
        <v>1</v>
      </c>
      <c r="G1819">
        <f t="shared" si="246"/>
        <v>0</v>
      </c>
      <c r="H1819">
        <v>0</v>
      </c>
      <c r="I1819">
        <f t="shared" si="247"/>
        <v>1</v>
      </c>
      <c r="J1819">
        <f t="shared" si="239"/>
        <v>6.2344779968261701</v>
      </c>
      <c r="K1819" t="s">
        <v>111</v>
      </c>
      <c r="L1819" t="s">
        <v>112</v>
      </c>
      <c r="M1819" t="s">
        <v>27</v>
      </c>
      <c r="N1819" t="s">
        <v>27</v>
      </c>
      <c r="O1819">
        <v>33.65</v>
      </c>
      <c r="P1819">
        <v>15.8233451843262</v>
      </c>
      <c r="Q1819">
        <v>3.2501850128173801</v>
      </c>
      <c r="R1819">
        <v>26.879999160766602</v>
      </c>
      <c r="S1819">
        <v>28.125</v>
      </c>
      <c r="T1819">
        <v>7.83689212799072</v>
      </c>
      <c r="U1819">
        <v>51.818473815917997</v>
      </c>
      <c r="V1819">
        <v>25727000</v>
      </c>
      <c r="W1819">
        <v>11.8754272460938</v>
      </c>
      <c r="X1819">
        <v>1.9900000095367401</v>
      </c>
      <c r="Y1819">
        <v>4.3716487884521502</v>
      </c>
      <c r="Z1819">
        <v>2.98429298400879</v>
      </c>
      <c r="AA1819">
        <v>39447000</v>
      </c>
      <c r="AB1819" t="s">
        <v>38</v>
      </c>
      <c r="AC1819" t="s">
        <v>113</v>
      </c>
      <c r="AD1819">
        <v>0.129999995231628</v>
      </c>
      <c r="AE1819">
        <v>44.390819549560497</v>
      </c>
      <c r="AF1819">
        <v>27.384992741355699</v>
      </c>
      <c r="AG1819">
        <v>38586000</v>
      </c>
      <c r="AH1819">
        <v>9.6859998703002894</v>
      </c>
      <c r="AI1819">
        <v>21.911771774291999</v>
      </c>
    </row>
    <row r="1820" spans="1:35">
      <c r="A1820">
        <f t="shared" si="240"/>
        <v>0</v>
      </c>
      <c r="B1820">
        <f t="shared" si="241"/>
        <v>0</v>
      </c>
      <c r="C1820">
        <f t="shared" si="242"/>
        <v>0</v>
      </c>
      <c r="D1820">
        <f t="shared" si="243"/>
        <v>0</v>
      </c>
      <c r="E1820">
        <f t="shared" si="244"/>
        <v>0</v>
      </c>
      <c r="F1820">
        <f t="shared" si="245"/>
        <v>1</v>
      </c>
      <c r="G1820">
        <f t="shared" si="246"/>
        <v>0</v>
      </c>
      <c r="H1820">
        <v>0</v>
      </c>
      <c r="I1820">
        <f t="shared" si="247"/>
        <v>0</v>
      </c>
      <c r="J1820">
        <f t="shared" si="239"/>
        <v>6.2221159934997603</v>
      </c>
      <c r="K1820" t="s">
        <v>3731</v>
      </c>
      <c r="L1820" t="s">
        <v>3732</v>
      </c>
      <c r="M1820" t="s">
        <v>27</v>
      </c>
      <c r="N1820" t="s">
        <v>27</v>
      </c>
      <c r="O1820">
        <v>15.51</v>
      </c>
      <c r="P1820" t="s">
        <v>27</v>
      </c>
      <c r="Q1820">
        <v>3.4388160705566402</v>
      </c>
      <c r="R1820">
        <v>18.7299995422363</v>
      </c>
      <c r="S1820">
        <v>29.75</v>
      </c>
      <c r="T1820">
        <v>0</v>
      </c>
      <c r="U1820">
        <v>90.257820129394503</v>
      </c>
      <c r="V1820">
        <v>-6613000</v>
      </c>
      <c r="W1820">
        <v>23.713737487793001</v>
      </c>
      <c r="X1820">
        <v>0.239999994635582</v>
      </c>
      <c r="Y1820">
        <v>7.4849791526794398</v>
      </c>
      <c r="Z1820">
        <v>2.7832999229431201</v>
      </c>
      <c r="AA1820">
        <v>33757000</v>
      </c>
      <c r="AB1820" t="s">
        <v>27</v>
      </c>
      <c r="AC1820" t="s">
        <v>27</v>
      </c>
      <c r="AD1820">
        <v>-5.0000000745058101E-2</v>
      </c>
      <c r="AE1820">
        <v>84.924644470214801</v>
      </c>
      <c r="AF1820">
        <v>36.307630841909898</v>
      </c>
      <c r="AG1820">
        <v>34978000</v>
      </c>
      <c r="AH1820">
        <v>0</v>
      </c>
      <c r="AI1820">
        <v>13.0605421066284</v>
      </c>
    </row>
    <row r="1821" spans="1:35">
      <c r="A1821">
        <f t="shared" si="240"/>
        <v>0</v>
      </c>
      <c r="B1821">
        <f t="shared" si="241"/>
        <v>0</v>
      </c>
      <c r="C1821">
        <f t="shared" si="242"/>
        <v>1</v>
      </c>
      <c r="D1821">
        <f t="shared" si="243"/>
        <v>0</v>
      </c>
      <c r="E1821">
        <f t="shared" si="244"/>
        <v>0</v>
      </c>
      <c r="F1821">
        <f t="shared" si="245"/>
        <v>1</v>
      </c>
      <c r="G1821">
        <f t="shared" si="246"/>
        <v>0</v>
      </c>
      <c r="H1821">
        <v>0</v>
      </c>
      <c r="I1821">
        <f t="shared" si="247"/>
        <v>1</v>
      </c>
      <c r="J1821">
        <f t="shared" si="239"/>
        <v>6.1166462004184732</v>
      </c>
      <c r="K1821" t="s">
        <v>2024</v>
      </c>
      <c r="L1821" t="s">
        <v>2025</v>
      </c>
      <c r="M1821" t="s">
        <v>27</v>
      </c>
      <c r="N1821" t="s">
        <v>27</v>
      </c>
      <c r="O1821">
        <v>13.01</v>
      </c>
      <c r="P1821">
        <v>6.5513839721679696</v>
      </c>
      <c r="Q1821">
        <v>5.79197120666504</v>
      </c>
      <c r="R1821">
        <v>12</v>
      </c>
      <c r="S1821">
        <v>16.149999618530298</v>
      </c>
      <c r="T1821">
        <v>49.761325836181598</v>
      </c>
      <c r="U1821" t="s">
        <v>27</v>
      </c>
      <c r="V1821">
        <v>8004000</v>
      </c>
      <c r="W1821">
        <v>2.72051000595093</v>
      </c>
      <c r="X1821">
        <v>0.46000000834464999</v>
      </c>
      <c r="Y1821">
        <v>5.1570248603820801</v>
      </c>
      <c r="Z1821">
        <v>0.32467499375343301</v>
      </c>
      <c r="AA1821">
        <v>16938000</v>
      </c>
      <c r="AB1821" t="s">
        <v>83</v>
      </c>
      <c r="AC1821" t="s">
        <v>84</v>
      </c>
      <c r="AD1821">
        <v>0.20999999344348899</v>
      </c>
      <c r="AE1821" t="s">
        <v>27</v>
      </c>
      <c r="AF1821">
        <v>7.8983342385321098</v>
      </c>
      <c r="AG1821">
        <v>18439000</v>
      </c>
      <c r="AH1821">
        <v>56.991416931152301</v>
      </c>
      <c r="AI1821">
        <v>1.00585997104645</v>
      </c>
    </row>
    <row r="1822" spans="1:35">
      <c r="A1822">
        <f t="shared" si="240"/>
        <v>1</v>
      </c>
      <c r="B1822">
        <f t="shared" si="241"/>
        <v>1</v>
      </c>
      <c r="C1822">
        <f t="shared" si="242"/>
        <v>1</v>
      </c>
      <c r="D1822">
        <f t="shared" si="243"/>
        <v>1</v>
      </c>
      <c r="E1822">
        <f t="shared" si="244"/>
        <v>0</v>
      </c>
      <c r="F1822">
        <f t="shared" si="245"/>
        <v>0</v>
      </c>
      <c r="G1822">
        <f t="shared" si="246"/>
        <v>1</v>
      </c>
      <c r="H1822">
        <v>0</v>
      </c>
      <c r="I1822">
        <f t="shared" si="247"/>
        <v>0</v>
      </c>
      <c r="J1822">
        <f t="shared" si="239"/>
        <v>6.0750191211700404</v>
      </c>
      <c r="K1822" t="s">
        <v>2630</v>
      </c>
      <c r="L1822" t="s">
        <v>2631</v>
      </c>
      <c r="M1822" t="s">
        <v>27</v>
      </c>
      <c r="N1822" t="s">
        <v>27</v>
      </c>
      <c r="O1822">
        <v>2.21</v>
      </c>
      <c r="P1822" t="s">
        <v>27</v>
      </c>
      <c r="Q1822">
        <v>2.50359010696411</v>
      </c>
      <c r="R1822">
        <v>3.6900000572204599</v>
      </c>
      <c r="S1822">
        <v>5.7699999809265101</v>
      </c>
      <c r="T1822">
        <v>56.099998474121101</v>
      </c>
      <c r="U1822">
        <v>15.1646060943604</v>
      </c>
      <c r="V1822">
        <v>24035998</v>
      </c>
      <c r="W1822">
        <v>-3.3805379867553702</v>
      </c>
      <c r="X1822">
        <v>-9.9999997764825804E-3</v>
      </c>
      <c r="Y1822">
        <v>-7.8571429252624503</v>
      </c>
      <c r="Z1822">
        <v>3.57142901420593</v>
      </c>
      <c r="AA1822">
        <v>92141000</v>
      </c>
      <c r="AB1822" t="s">
        <v>328</v>
      </c>
      <c r="AC1822" t="s">
        <v>403</v>
      </c>
      <c r="AD1822">
        <v>2.9999999329447701E-2</v>
      </c>
      <c r="AE1822">
        <v>22.963384628295898</v>
      </c>
      <c r="AF1822">
        <v>6.53003648560769</v>
      </c>
      <c r="AG1822">
        <v>92152000</v>
      </c>
      <c r="AH1822">
        <v>53.039493560791001</v>
      </c>
      <c r="AI1822">
        <v>-1.73914098739624</v>
      </c>
    </row>
    <row r="1823" spans="1:35">
      <c r="A1823">
        <f t="shared" si="240"/>
        <v>0</v>
      </c>
      <c r="B1823">
        <f t="shared" si="241"/>
        <v>0</v>
      </c>
      <c r="C1823">
        <f t="shared" si="242"/>
        <v>0</v>
      </c>
      <c r="D1823">
        <f t="shared" si="243"/>
        <v>0</v>
      </c>
      <c r="E1823">
        <f t="shared" si="244"/>
        <v>0</v>
      </c>
      <c r="F1823">
        <f t="shared" si="245"/>
        <v>1</v>
      </c>
      <c r="G1823">
        <f t="shared" si="246"/>
        <v>0</v>
      </c>
      <c r="H1823">
        <v>0</v>
      </c>
      <c r="I1823">
        <f t="shared" si="247"/>
        <v>0</v>
      </c>
      <c r="J1823">
        <f t="shared" ref="J1823:J1885" si="248">Z1823+Q1823</f>
        <v>6.0036869049072301</v>
      </c>
      <c r="K1823" t="s">
        <v>3121</v>
      </c>
      <c r="L1823" t="s">
        <v>3122</v>
      </c>
      <c r="M1823" t="s">
        <v>27</v>
      </c>
      <c r="N1823" t="s">
        <v>27</v>
      </c>
      <c r="O1823">
        <v>4.49</v>
      </c>
      <c r="P1823">
        <v>5.8264460563659703</v>
      </c>
      <c r="Q1823">
        <v>3.8641519546508798</v>
      </c>
      <c r="R1823">
        <v>9.9499998092651403</v>
      </c>
      <c r="S1823">
        <v>14.1000003814697</v>
      </c>
      <c r="T1823">
        <v>51.933746337890597</v>
      </c>
      <c r="U1823">
        <v>56.082672119140597</v>
      </c>
      <c r="V1823">
        <v>-5479000</v>
      </c>
      <c r="W1823">
        <v>2.60404706001282</v>
      </c>
      <c r="X1823">
        <v>0.68999999761581399</v>
      </c>
      <c r="Y1823">
        <v>5.7188758850097701</v>
      </c>
      <c r="Z1823">
        <v>2.1395349502563499</v>
      </c>
      <c r="AA1823">
        <v>18055640</v>
      </c>
      <c r="AB1823" t="s">
        <v>27</v>
      </c>
      <c r="AC1823" t="s">
        <v>27</v>
      </c>
      <c r="AD1823">
        <v>-0.30000001192092901</v>
      </c>
      <c r="AE1823">
        <v>52.267013549804702</v>
      </c>
      <c r="AF1823">
        <v>7.6827909093864797</v>
      </c>
      <c r="AG1823">
        <v>18240000</v>
      </c>
      <c r="AH1823">
        <v>55.228317260742202</v>
      </c>
      <c r="AI1823">
        <v>0.26149299740791299</v>
      </c>
    </row>
    <row r="1824" spans="1:35">
      <c r="A1824">
        <f t="shared" ref="A1824:A1886" si="249">IF(AH1824&lt;T1824,1,0)</f>
        <v>0</v>
      </c>
      <c r="B1824">
        <f t="shared" ref="B1824:B1886" si="250">IF(AI1824&gt;W1824,1,0)</f>
        <v>1</v>
      </c>
      <c r="C1824">
        <f t="shared" ref="C1824:C1886" si="251">IF(V1824&gt;0,1,0)</f>
        <v>1</v>
      </c>
      <c r="D1824">
        <f t="shared" ref="D1824:D1886" si="252">IF(AD1824&gt;X1824,1,0)</f>
        <v>0</v>
      </c>
      <c r="E1824">
        <f t="shared" ref="E1824:E1886" si="253">IF(AA1824=AG1824,1,0)</f>
        <v>0</v>
      </c>
      <c r="F1824">
        <f t="shared" ref="F1824:F1886" si="254">IF(AI1824&gt;0,1,0)</f>
        <v>0</v>
      </c>
      <c r="G1824">
        <f t="shared" ref="G1824:G1886" si="255">IF(AE1824&gt;U1824,1,0)</f>
        <v>0</v>
      </c>
      <c r="H1824">
        <v>0</v>
      </c>
      <c r="I1824">
        <f t="shared" ref="I1824:I1886" si="256">IF(((O1824-R1824)/R1824)&gt;0.075,1,0)</f>
        <v>0</v>
      </c>
      <c r="J1824">
        <f t="shared" si="248"/>
        <v>5.8976738452911395</v>
      </c>
      <c r="K1824" t="s">
        <v>1971</v>
      </c>
      <c r="L1824" t="s">
        <v>1972</v>
      </c>
      <c r="M1824" t="s">
        <v>27</v>
      </c>
      <c r="N1824" t="s">
        <v>27</v>
      </c>
      <c r="O1824">
        <v>2.95</v>
      </c>
      <c r="P1824" t="s">
        <v>27</v>
      </c>
      <c r="Q1824">
        <v>2.91556692123413</v>
      </c>
      <c r="R1824">
        <v>5.0199999809265101</v>
      </c>
      <c r="S1824">
        <v>3.25</v>
      </c>
      <c r="T1824">
        <v>0.59597599506378196</v>
      </c>
      <c r="U1824">
        <v>46.305755615234403</v>
      </c>
      <c r="V1824">
        <v>6898000</v>
      </c>
      <c r="W1824">
        <v>-7.4654088020324698</v>
      </c>
      <c r="X1824">
        <v>9.9999997764825804E-3</v>
      </c>
      <c r="Y1824">
        <v>-21.428571701049801</v>
      </c>
      <c r="Z1824">
        <v>2.9821069240570099</v>
      </c>
      <c r="AA1824">
        <v>42393000</v>
      </c>
      <c r="AB1824" t="s">
        <v>61</v>
      </c>
      <c r="AC1824" t="s">
        <v>80</v>
      </c>
      <c r="AD1824">
        <v>0</v>
      </c>
      <c r="AE1824">
        <v>37.5929145812988</v>
      </c>
      <c r="AF1824" t="s">
        <v>27</v>
      </c>
      <c r="AG1824">
        <v>30484000</v>
      </c>
      <c r="AH1824">
        <v>17.119531631469702</v>
      </c>
      <c r="AI1824">
        <v>-9.8571002483367906E-2</v>
      </c>
    </row>
    <row r="1825" spans="1:35">
      <c r="A1825">
        <f t="shared" si="249"/>
        <v>1</v>
      </c>
      <c r="B1825">
        <f t="shared" si="250"/>
        <v>0</v>
      </c>
      <c r="C1825">
        <f t="shared" si="251"/>
        <v>1</v>
      </c>
      <c r="D1825">
        <f t="shared" si="252"/>
        <v>0</v>
      </c>
      <c r="E1825">
        <f t="shared" si="253"/>
        <v>0</v>
      </c>
      <c r="F1825">
        <f t="shared" si="254"/>
        <v>1</v>
      </c>
      <c r="G1825">
        <f t="shared" si="255"/>
        <v>0</v>
      </c>
      <c r="H1825">
        <v>0</v>
      </c>
      <c r="I1825">
        <f t="shared" si="256"/>
        <v>1</v>
      </c>
      <c r="J1825">
        <f t="shared" si="248"/>
        <v>5.8895990848541295</v>
      </c>
      <c r="K1825" t="s">
        <v>3368</v>
      </c>
      <c r="L1825" t="s">
        <v>3369</v>
      </c>
      <c r="M1825" t="s">
        <v>27</v>
      </c>
      <c r="N1825" t="s">
        <v>27</v>
      </c>
      <c r="O1825">
        <v>13.5</v>
      </c>
      <c r="P1825">
        <v>1.9213449954986599</v>
      </c>
      <c r="Q1825">
        <v>2.5553359985351598</v>
      </c>
      <c r="R1825">
        <v>11.714285895938</v>
      </c>
      <c r="S1825">
        <v>7.2562358276644003</v>
      </c>
      <c r="T1825">
        <v>20.896926879882798</v>
      </c>
      <c r="U1825" t="s">
        <v>27</v>
      </c>
      <c r="V1825">
        <v>3000000</v>
      </c>
      <c r="W1825">
        <v>0.55567902326583896</v>
      </c>
      <c r="X1825">
        <v>0.23582765574898601</v>
      </c>
      <c r="Y1825">
        <v>9.6047620773315394</v>
      </c>
      <c r="Z1825">
        <v>3.3342630863189702</v>
      </c>
      <c r="AA1825">
        <v>10733940</v>
      </c>
      <c r="AB1825" t="s">
        <v>34</v>
      </c>
      <c r="AC1825" t="s">
        <v>35</v>
      </c>
      <c r="AD1825">
        <v>-2.8571427932807401E-2</v>
      </c>
      <c r="AE1825" t="s">
        <v>27</v>
      </c>
      <c r="AF1825" t="s">
        <v>27</v>
      </c>
      <c r="AG1825">
        <v>10880100</v>
      </c>
      <c r="AH1825">
        <v>10.3793687820435</v>
      </c>
      <c r="AI1825">
        <v>0.44083100557327298</v>
      </c>
    </row>
    <row r="1826" spans="1:35">
      <c r="A1826">
        <f t="shared" si="249"/>
        <v>1</v>
      </c>
      <c r="B1826">
        <f t="shared" si="250"/>
        <v>1</v>
      </c>
      <c r="C1826">
        <f t="shared" si="251"/>
        <v>1</v>
      </c>
      <c r="D1826">
        <f t="shared" si="252"/>
        <v>0</v>
      </c>
      <c r="E1826">
        <f t="shared" si="253"/>
        <v>0</v>
      </c>
      <c r="F1826">
        <f t="shared" si="254"/>
        <v>1</v>
      </c>
      <c r="G1826">
        <f t="shared" si="255"/>
        <v>1</v>
      </c>
      <c r="H1826">
        <v>0</v>
      </c>
      <c r="I1826">
        <f t="shared" si="256"/>
        <v>0</v>
      </c>
      <c r="J1826">
        <f t="shared" si="248"/>
        <v>5.8374919891357404</v>
      </c>
      <c r="K1826" t="s">
        <v>3426</v>
      </c>
      <c r="L1826" t="s">
        <v>3427</v>
      </c>
      <c r="M1826" t="s">
        <v>27</v>
      </c>
      <c r="N1826" t="s">
        <v>27</v>
      </c>
      <c r="O1826">
        <v>8.93</v>
      </c>
      <c r="P1826">
        <v>4.3440217971801802</v>
      </c>
      <c r="Q1826">
        <v>2.7263810634613002</v>
      </c>
      <c r="R1826">
        <v>9.4399995803833008</v>
      </c>
      <c r="S1826">
        <v>12.875</v>
      </c>
      <c r="T1826">
        <v>21.483081817626999</v>
      </c>
      <c r="U1826">
        <v>34.671665191650398</v>
      </c>
      <c r="V1826" t="s">
        <v>27</v>
      </c>
      <c r="W1826">
        <v>2.46791791915894</v>
      </c>
      <c r="X1826">
        <v>0.10000000149011599</v>
      </c>
      <c r="Y1826">
        <v>1.3096090555191</v>
      </c>
      <c r="Z1826">
        <v>3.1111109256744398</v>
      </c>
      <c r="AA1826">
        <v>32622002</v>
      </c>
      <c r="AB1826" t="s">
        <v>27</v>
      </c>
      <c r="AC1826" t="s">
        <v>27</v>
      </c>
      <c r="AD1826">
        <v>0.10000000149011599</v>
      </c>
      <c r="AE1826">
        <v>37.577552795410199</v>
      </c>
      <c r="AF1826">
        <v>5.4601241616820699</v>
      </c>
      <c r="AG1826">
        <v>33004002</v>
      </c>
      <c r="AH1826">
        <v>19.9808673858643</v>
      </c>
      <c r="AI1826">
        <v>3.9409470558166499</v>
      </c>
    </row>
    <row r="1827" spans="1:35">
      <c r="A1827">
        <f t="shared" si="249"/>
        <v>1</v>
      </c>
      <c r="B1827">
        <f t="shared" si="250"/>
        <v>0</v>
      </c>
      <c r="C1827">
        <f t="shared" si="251"/>
        <v>1</v>
      </c>
      <c r="D1827">
        <f t="shared" si="252"/>
        <v>0</v>
      </c>
      <c r="E1827">
        <f t="shared" si="253"/>
        <v>0</v>
      </c>
      <c r="F1827">
        <f t="shared" si="254"/>
        <v>1</v>
      </c>
      <c r="G1827">
        <f t="shared" si="255"/>
        <v>0</v>
      </c>
      <c r="H1827">
        <v>0</v>
      </c>
      <c r="I1827">
        <f t="shared" si="256"/>
        <v>0</v>
      </c>
      <c r="J1827">
        <f t="shared" si="248"/>
        <v>5.818317234516142</v>
      </c>
      <c r="K1827" t="s">
        <v>3406</v>
      </c>
      <c r="L1827" t="s">
        <v>3407</v>
      </c>
      <c r="M1827" t="s">
        <v>27</v>
      </c>
      <c r="N1827" t="s">
        <v>27</v>
      </c>
      <c r="O1827">
        <v>15.15</v>
      </c>
      <c r="P1827">
        <v>1.2773180007934599</v>
      </c>
      <c r="Q1827">
        <v>0.62729102373123202</v>
      </c>
      <c r="R1827">
        <v>16.5965428268394</v>
      </c>
      <c r="S1827">
        <v>18.336863111964099</v>
      </c>
      <c r="T1827">
        <v>66.000671386718807</v>
      </c>
      <c r="U1827" t="s">
        <v>27</v>
      </c>
      <c r="V1827">
        <v>31293000</v>
      </c>
      <c r="W1827">
        <v>1.9254610538482699</v>
      </c>
      <c r="X1827">
        <v>0.29545453461733701</v>
      </c>
      <c r="Y1827">
        <v>10.492618560791</v>
      </c>
      <c r="Z1827">
        <v>5.1910262107849103</v>
      </c>
      <c r="AA1827">
        <v>17479000</v>
      </c>
      <c r="AB1827" t="s">
        <v>34</v>
      </c>
      <c r="AC1827" t="s">
        <v>237</v>
      </c>
      <c r="AD1827">
        <v>0.109999999403954</v>
      </c>
      <c r="AE1827" t="s">
        <v>27</v>
      </c>
      <c r="AF1827">
        <v>37.322540040446498</v>
      </c>
      <c r="AG1827">
        <v>17159000</v>
      </c>
      <c r="AH1827">
        <v>55.059242248535199</v>
      </c>
      <c r="AI1827">
        <v>0.40839499235153198</v>
      </c>
    </row>
    <row r="1828" spans="1:35">
      <c r="A1828">
        <f t="shared" si="249"/>
        <v>0</v>
      </c>
      <c r="B1828">
        <f t="shared" si="250"/>
        <v>1</v>
      </c>
      <c r="C1828">
        <f t="shared" si="251"/>
        <v>1</v>
      </c>
      <c r="D1828">
        <f t="shared" si="252"/>
        <v>0</v>
      </c>
      <c r="E1828">
        <f t="shared" si="253"/>
        <v>0</v>
      </c>
      <c r="F1828">
        <f t="shared" si="254"/>
        <v>1</v>
      </c>
      <c r="G1828">
        <f t="shared" si="255"/>
        <v>1</v>
      </c>
      <c r="H1828">
        <v>0</v>
      </c>
      <c r="I1828">
        <f t="shared" si="256"/>
        <v>0</v>
      </c>
      <c r="J1828">
        <f t="shared" si="248"/>
        <v>5.7794479131698697</v>
      </c>
      <c r="K1828" t="s">
        <v>2556</v>
      </c>
      <c r="L1828" t="s">
        <v>2557</v>
      </c>
      <c r="M1828" t="s">
        <v>27</v>
      </c>
      <c r="N1828" t="s">
        <v>27</v>
      </c>
      <c r="O1828">
        <v>8.202</v>
      </c>
      <c r="P1828" t="s">
        <v>27</v>
      </c>
      <c r="Q1828">
        <v>4.1139378547668501</v>
      </c>
      <c r="R1828">
        <v>11.3699998855591</v>
      </c>
      <c r="S1828">
        <v>20</v>
      </c>
      <c r="T1828">
        <v>0</v>
      </c>
      <c r="U1828">
        <v>85.4493408203125</v>
      </c>
      <c r="V1828">
        <v>1283000</v>
      </c>
      <c r="W1828">
        <v>3.84383988380432</v>
      </c>
      <c r="X1828">
        <v>5.9999998658895499E-2</v>
      </c>
      <c r="Y1828" t="s">
        <v>27</v>
      </c>
      <c r="Z1828">
        <v>1.66551005840302</v>
      </c>
      <c r="AA1828">
        <v>18069000</v>
      </c>
      <c r="AB1828" t="s">
        <v>27</v>
      </c>
      <c r="AC1828" t="s">
        <v>27</v>
      </c>
      <c r="AD1828">
        <v>5.9999998658895499E-2</v>
      </c>
      <c r="AE1828">
        <v>86.339195251464801</v>
      </c>
      <c r="AF1828">
        <v>19.0245650992685</v>
      </c>
      <c r="AG1828">
        <v>19024000</v>
      </c>
      <c r="AH1828">
        <v>0.16153000295162201</v>
      </c>
      <c r="AI1828">
        <v>5.2895960807800302</v>
      </c>
    </row>
    <row r="1829" spans="1:35">
      <c r="A1829">
        <f t="shared" si="249"/>
        <v>1</v>
      </c>
      <c r="B1829">
        <f t="shared" si="250"/>
        <v>1</v>
      </c>
      <c r="C1829">
        <f t="shared" si="251"/>
        <v>1</v>
      </c>
      <c r="D1829">
        <f t="shared" si="252"/>
        <v>1</v>
      </c>
      <c r="E1829">
        <f t="shared" si="253"/>
        <v>0</v>
      </c>
      <c r="F1829">
        <f t="shared" si="254"/>
        <v>1</v>
      </c>
      <c r="G1829">
        <f t="shared" si="255"/>
        <v>0</v>
      </c>
      <c r="H1829">
        <v>0</v>
      </c>
      <c r="I1829">
        <f t="shared" si="256"/>
        <v>1</v>
      </c>
      <c r="J1829">
        <f t="shared" si="248"/>
        <v>5.7247489690780604</v>
      </c>
      <c r="K1829" t="s">
        <v>1636</v>
      </c>
      <c r="L1829" t="s">
        <v>1637</v>
      </c>
      <c r="M1829" t="s">
        <v>27</v>
      </c>
      <c r="N1829" t="s">
        <v>27</v>
      </c>
      <c r="O1829">
        <v>15.55</v>
      </c>
      <c r="P1829">
        <v>1.5074709653854399</v>
      </c>
      <c r="Q1829">
        <v>-1.0984350442886399</v>
      </c>
      <c r="R1829">
        <v>12.8999996185303</v>
      </c>
      <c r="S1829">
        <v>8.25</v>
      </c>
      <c r="T1829">
        <v>48.5162963867188</v>
      </c>
      <c r="U1829" t="s">
        <v>27</v>
      </c>
      <c r="V1829">
        <v>170092992</v>
      </c>
      <c r="W1829">
        <v>-4.9544081687927202</v>
      </c>
      <c r="X1829">
        <v>0.18999999761581399</v>
      </c>
      <c r="Y1829">
        <v>4.1428570747375497</v>
      </c>
      <c r="Z1829">
        <v>6.8231840133667001</v>
      </c>
      <c r="AA1829">
        <v>46817000</v>
      </c>
      <c r="AB1829" t="s">
        <v>27</v>
      </c>
      <c r="AC1829" t="s">
        <v>27</v>
      </c>
      <c r="AD1829">
        <v>0.25</v>
      </c>
      <c r="AE1829" t="s">
        <v>27</v>
      </c>
      <c r="AF1829" t="s">
        <v>27</v>
      </c>
      <c r="AG1829">
        <v>46864768</v>
      </c>
      <c r="AH1829">
        <v>45.822345733642599</v>
      </c>
      <c r="AI1829">
        <v>0.17561100423336001</v>
      </c>
    </row>
    <row r="1830" spans="1:35">
      <c r="A1830">
        <f t="shared" si="249"/>
        <v>0</v>
      </c>
      <c r="B1830">
        <f t="shared" si="250"/>
        <v>1</v>
      </c>
      <c r="C1830">
        <f t="shared" si="251"/>
        <v>0</v>
      </c>
      <c r="D1830">
        <f t="shared" si="252"/>
        <v>0</v>
      </c>
      <c r="E1830">
        <f t="shared" si="253"/>
        <v>0</v>
      </c>
      <c r="F1830">
        <f t="shared" si="254"/>
        <v>1</v>
      </c>
      <c r="G1830">
        <f t="shared" si="255"/>
        <v>0</v>
      </c>
      <c r="H1830">
        <v>0</v>
      </c>
      <c r="I1830">
        <f t="shared" si="256"/>
        <v>0</v>
      </c>
      <c r="J1830">
        <f t="shared" si="248"/>
        <v>5.7100350856781006</v>
      </c>
      <c r="K1830" t="s">
        <v>36</v>
      </c>
      <c r="L1830" t="s">
        <v>37</v>
      </c>
      <c r="M1830" t="s">
        <v>27</v>
      </c>
      <c r="N1830" t="s">
        <v>27</v>
      </c>
      <c r="O1830">
        <v>8.9499999999999993</v>
      </c>
      <c r="P1830">
        <v>12.839002609252899</v>
      </c>
      <c r="Q1830">
        <v>3.9151630401611301</v>
      </c>
      <c r="R1830">
        <v>12.180000305175801</v>
      </c>
      <c r="S1830">
        <v>12.3125</v>
      </c>
      <c r="T1830">
        <v>4.5661869049072301</v>
      </c>
      <c r="U1830">
        <v>49.370517730712898</v>
      </c>
      <c r="V1830">
        <v>-323000.0625</v>
      </c>
      <c r="W1830">
        <v>-5.7073459625244096</v>
      </c>
      <c r="X1830">
        <v>0.230000004172325</v>
      </c>
      <c r="Y1830">
        <v>3.2533330917358398</v>
      </c>
      <c r="Z1830">
        <v>1.79487204551697</v>
      </c>
      <c r="AA1830">
        <v>12066000</v>
      </c>
      <c r="AB1830" t="s">
        <v>38</v>
      </c>
      <c r="AC1830" t="s">
        <v>39</v>
      </c>
      <c r="AD1830">
        <v>1.9999999552965199E-2</v>
      </c>
      <c r="AE1830">
        <v>42.857597351074197</v>
      </c>
      <c r="AF1830" t="s">
        <v>27</v>
      </c>
      <c r="AG1830">
        <v>12423000</v>
      </c>
      <c r="AH1830">
        <v>24.953929901123001</v>
      </c>
      <c r="AI1830">
        <v>8.1214628219604492</v>
      </c>
    </row>
    <row r="1831" spans="1:35">
      <c r="A1831">
        <f t="shared" si="249"/>
        <v>1</v>
      </c>
      <c r="B1831">
        <f t="shared" si="250"/>
        <v>0</v>
      </c>
      <c r="C1831">
        <f t="shared" si="251"/>
        <v>1</v>
      </c>
      <c r="D1831">
        <f t="shared" si="252"/>
        <v>0</v>
      </c>
      <c r="E1831">
        <f t="shared" si="253"/>
        <v>0</v>
      </c>
      <c r="F1831">
        <f t="shared" si="254"/>
        <v>1</v>
      </c>
      <c r="G1831">
        <f t="shared" si="255"/>
        <v>0</v>
      </c>
      <c r="H1831">
        <v>0</v>
      </c>
      <c r="I1831">
        <f t="shared" si="256"/>
        <v>1</v>
      </c>
      <c r="J1831">
        <f t="shared" si="248"/>
        <v>5.7079780101776105</v>
      </c>
      <c r="K1831" t="s">
        <v>2777</v>
      </c>
      <c r="L1831" t="s">
        <v>2778</v>
      </c>
      <c r="M1831" t="s">
        <v>27</v>
      </c>
      <c r="N1831" t="s">
        <v>27</v>
      </c>
      <c r="O1831">
        <v>21.61</v>
      </c>
      <c r="P1831">
        <v>18.647920608520501</v>
      </c>
      <c r="Q1831">
        <v>4.7009730339050302</v>
      </c>
      <c r="R1831">
        <v>18.100000381469702</v>
      </c>
      <c r="S1831">
        <v>22.25</v>
      </c>
      <c r="T1831">
        <v>1.09348404407501</v>
      </c>
      <c r="U1831">
        <v>50.108894348144503</v>
      </c>
      <c r="V1831">
        <v>8331000.5</v>
      </c>
      <c r="W1831">
        <v>29.918409347534201</v>
      </c>
      <c r="X1831">
        <v>0.17000000178813901</v>
      </c>
      <c r="Y1831">
        <v>6</v>
      </c>
      <c r="Z1831">
        <v>1.0070049762725799</v>
      </c>
      <c r="AA1831">
        <v>27430000</v>
      </c>
      <c r="AB1831" t="s">
        <v>38</v>
      </c>
      <c r="AC1831" t="s">
        <v>118</v>
      </c>
      <c r="AD1831">
        <v>5.0000000745058101E-2</v>
      </c>
      <c r="AE1831">
        <v>42.974334716796903</v>
      </c>
      <c r="AF1831">
        <v>27.090399999999999</v>
      </c>
      <c r="AG1831">
        <v>28011000</v>
      </c>
      <c r="AH1831">
        <v>0.52703398466110196</v>
      </c>
      <c r="AI1831">
        <v>17.494092941284201</v>
      </c>
    </row>
    <row r="1832" spans="1:35">
      <c r="A1832">
        <f t="shared" si="249"/>
        <v>0</v>
      </c>
      <c r="B1832">
        <f t="shared" si="250"/>
        <v>0</v>
      </c>
      <c r="C1832">
        <f t="shared" si="251"/>
        <v>1</v>
      </c>
      <c r="D1832">
        <f t="shared" si="252"/>
        <v>0</v>
      </c>
      <c r="E1832">
        <f t="shared" si="253"/>
        <v>0</v>
      </c>
      <c r="F1832">
        <f t="shared" si="254"/>
        <v>1</v>
      </c>
      <c r="G1832">
        <f t="shared" si="255"/>
        <v>0</v>
      </c>
      <c r="H1832">
        <v>0</v>
      </c>
      <c r="I1832">
        <f t="shared" si="256"/>
        <v>0</v>
      </c>
      <c r="J1832">
        <f t="shared" si="248"/>
        <v>5.7076178789138803</v>
      </c>
      <c r="K1832" t="s">
        <v>3394</v>
      </c>
      <c r="L1832" t="s">
        <v>3395</v>
      </c>
      <c r="M1832" t="s">
        <v>27</v>
      </c>
      <c r="N1832" t="s">
        <v>27</v>
      </c>
      <c r="O1832">
        <v>15.35</v>
      </c>
      <c r="P1832">
        <v>13.821724891662599</v>
      </c>
      <c r="Q1832">
        <v>3.8047308921814</v>
      </c>
      <c r="R1832">
        <v>20.100000381469702</v>
      </c>
      <c r="S1832">
        <v>18.5625</v>
      </c>
      <c r="T1832">
        <v>0</v>
      </c>
      <c r="U1832">
        <v>42.173061370849602</v>
      </c>
      <c r="V1832">
        <v>2213000</v>
      </c>
      <c r="W1832">
        <v>10.514105796814</v>
      </c>
      <c r="X1832">
        <v>0.28000000119209301</v>
      </c>
      <c r="Y1832">
        <v>1.86600494384766</v>
      </c>
      <c r="Z1832">
        <v>1.90288698673248</v>
      </c>
      <c r="AA1832">
        <v>12370000</v>
      </c>
      <c r="AB1832" t="s">
        <v>27</v>
      </c>
      <c r="AC1832" t="s">
        <v>27</v>
      </c>
      <c r="AD1832">
        <v>9.00000035762787E-2</v>
      </c>
      <c r="AE1832">
        <v>40.286457061767599</v>
      </c>
      <c r="AF1832">
        <v>18.509629387755101</v>
      </c>
      <c r="AG1832">
        <v>12420000</v>
      </c>
      <c r="AH1832">
        <v>0</v>
      </c>
      <c r="AI1832">
        <v>8.7287797927856392</v>
      </c>
    </row>
    <row r="1833" spans="1:35">
      <c r="A1833">
        <f t="shared" si="249"/>
        <v>0</v>
      </c>
      <c r="B1833">
        <f t="shared" si="250"/>
        <v>0</v>
      </c>
      <c r="C1833">
        <f t="shared" si="251"/>
        <v>1</v>
      </c>
      <c r="D1833">
        <f t="shared" si="252"/>
        <v>1</v>
      </c>
      <c r="E1833">
        <f t="shared" si="253"/>
        <v>0</v>
      </c>
      <c r="F1833">
        <f t="shared" si="254"/>
        <v>0</v>
      </c>
      <c r="G1833">
        <f t="shared" si="255"/>
        <v>1</v>
      </c>
      <c r="H1833">
        <v>0</v>
      </c>
      <c r="I1833">
        <f t="shared" si="256"/>
        <v>0</v>
      </c>
      <c r="J1833">
        <f t="shared" si="248"/>
        <v>5.6691720485687203</v>
      </c>
      <c r="K1833" t="s">
        <v>3057</v>
      </c>
      <c r="L1833" t="s">
        <v>3058</v>
      </c>
      <c r="M1833" t="s">
        <v>27</v>
      </c>
      <c r="N1833" t="s">
        <v>27</v>
      </c>
      <c r="O1833">
        <v>3.12</v>
      </c>
      <c r="P1833" t="s">
        <v>27</v>
      </c>
      <c r="Q1833">
        <v>3.8074700832366899</v>
      </c>
      <c r="R1833">
        <v>7.6999998092651403</v>
      </c>
      <c r="S1833">
        <v>15</v>
      </c>
      <c r="T1833">
        <v>0</v>
      </c>
      <c r="U1833">
        <v>27.465579986572301</v>
      </c>
      <c r="V1833">
        <v>519000</v>
      </c>
      <c r="W1833">
        <v>10.375201225280801</v>
      </c>
      <c r="X1833">
        <v>-3.9999999105930301E-2</v>
      </c>
      <c r="Y1833">
        <v>-1.61290299892426</v>
      </c>
      <c r="Z1833">
        <v>1.8617019653320299</v>
      </c>
      <c r="AA1833">
        <v>25004000</v>
      </c>
      <c r="AB1833" t="s">
        <v>27</v>
      </c>
      <c r="AC1833" t="s">
        <v>27</v>
      </c>
      <c r="AD1833">
        <v>3.9999999105930301E-2</v>
      </c>
      <c r="AE1833">
        <v>30.772640228271499</v>
      </c>
      <c r="AF1833">
        <v>7.1048153955808999</v>
      </c>
      <c r="AG1833">
        <v>25960000</v>
      </c>
      <c r="AH1833">
        <v>0</v>
      </c>
      <c r="AI1833">
        <v>-8.0044822692871094</v>
      </c>
    </row>
    <row r="1834" spans="1:35">
      <c r="A1834">
        <f t="shared" si="249"/>
        <v>1</v>
      </c>
      <c r="B1834">
        <f t="shared" si="250"/>
        <v>0</v>
      </c>
      <c r="C1834">
        <f t="shared" si="251"/>
        <v>1</v>
      </c>
      <c r="D1834">
        <f t="shared" si="252"/>
        <v>0</v>
      </c>
      <c r="E1834">
        <f t="shared" si="253"/>
        <v>0</v>
      </c>
      <c r="F1834">
        <f t="shared" si="254"/>
        <v>1</v>
      </c>
      <c r="G1834">
        <f t="shared" si="255"/>
        <v>0</v>
      </c>
      <c r="H1834">
        <v>0</v>
      </c>
      <c r="I1834">
        <f t="shared" si="256"/>
        <v>1</v>
      </c>
      <c r="J1834">
        <f t="shared" si="248"/>
        <v>5.6272311210632306</v>
      </c>
      <c r="K1834" t="s">
        <v>1508</v>
      </c>
      <c r="L1834" t="s">
        <v>1509</v>
      </c>
      <c r="M1834" t="s">
        <v>27</v>
      </c>
      <c r="N1834" t="s">
        <v>27</v>
      </c>
      <c r="O1834">
        <v>18.899999999999999</v>
      </c>
      <c r="P1834">
        <v>3.7057290077209499</v>
      </c>
      <c r="Q1834">
        <v>2.4053471088409402</v>
      </c>
      <c r="R1834">
        <v>15.571428934733101</v>
      </c>
      <c r="S1834">
        <v>11.3378684807256</v>
      </c>
      <c r="T1834">
        <v>21.560951232910199</v>
      </c>
      <c r="U1834" t="s">
        <v>27</v>
      </c>
      <c r="V1834">
        <v>13622000</v>
      </c>
      <c r="W1834" t="s">
        <v>27</v>
      </c>
      <c r="X1834">
        <v>0.20904869771186499</v>
      </c>
      <c r="Y1834">
        <v>7.14975786209106</v>
      </c>
      <c r="Z1834">
        <v>3.22188401222229</v>
      </c>
      <c r="AA1834">
        <v>10475348.625</v>
      </c>
      <c r="AB1834" t="s">
        <v>34</v>
      </c>
      <c r="AC1834" t="s">
        <v>35</v>
      </c>
      <c r="AD1834">
        <v>0.208616783829773</v>
      </c>
      <c r="AE1834" t="s">
        <v>27</v>
      </c>
      <c r="AF1834" t="s">
        <v>27</v>
      </c>
      <c r="AG1834">
        <v>11587275</v>
      </c>
      <c r="AH1834">
        <v>17.714469909668001</v>
      </c>
      <c r="AI1834">
        <v>0.495027005672455</v>
      </c>
    </row>
    <row r="1835" spans="1:35">
      <c r="A1835">
        <f t="shared" si="249"/>
        <v>1</v>
      </c>
      <c r="B1835">
        <f t="shared" si="250"/>
        <v>1</v>
      </c>
      <c r="C1835">
        <f t="shared" si="251"/>
        <v>1</v>
      </c>
      <c r="D1835">
        <f t="shared" si="252"/>
        <v>0</v>
      </c>
      <c r="E1835">
        <f t="shared" si="253"/>
        <v>0</v>
      </c>
      <c r="F1835">
        <f t="shared" si="254"/>
        <v>1</v>
      </c>
      <c r="G1835">
        <f t="shared" si="255"/>
        <v>0</v>
      </c>
      <c r="H1835">
        <v>0</v>
      </c>
      <c r="I1835">
        <f t="shared" si="256"/>
        <v>0</v>
      </c>
      <c r="J1835">
        <f t="shared" si="248"/>
        <v>5.5697040557861399</v>
      </c>
      <c r="K1835" t="s">
        <v>2072</v>
      </c>
      <c r="L1835" t="s">
        <v>2073</v>
      </c>
      <c r="M1835" t="s">
        <v>27</v>
      </c>
      <c r="N1835" t="s">
        <v>27</v>
      </c>
      <c r="O1835">
        <v>17.7</v>
      </c>
      <c r="P1835">
        <v>17.523880004882798</v>
      </c>
      <c r="Q1835">
        <v>4.1560330390930202</v>
      </c>
      <c r="R1835">
        <v>24.379999160766602</v>
      </c>
      <c r="S1835">
        <v>29.0625</v>
      </c>
      <c r="T1835">
        <v>21.308925628662099</v>
      </c>
      <c r="U1835">
        <v>40.213314056396499</v>
      </c>
      <c r="V1835">
        <v>14406000</v>
      </c>
      <c r="W1835">
        <v>9.5849428176879901</v>
      </c>
      <c r="X1835">
        <v>0.34000000357627902</v>
      </c>
      <c r="Y1835">
        <v>5.90393018722534</v>
      </c>
      <c r="Z1835">
        <v>1.4136710166931199</v>
      </c>
      <c r="AA1835">
        <v>19850000</v>
      </c>
      <c r="AB1835" t="s">
        <v>38</v>
      </c>
      <c r="AC1835" t="s">
        <v>146</v>
      </c>
      <c r="AD1835">
        <v>-0.140000000596046</v>
      </c>
      <c r="AE1835">
        <v>30.0138034820557</v>
      </c>
      <c r="AF1835">
        <v>10.1207247466238</v>
      </c>
      <c r="AG1835">
        <v>21873000</v>
      </c>
      <c r="AH1835">
        <v>18.888463973998999</v>
      </c>
      <c r="AI1835">
        <v>13.56103515625</v>
      </c>
    </row>
    <row r="1836" spans="1:35">
      <c r="A1836">
        <f t="shared" si="249"/>
        <v>0</v>
      </c>
      <c r="B1836">
        <f t="shared" si="250"/>
        <v>0</v>
      </c>
      <c r="C1836">
        <f t="shared" si="251"/>
        <v>0</v>
      </c>
      <c r="D1836">
        <f t="shared" si="252"/>
        <v>0</v>
      </c>
      <c r="E1836">
        <f t="shared" si="253"/>
        <v>0</v>
      </c>
      <c r="F1836">
        <f t="shared" si="254"/>
        <v>1</v>
      </c>
      <c r="G1836">
        <f t="shared" si="255"/>
        <v>0</v>
      </c>
      <c r="H1836">
        <v>0</v>
      </c>
      <c r="I1836">
        <f t="shared" si="256"/>
        <v>0</v>
      </c>
      <c r="J1836">
        <f t="shared" si="248"/>
        <v>5.4938621520996094</v>
      </c>
      <c r="K1836" t="s">
        <v>3767</v>
      </c>
      <c r="L1836" t="s">
        <v>3768</v>
      </c>
      <c r="M1836" t="s">
        <v>27</v>
      </c>
      <c r="N1836" t="s">
        <v>27</v>
      </c>
      <c r="O1836">
        <v>13.8</v>
      </c>
      <c r="P1836">
        <v>9.5587291717529297</v>
      </c>
      <c r="Q1836">
        <v>3.1891961097717298</v>
      </c>
      <c r="R1836">
        <v>15.800000190734901</v>
      </c>
      <c r="S1836">
        <v>24.25</v>
      </c>
      <c r="T1836">
        <v>22.770586013793899</v>
      </c>
      <c r="U1836">
        <v>9.3505411148071307</v>
      </c>
      <c r="V1836">
        <v>-593999.875</v>
      </c>
      <c r="W1836">
        <v>5.32503414154053</v>
      </c>
      <c r="X1836">
        <v>0.64999997615814198</v>
      </c>
      <c r="Y1836">
        <v>6.4927539825439498</v>
      </c>
      <c r="Z1836">
        <v>2.30466604232788</v>
      </c>
      <c r="AA1836">
        <v>15204000</v>
      </c>
      <c r="AB1836" t="s">
        <v>61</v>
      </c>
      <c r="AC1836" t="s">
        <v>80</v>
      </c>
      <c r="AD1836">
        <v>-7.9999998211860698E-2</v>
      </c>
      <c r="AE1836">
        <v>5.6648831367492702</v>
      </c>
      <c r="AF1836">
        <v>8.7275116883174704</v>
      </c>
      <c r="AG1836">
        <v>15216000</v>
      </c>
      <c r="AH1836">
        <v>22.968736648559599</v>
      </c>
      <c r="AI1836">
        <v>4.50498390197754</v>
      </c>
    </row>
    <row r="1837" spans="1:35">
      <c r="A1837">
        <f t="shared" si="249"/>
        <v>0</v>
      </c>
      <c r="B1837">
        <f t="shared" si="250"/>
        <v>0</v>
      </c>
      <c r="C1837">
        <f t="shared" si="251"/>
        <v>0</v>
      </c>
      <c r="D1837">
        <f t="shared" si="252"/>
        <v>1</v>
      </c>
      <c r="E1837">
        <f t="shared" si="253"/>
        <v>1</v>
      </c>
      <c r="F1837">
        <f t="shared" si="254"/>
        <v>1</v>
      </c>
      <c r="G1837">
        <f t="shared" si="255"/>
        <v>1</v>
      </c>
      <c r="H1837">
        <v>0</v>
      </c>
      <c r="I1837">
        <f t="shared" si="256"/>
        <v>1</v>
      </c>
      <c r="J1837">
        <f t="shared" si="248"/>
        <v>5.4526917934417698</v>
      </c>
      <c r="K1837" t="s">
        <v>624</v>
      </c>
      <c r="L1837" t="s">
        <v>625</v>
      </c>
      <c r="M1837" t="s">
        <v>27</v>
      </c>
      <c r="N1837" t="s">
        <v>27</v>
      </c>
      <c r="O1837">
        <v>11.75</v>
      </c>
      <c r="P1837">
        <v>8.0817060470581108</v>
      </c>
      <c r="Q1837">
        <v>2.3757688999175999</v>
      </c>
      <c r="R1837">
        <v>5.9800000190734899</v>
      </c>
      <c r="S1837">
        <v>3.9375</v>
      </c>
      <c r="T1837">
        <v>0</v>
      </c>
      <c r="U1837">
        <v>31.4888916015625</v>
      </c>
      <c r="V1837">
        <v>-2207000</v>
      </c>
      <c r="W1837">
        <v>7.3885002136230504</v>
      </c>
      <c r="X1837">
        <v>-0.140000000596046</v>
      </c>
      <c r="Y1837">
        <v>10.1818180084229</v>
      </c>
      <c r="Z1837">
        <v>3.0769228935241699</v>
      </c>
      <c r="AA1837">
        <v>9091000</v>
      </c>
      <c r="AB1837" t="s">
        <v>30</v>
      </c>
      <c r="AC1837" t="s">
        <v>68</v>
      </c>
      <c r="AD1837">
        <v>-0.109999999403954</v>
      </c>
      <c r="AE1837">
        <v>33.965507507324197</v>
      </c>
      <c r="AF1837">
        <v>6.42676482383271</v>
      </c>
      <c r="AG1837">
        <v>9091000</v>
      </c>
      <c r="AH1837">
        <v>0</v>
      </c>
      <c r="AI1837">
        <v>1.9694139957428001</v>
      </c>
    </row>
    <row r="1838" spans="1:35">
      <c r="A1838">
        <f t="shared" si="249"/>
        <v>1</v>
      </c>
      <c r="B1838">
        <f t="shared" si="250"/>
        <v>0</v>
      </c>
      <c r="C1838">
        <f t="shared" si="251"/>
        <v>0</v>
      </c>
      <c r="D1838">
        <f t="shared" si="252"/>
        <v>1</v>
      </c>
      <c r="E1838">
        <f t="shared" si="253"/>
        <v>0</v>
      </c>
      <c r="F1838">
        <f t="shared" si="254"/>
        <v>1</v>
      </c>
      <c r="G1838">
        <f t="shared" si="255"/>
        <v>0</v>
      </c>
      <c r="H1838">
        <v>0</v>
      </c>
      <c r="I1838">
        <f t="shared" si="256"/>
        <v>0</v>
      </c>
      <c r="J1838">
        <f t="shared" si="248"/>
        <v>5.4460189342498797</v>
      </c>
      <c r="K1838" t="s">
        <v>2993</v>
      </c>
      <c r="L1838" t="s">
        <v>2994</v>
      </c>
      <c r="M1838" t="s">
        <v>27</v>
      </c>
      <c r="N1838" t="s">
        <v>27</v>
      </c>
      <c r="O1838">
        <v>14.58</v>
      </c>
      <c r="P1838">
        <v>4.6073541641235396</v>
      </c>
      <c r="Q1838">
        <v>2.4782769680023198</v>
      </c>
      <c r="R1838">
        <v>14.079999923706101</v>
      </c>
      <c r="S1838">
        <v>16.25</v>
      </c>
      <c r="T1838">
        <v>10.215796470642101</v>
      </c>
      <c r="U1838" t="s">
        <v>27</v>
      </c>
      <c r="V1838">
        <v>-14205000</v>
      </c>
      <c r="W1838">
        <v>0.55758297443389904</v>
      </c>
      <c r="X1838">
        <v>-0.15000000596046401</v>
      </c>
      <c r="Y1838">
        <v>7.1020407676696804</v>
      </c>
      <c r="Z1838">
        <v>2.9677419662475599</v>
      </c>
      <c r="AA1838">
        <v>28380000</v>
      </c>
      <c r="AB1838" t="s">
        <v>27</v>
      </c>
      <c r="AC1838" t="s">
        <v>27</v>
      </c>
      <c r="AD1838">
        <v>-9.9999997764825804E-3</v>
      </c>
      <c r="AE1838" t="s">
        <v>27</v>
      </c>
      <c r="AF1838" t="s">
        <v>27</v>
      </c>
      <c r="AG1838">
        <v>28495000</v>
      </c>
      <c r="AH1838">
        <v>9.8575353622436506</v>
      </c>
      <c r="AI1838">
        <v>0.37947699427604697</v>
      </c>
    </row>
    <row r="1839" spans="1:35">
      <c r="A1839">
        <f t="shared" si="249"/>
        <v>1</v>
      </c>
      <c r="B1839">
        <f t="shared" si="250"/>
        <v>0</v>
      </c>
      <c r="C1839">
        <f t="shared" si="251"/>
        <v>1</v>
      </c>
      <c r="D1839">
        <f t="shared" si="252"/>
        <v>0</v>
      </c>
      <c r="E1839">
        <f t="shared" si="253"/>
        <v>0</v>
      </c>
      <c r="F1839">
        <f t="shared" si="254"/>
        <v>1</v>
      </c>
      <c r="G1839">
        <f t="shared" si="255"/>
        <v>1</v>
      </c>
      <c r="H1839">
        <v>0</v>
      </c>
      <c r="I1839">
        <f t="shared" si="256"/>
        <v>0</v>
      </c>
      <c r="J1839">
        <f t="shared" si="248"/>
        <v>5.3401010036468506</v>
      </c>
      <c r="K1839" t="s">
        <v>1810</v>
      </c>
      <c r="L1839" t="s">
        <v>1811</v>
      </c>
      <c r="M1839" t="s">
        <v>27</v>
      </c>
      <c r="N1839" t="s">
        <v>27</v>
      </c>
      <c r="O1839">
        <v>19.28</v>
      </c>
      <c r="P1839">
        <v>4.0483040809631303</v>
      </c>
      <c r="Q1839">
        <v>3.0673739910125701</v>
      </c>
      <c r="R1839">
        <v>20</v>
      </c>
      <c r="S1839">
        <v>16.125</v>
      </c>
      <c r="T1839">
        <v>0.79458701610565197</v>
      </c>
      <c r="U1839">
        <v>24.962989807128899</v>
      </c>
      <c r="V1839">
        <v>2798000</v>
      </c>
      <c r="W1839">
        <v>6.1818289756774902</v>
      </c>
      <c r="X1839">
        <v>0.119999997317791</v>
      </c>
      <c r="Y1839">
        <v>2.76691699028015</v>
      </c>
      <c r="Z1839">
        <v>2.27272701263428</v>
      </c>
      <c r="AA1839">
        <v>9427000</v>
      </c>
      <c r="AB1839" t="s">
        <v>27</v>
      </c>
      <c r="AC1839" t="s">
        <v>27</v>
      </c>
      <c r="AD1839">
        <v>0.119999997317791</v>
      </c>
      <c r="AE1839">
        <v>29.102756500244102</v>
      </c>
      <c r="AF1839">
        <v>22.937744576992401</v>
      </c>
      <c r="AG1839">
        <v>9071000</v>
      </c>
      <c r="AH1839">
        <v>0.28867799043655401</v>
      </c>
      <c r="AI1839">
        <v>4.4499921798706099</v>
      </c>
    </row>
    <row r="1840" spans="1:35">
      <c r="A1840">
        <f t="shared" si="249"/>
        <v>0</v>
      </c>
      <c r="B1840">
        <f t="shared" si="250"/>
        <v>0</v>
      </c>
      <c r="C1840">
        <f t="shared" si="251"/>
        <v>1</v>
      </c>
      <c r="D1840">
        <f t="shared" si="252"/>
        <v>0</v>
      </c>
      <c r="E1840">
        <f t="shared" si="253"/>
        <v>0</v>
      </c>
      <c r="F1840">
        <f t="shared" si="254"/>
        <v>1</v>
      </c>
      <c r="G1840">
        <f t="shared" si="255"/>
        <v>0</v>
      </c>
      <c r="H1840">
        <v>0</v>
      </c>
      <c r="I1840">
        <f t="shared" si="256"/>
        <v>0</v>
      </c>
      <c r="J1840">
        <f t="shared" si="248"/>
        <v>5.3277020454406703</v>
      </c>
      <c r="K1840" t="s">
        <v>1115</v>
      </c>
      <c r="L1840" t="s">
        <v>1116</v>
      </c>
      <c r="M1840" t="s">
        <v>27</v>
      </c>
      <c r="N1840" t="s">
        <v>27</v>
      </c>
      <c r="O1840">
        <v>16.57</v>
      </c>
      <c r="P1840">
        <v>6.2596511840820304</v>
      </c>
      <c r="Q1840">
        <v>2.1698069572448699</v>
      </c>
      <c r="R1840">
        <v>19.982738582269299</v>
      </c>
      <c r="S1840">
        <v>25.144577669875002</v>
      </c>
      <c r="T1840">
        <v>0</v>
      </c>
      <c r="U1840">
        <v>55.4470825195313</v>
      </c>
      <c r="V1840">
        <v>6040000</v>
      </c>
      <c r="W1840">
        <v>37.38671875</v>
      </c>
      <c r="X1840">
        <v>0.31000000238418601</v>
      </c>
      <c r="Y1840">
        <v>2.6220738887786901</v>
      </c>
      <c r="Z1840">
        <v>3.1578950881957999</v>
      </c>
      <c r="AA1840">
        <v>27068000</v>
      </c>
      <c r="AB1840" t="s">
        <v>38</v>
      </c>
      <c r="AC1840" t="s">
        <v>118</v>
      </c>
      <c r="AD1840">
        <v>0.259999990463257</v>
      </c>
      <c r="AE1840">
        <v>36.263496398925803</v>
      </c>
      <c r="AF1840" t="s">
        <v>27</v>
      </c>
      <c r="AG1840">
        <v>26807000</v>
      </c>
      <c r="AH1840">
        <v>0</v>
      </c>
      <c r="AI1840">
        <v>20.3829956054688</v>
      </c>
    </row>
    <row r="1841" spans="1:35">
      <c r="A1841">
        <f t="shared" si="249"/>
        <v>0</v>
      </c>
      <c r="B1841">
        <f t="shared" si="250"/>
        <v>1</v>
      </c>
      <c r="C1841">
        <f t="shared" si="251"/>
        <v>0</v>
      </c>
      <c r="D1841">
        <f t="shared" si="252"/>
        <v>0</v>
      </c>
      <c r="E1841">
        <f t="shared" si="253"/>
        <v>0</v>
      </c>
      <c r="F1841">
        <f t="shared" si="254"/>
        <v>1</v>
      </c>
      <c r="G1841">
        <f t="shared" si="255"/>
        <v>0</v>
      </c>
      <c r="H1841">
        <v>0</v>
      </c>
      <c r="I1841">
        <f t="shared" si="256"/>
        <v>1</v>
      </c>
      <c r="J1841">
        <f t="shared" si="248"/>
        <v>5.2824782133102364</v>
      </c>
      <c r="K1841" t="s">
        <v>2530</v>
      </c>
      <c r="L1841" t="s">
        <v>2531</v>
      </c>
      <c r="M1841" t="s">
        <v>27</v>
      </c>
      <c r="N1841" t="s">
        <v>27</v>
      </c>
      <c r="O1841">
        <v>16.12</v>
      </c>
      <c r="P1841">
        <v>9.7984075546264595</v>
      </c>
      <c r="Q1841">
        <v>4.6022062301635698</v>
      </c>
      <c r="R1841">
        <v>14.3900003433228</v>
      </c>
      <c r="S1841">
        <v>17.909999847412099</v>
      </c>
      <c r="T1841">
        <v>20.648942947387699</v>
      </c>
      <c r="U1841">
        <v>17.671266555786101</v>
      </c>
      <c r="V1841">
        <v>-42500000</v>
      </c>
      <c r="W1841">
        <v>1.5837099552154501</v>
      </c>
      <c r="X1841">
        <v>0.519999980926514</v>
      </c>
      <c r="Y1841">
        <v>10.316601753234901</v>
      </c>
      <c r="Z1841">
        <v>0.68027198314666704</v>
      </c>
      <c r="AA1841">
        <v>45100000</v>
      </c>
      <c r="AB1841" t="s">
        <v>52</v>
      </c>
      <c r="AC1841" t="s">
        <v>53</v>
      </c>
      <c r="AD1841">
        <v>-0.44999998807907099</v>
      </c>
      <c r="AE1841">
        <v>9.2026405334472692</v>
      </c>
      <c r="AF1841">
        <v>12.025012881355901</v>
      </c>
      <c r="AG1841">
        <v>43400000</v>
      </c>
      <c r="AH1841">
        <v>29.242933273315401</v>
      </c>
      <c r="AI1841">
        <v>7.4107961654663104</v>
      </c>
    </row>
    <row r="1842" spans="1:35">
      <c r="A1842">
        <f t="shared" si="249"/>
        <v>0</v>
      </c>
      <c r="B1842">
        <f t="shared" si="250"/>
        <v>0</v>
      </c>
      <c r="C1842">
        <f t="shared" si="251"/>
        <v>1</v>
      </c>
      <c r="D1842">
        <f t="shared" si="252"/>
        <v>0</v>
      </c>
      <c r="E1842">
        <f t="shared" si="253"/>
        <v>0</v>
      </c>
      <c r="F1842">
        <f t="shared" si="254"/>
        <v>0</v>
      </c>
      <c r="G1842">
        <f t="shared" si="255"/>
        <v>0</v>
      </c>
      <c r="H1842">
        <v>0</v>
      </c>
      <c r="I1842">
        <f t="shared" si="256"/>
        <v>0</v>
      </c>
      <c r="J1842">
        <f t="shared" si="248"/>
        <v>5.24057912826538</v>
      </c>
      <c r="K1842" t="s">
        <v>2546</v>
      </c>
      <c r="L1842" t="s">
        <v>2547</v>
      </c>
      <c r="M1842" t="s">
        <v>27</v>
      </c>
      <c r="N1842" t="s">
        <v>27</v>
      </c>
      <c r="O1842">
        <v>10.98</v>
      </c>
      <c r="P1842">
        <v>10.889697074890099</v>
      </c>
      <c r="Q1842">
        <v>2.8690381050109899</v>
      </c>
      <c r="R1842">
        <v>11.8999996185303</v>
      </c>
      <c r="S1842">
        <v>17.579999923706101</v>
      </c>
      <c r="T1842">
        <v>50.195098876953097</v>
      </c>
      <c r="U1842">
        <v>37.3177299499512</v>
      </c>
      <c r="V1842">
        <v>4687000</v>
      </c>
      <c r="W1842">
        <v>1.23661196231842</v>
      </c>
      <c r="X1842">
        <v>0.25</v>
      </c>
      <c r="Y1842">
        <v>16.909091949462901</v>
      </c>
      <c r="Z1842">
        <v>2.3715410232543901</v>
      </c>
      <c r="AA1842">
        <v>16339001</v>
      </c>
      <c r="AB1842" t="s">
        <v>27</v>
      </c>
      <c r="AC1842" t="s">
        <v>27</v>
      </c>
      <c r="AD1842">
        <v>9.9999997764825804E-3</v>
      </c>
      <c r="AE1842">
        <v>31.975456237793001</v>
      </c>
      <c r="AF1842">
        <v>10.7163360997888</v>
      </c>
      <c r="AG1842">
        <v>16497000</v>
      </c>
      <c r="AH1842">
        <v>50.291446685791001</v>
      </c>
      <c r="AI1842">
        <v>-0.24334800243377699</v>
      </c>
    </row>
    <row r="1843" spans="1:35">
      <c r="A1843">
        <f t="shared" si="249"/>
        <v>1</v>
      </c>
      <c r="B1843">
        <f t="shared" si="250"/>
        <v>0</v>
      </c>
      <c r="C1843">
        <f t="shared" si="251"/>
        <v>0</v>
      </c>
      <c r="D1843">
        <f t="shared" si="252"/>
        <v>0</v>
      </c>
      <c r="E1843">
        <f t="shared" si="253"/>
        <v>0</v>
      </c>
      <c r="F1843">
        <f t="shared" si="254"/>
        <v>1</v>
      </c>
      <c r="G1843">
        <f t="shared" si="255"/>
        <v>0</v>
      </c>
      <c r="H1843">
        <v>0</v>
      </c>
      <c r="I1843">
        <f t="shared" si="256"/>
        <v>0</v>
      </c>
      <c r="J1843">
        <f t="shared" si="248"/>
        <v>5.2215991020202601</v>
      </c>
      <c r="K1843" t="s">
        <v>408</v>
      </c>
      <c r="L1843" t="s">
        <v>409</v>
      </c>
      <c r="M1843" t="s">
        <v>27</v>
      </c>
      <c r="N1843" t="s">
        <v>27</v>
      </c>
      <c r="O1843">
        <v>22.62</v>
      </c>
      <c r="P1843">
        <v>3.74991798400879</v>
      </c>
      <c r="Q1843">
        <v>2.9232470989227299</v>
      </c>
      <c r="R1843">
        <v>24.25</v>
      </c>
      <c r="S1843">
        <v>23.5</v>
      </c>
      <c r="T1843">
        <v>30.699491500854499</v>
      </c>
      <c r="U1843" t="s">
        <v>27</v>
      </c>
      <c r="V1843">
        <v>-55633000</v>
      </c>
      <c r="W1843">
        <v>20.402116775512699</v>
      </c>
      <c r="X1843">
        <v>1.6799999475479099</v>
      </c>
      <c r="Y1843">
        <v>2.5454540252685498</v>
      </c>
      <c r="Z1843">
        <v>2.2983520030975302</v>
      </c>
      <c r="AA1843">
        <v>8406000</v>
      </c>
      <c r="AB1843" t="s">
        <v>30</v>
      </c>
      <c r="AC1843" t="s">
        <v>410</v>
      </c>
      <c r="AD1843">
        <v>0.18000000715255701</v>
      </c>
      <c r="AE1843" t="s">
        <v>27</v>
      </c>
      <c r="AF1843">
        <v>45.774762019929199</v>
      </c>
      <c r="AG1843">
        <v>8546000</v>
      </c>
      <c r="AH1843">
        <v>29.2590141296387</v>
      </c>
      <c r="AI1843">
        <v>2.4499990940093999</v>
      </c>
    </row>
    <row r="1844" spans="1:35">
      <c r="A1844">
        <f t="shared" si="249"/>
        <v>0</v>
      </c>
      <c r="B1844">
        <f t="shared" si="250"/>
        <v>1</v>
      </c>
      <c r="C1844">
        <f t="shared" si="251"/>
        <v>1</v>
      </c>
      <c r="D1844">
        <f t="shared" si="252"/>
        <v>0</v>
      </c>
      <c r="E1844">
        <f t="shared" si="253"/>
        <v>0</v>
      </c>
      <c r="F1844">
        <f t="shared" si="254"/>
        <v>1</v>
      </c>
      <c r="G1844">
        <f t="shared" si="255"/>
        <v>0</v>
      </c>
      <c r="H1844">
        <v>0</v>
      </c>
      <c r="I1844">
        <f t="shared" si="256"/>
        <v>1</v>
      </c>
      <c r="J1844">
        <f t="shared" si="248"/>
        <v>5.1843531131744296</v>
      </c>
      <c r="K1844" t="s">
        <v>280</v>
      </c>
      <c r="L1844" t="s">
        <v>281</v>
      </c>
      <c r="M1844" t="s">
        <v>27</v>
      </c>
      <c r="N1844" t="s">
        <v>27</v>
      </c>
      <c r="O1844">
        <v>52.76</v>
      </c>
      <c r="P1844">
        <v>4.4355621337890598</v>
      </c>
      <c r="Q1844">
        <v>2.6708390712738002</v>
      </c>
      <c r="R1844">
        <v>43.340000152587898</v>
      </c>
      <c r="S1844">
        <v>43.375</v>
      </c>
      <c r="T1844">
        <v>1.85976898670197</v>
      </c>
      <c r="U1844">
        <v>35.895927429199197</v>
      </c>
      <c r="V1844">
        <v>7168000</v>
      </c>
      <c r="W1844">
        <v>4.3399248123168901</v>
      </c>
      <c r="X1844">
        <v>0.36000001430511502</v>
      </c>
      <c r="Y1844">
        <v>3.53982305526733</v>
      </c>
      <c r="Z1844">
        <v>2.5135140419006299</v>
      </c>
      <c r="AA1844">
        <v>12881000</v>
      </c>
      <c r="AB1844" t="s">
        <v>73</v>
      </c>
      <c r="AC1844" t="s">
        <v>74</v>
      </c>
      <c r="AD1844">
        <v>-0.490000009536743</v>
      </c>
      <c r="AE1844">
        <v>33.8473930358887</v>
      </c>
      <c r="AF1844">
        <v>9.4646839114457304</v>
      </c>
      <c r="AG1844">
        <v>13207050</v>
      </c>
      <c r="AH1844">
        <v>2.69156098365784</v>
      </c>
      <c r="AI1844">
        <v>4.4423379898071298</v>
      </c>
    </row>
    <row r="1845" spans="1:35">
      <c r="A1845">
        <f t="shared" si="249"/>
        <v>0</v>
      </c>
      <c r="B1845">
        <f t="shared" si="250"/>
        <v>1</v>
      </c>
      <c r="C1845">
        <f t="shared" si="251"/>
        <v>1</v>
      </c>
      <c r="D1845">
        <f t="shared" si="252"/>
        <v>0</v>
      </c>
      <c r="E1845">
        <f t="shared" si="253"/>
        <v>0</v>
      </c>
      <c r="F1845">
        <f t="shared" si="254"/>
        <v>1</v>
      </c>
      <c r="G1845">
        <f t="shared" si="255"/>
        <v>0</v>
      </c>
      <c r="H1845">
        <v>0</v>
      </c>
      <c r="I1845">
        <f t="shared" si="256"/>
        <v>1</v>
      </c>
      <c r="J1845">
        <f t="shared" si="248"/>
        <v>5.0579559803009104</v>
      </c>
      <c r="K1845" t="s">
        <v>208</v>
      </c>
      <c r="L1845" t="s">
        <v>209</v>
      </c>
      <c r="M1845" t="s">
        <v>27</v>
      </c>
      <c r="N1845" t="s">
        <v>27</v>
      </c>
      <c r="O1845">
        <v>12.13</v>
      </c>
      <c r="P1845" t="s">
        <v>27</v>
      </c>
      <c r="Q1845">
        <v>2.8740479946136501</v>
      </c>
      <c r="R1845">
        <v>8.8000001907348597</v>
      </c>
      <c r="S1845">
        <v>19.7399997711182</v>
      </c>
      <c r="T1845">
        <v>29.7965412139893</v>
      </c>
      <c r="U1845">
        <v>29.6499214172363</v>
      </c>
      <c r="V1845">
        <v>4136000.25</v>
      </c>
      <c r="W1845">
        <v>-0.62267202138900801</v>
      </c>
      <c r="X1845">
        <v>0.15000000596046401</v>
      </c>
      <c r="Y1845">
        <v>1.5350550413131701</v>
      </c>
      <c r="Z1845">
        <v>2.1839079856872599</v>
      </c>
      <c r="AA1845">
        <v>27966580</v>
      </c>
      <c r="AB1845" t="s">
        <v>27</v>
      </c>
      <c r="AC1845" t="s">
        <v>27</v>
      </c>
      <c r="AD1845">
        <v>-5.9999998658895499E-2</v>
      </c>
      <c r="AE1845">
        <v>23.480329513549801</v>
      </c>
      <c r="AF1845">
        <v>19.6076293142645</v>
      </c>
      <c r="AG1845">
        <v>28130000</v>
      </c>
      <c r="AH1845">
        <v>32.150180816650398</v>
      </c>
      <c r="AI1845">
        <v>2.6075990200042698</v>
      </c>
    </row>
    <row r="1846" spans="1:35">
      <c r="A1846">
        <f t="shared" si="249"/>
        <v>1</v>
      </c>
      <c r="B1846">
        <f t="shared" si="250"/>
        <v>1</v>
      </c>
      <c r="C1846">
        <f t="shared" si="251"/>
        <v>1</v>
      </c>
      <c r="D1846">
        <f t="shared" si="252"/>
        <v>1</v>
      </c>
      <c r="E1846">
        <f t="shared" si="253"/>
        <v>0</v>
      </c>
      <c r="F1846">
        <f t="shared" si="254"/>
        <v>1</v>
      </c>
      <c r="G1846">
        <f t="shared" si="255"/>
        <v>1</v>
      </c>
      <c r="H1846">
        <v>0</v>
      </c>
      <c r="I1846">
        <f t="shared" si="256"/>
        <v>0</v>
      </c>
      <c r="J1846">
        <f t="shared" si="248"/>
        <v>5.0150829553604197</v>
      </c>
      <c r="K1846" t="s">
        <v>3031</v>
      </c>
      <c r="L1846" t="s">
        <v>3032</v>
      </c>
      <c r="M1846" t="s">
        <v>27</v>
      </c>
      <c r="N1846" t="s">
        <v>27</v>
      </c>
      <c r="O1846">
        <v>10.31</v>
      </c>
      <c r="P1846">
        <v>1.3752419948577901</v>
      </c>
      <c r="Q1846">
        <v>1.1827479600906401</v>
      </c>
      <c r="R1846">
        <v>10.079999923706101</v>
      </c>
      <c r="S1846">
        <v>15.6000003814697</v>
      </c>
      <c r="T1846">
        <v>5.5188078880310103</v>
      </c>
      <c r="U1846">
        <v>13.9883012771606</v>
      </c>
      <c r="V1846">
        <v>9039000</v>
      </c>
      <c r="W1846">
        <v>0.55835998058319103</v>
      </c>
      <c r="X1846">
        <v>1.9999999552965199E-2</v>
      </c>
      <c r="Y1846">
        <v>1.31601703166962</v>
      </c>
      <c r="Z1846">
        <v>3.8323349952697798</v>
      </c>
      <c r="AA1846">
        <v>20851000</v>
      </c>
      <c r="AB1846" t="s">
        <v>52</v>
      </c>
      <c r="AC1846" t="s">
        <v>56</v>
      </c>
      <c r="AD1846">
        <v>0.109999999403954</v>
      </c>
      <c r="AE1846">
        <v>15.753411293029799</v>
      </c>
      <c r="AF1846">
        <v>5.98782176771366</v>
      </c>
      <c r="AG1846">
        <v>20728000</v>
      </c>
      <c r="AH1846">
        <v>0.41002199053764299</v>
      </c>
      <c r="AI1846">
        <v>1.7115900516510001</v>
      </c>
    </row>
    <row r="1847" spans="1:35">
      <c r="A1847">
        <f t="shared" si="249"/>
        <v>1</v>
      </c>
      <c r="B1847">
        <f t="shared" si="250"/>
        <v>1</v>
      </c>
      <c r="C1847">
        <f t="shared" si="251"/>
        <v>0</v>
      </c>
      <c r="D1847">
        <f t="shared" si="252"/>
        <v>1</v>
      </c>
      <c r="E1847">
        <f t="shared" si="253"/>
        <v>0</v>
      </c>
      <c r="F1847">
        <f t="shared" si="254"/>
        <v>1</v>
      </c>
      <c r="G1847">
        <f t="shared" si="255"/>
        <v>0</v>
      </c>
      <c r="H1847">
        <v>0</v>
      </c>
      <c r="I1847">
        <f t="shared" si="256"/>
        <v>0</v>
      </c>
      <c r="J1847">
        <f t="shared" si="248"/>
        <v>4.9454059600830096</v>
      </c>
      <c r="K1847" t="s">
        <v>820</v>
      </c>
      <c r="L1847" t="s">
        <v>821</v>
      </c>
      <c r="M1847" t="s">
        <v>27</v>
      </c>
      <c r="N1847" t="s">
        <v>27</v>
      </c>
      <c r="O1847">
        <v>22.498999999999999</v>
      </c>
      <c r="P1847">
        <v>-2.6805460453033398</v>
      </c>
      <c r="Q1847">
        <v>3.4968459606170699</v>
      </c>
      <c r="R1847">
        <v>26.100000381469702</v>
      </c>
      <c r="S1847">
        <v>64.6875</v>
      </c>
      <c r="T1847">
        <v>0.28681001067161599</v>
      </c>
      <c r="U1847">
        <v>49.813640594482401</v>
      </c>
      <c r="V1847">
        <v>-3555000</v>
      </c>
      <c r="W1847">
        <v>-7.3773307800293004</v>
      </c>
      <c r="X1847">
        <v>5.9999998658895499E-2</v>
      </c>
      <c r="Y1847">
        <v>0.26890799403190602</v>
      </c>
      <c r="Z1847">
        <v>1.4485599994659399</v>
      </c>
      <c r="AA1847">
        <v>10954000</v>
      </c>
      <c r="AB1847" t="s">
        <v>27</v>
      </c>
      <c r="AC1847" t="s">
        <v>27</v>
      </c>
      <c r="AD1847">
        <v>0.259999990463257</v>
      </c>
      <c r="AE1847">
        <v>44.085292816162102</v>
      </c>
      <c r="AF1847">
        <v>24.649720917174601</v>
      </c>
      <c r="AG1847">
        <v>14722000</v>
      </c>
      <c r="AH1847">
        <v>0</v>
      </c>
      <c r="AI1847">
        <v>3.8211710453033398</v>
      </c>
    </row>
    <row r="1848" spans="1:35">
      <c r="A1848">
        <f t="shared" si="249"/>
        <v>1</v>
      </c>
      <c r="B1848">
        <f t="shared" si="250"/>
        <v>1</v>
      </c>
      <c r="C1848">
        <f t="shared" si="251"/>
        <v>0</v>
      </c>
      <c r="D1848">
        <f t="shared" si="252"/>
        <v>1</v>
      </c>
      <c r="E1848">
        <f t="shared" si="253"/>
        <v>0</v>
      </c>
      <c r="F1848">
        <f t="shared" si="254"/>
        <v>1</v>
      </c>
      <c r="G1848">
        <f t="shared" si="255"/>
        <v>0</v>
      </c>
      <c r="H1848">
        <v>0</v>
      </c>
      <c r="I1848">
        <f t="shared" si="256"/>
        <v>0</v>
      </c>
      <c r="J1848">
        <f t="shared" si="248"/>
        <v>4.8476440906524694</v>
      </c>
      <c r="K1848" t="s">
        <v>2574</v>
      </c>
      <c r="L1848" t="s">
        <v>2575</v>
      </c>
      <c r="M1848" t="s">
        <v>27</v>
      </c>
      <c r="N1848" t="s">
        <v>27</v>
      </c>
      <c r="O1848">
        <v>19.39</v>
      </c>
      <c r="P1848" t="s">
        <v>27</v>
      </c>
      <c r="Q1848">
        <v>2.6984660625457799</v>
      </c>
      <c r="R1848">
        <v>25.170000076293899</v>
      </c>
      <c r="S1848">
        <v>5.4375</v>
      </c>
      <c r="T1848">
        <v>18.248111724853501</v>
      </c>
      <c r="U1848">
        <v>27.901464462280298</v>
      </c>
      <c r="V1848">
        <v>-140000</v>
      </c>
      <c r="W1848">
        <v>0.63851201534271196</v>
      </c>
      <c r="X1848">
        <v>-5.0000000745058101E-2</v>
      </c>
      <c r="Y1848">
        <v>1.6190479993820199</v>
      </c>
      <c r="Z1848">
        <v>2.1491780281066899</v>
      </c>
      <c r="AA1848">
        <v>9356000</v>
      </c>
      <c r="AB1848" t="s">
        <v>38</v>
      </c>
      <c r="AC1848" t="s">
        <v>146</v>
      </c>
      <c r="AD1848">
        <v>5.0000000745058101E-2</v>
      </c>
      <c r="AE1848">
        <v>26.482709884643601</v>
      </c>
      <c r="AF1848">
        <v>12.088678618177701</v>
      </c>
      <c r="AG1848">
        <v>8483000</v>
      </c>
      <c r="AH1848">
        <v>11.0621747970581</v>
      </c>
      <c r="AI1848">
        <v>3.5861399173736599</v>
      </c>
    </row>
    <row r="1849" spans="1:35">
      <c r="A1849">
        <f t="shared" si="249"/>
        <v>0</v>
      </c>
      <c r="B1849">
        <f t="shared" si="250"/>
        <v>1</v>
      </c>
      <c r="C1849">
        <f t="shared" si="251"/>
        <v>0</v>
      </c>
      <c r="D1849">
        <f t="shared" si="252"/>
        <v>0</v>
      </c>
      <c r="E1849">
        <f t="shared" si="253"/>
        <v>0</v>
      </c>
      <c r="F1849">
        <f t="shared" si="254"/>
        <v>1</v>
      </c>
      <c r="G1849">
        <f t="shared" si="255"/>
        <v>1</v>
      </c>
      <c r="H1849">
        <v>0</v>
      </c>
      <c r="I1849">
        <f t="shared" si="256"/>
        <v>0</v>
      </c>
      <c r="J1849">
        <f t="shared" si="248"/>
        <v>4.7967720031738201</v>
      </c>
      <c r="K1849" t="s">
        <v>1844</v>
      </c>
      <c r="L1849" t="s">
        <v>1845</v>
      </c>
      <c r="M1849" t="s">
        <v>27</v>
      </c>
      <c r="N1849" t="s">
        <v>27</v>
      </c>
      <c r="O1849">
        <v>21.48</v>
      </c>
      <c r="P1849">
        <v>6.6420640945434597</v>
      </c>
      <c r="Q1849">
        <v>2.60571193695068</v>
      </c>
      <c r="R1849">
        <v>22.200000762939499</v>
      </c>
      <c r="S1849">
        <v>21.719999313354499</v>
      </c>
      <c r="T1849">
        <v>29.6229438781738</v>
      </c>
      <c r="U1849">
        <v>8.0969934463500994</v>
      </c>
      <c r="V1849">
        <v>-25083000</v>
      </c>
      <c r="W1849">
        <v>0.71660798788070701</v>
      </c>
      <c r="X1849">
        <v>0.44999998807907099</v>
      </c>
      <c r="Y1849">
        <v>7.1974110603332502</v>
      </c>
      <c r="Z1849">
        <v>2.1910600662231401</v>
      </c>
      <c r="AA1849">
        <v>18737000</v>
      </c>
      <c r="AB1849" t="s">
        <v>27</v>
      </c>
      <c r="AC1849" t="s">
        <v>27</v>
      </c>
      <c r="AD1849">
        <v>-2.9999999329447701E-2</v>
      </c>
      <c r="AE1849">
        <v>16.971897125244102</v>
      </c>
      <c r="AF1849">
        <v>9.1499944986367794</v>
      </c>
      <c r="AG1849">
        <v>18939000</v>
      </c>
      <c r="AH1849">
        <v>61.6338500976563</v>
      </c>
      <c r="AI1849">
        <v>2.8217680454254199</v>
      </c>
    </row>
    <row r="1850" spans="1:35">
      <c r="A1850">
        <f t="shared" si="249"/>
        <v>0</v>
      </c>
      <c r="B1850">
        <f t="shared" si="250"/>
        <v>0</v>
      </c>
      <c r="C1850">
        <f t="shared" si="251"/>
        <v>1</v>
      </c>
      <c r="D1850">
        <f t="shared" si="252"/>
        <v>0</v>
      </c>
      <c r="E1850">
        <f t="shared" si="253"/>
        <v>0</v>
      </c>
      <c r="F1850">
        <f t="shared" si="254"/>
        <v>1</v>
      </c>
      <c r="G1850">
        <f t="shared" si="255"/>
        <v>0</v>
      </c>
      <c r="H1850">
        <v>0</v>
      </c>
      <c r="I1850">
        <f t="shared" si="256"/>
        <v>0</v>
      </c>
      <c r="J1850">
        <f t="shared" si="248"/>
        <v>4.7894219756126359</v>
      </c>
      <c r="K1850" t="s">
        <v>1103</v>
      </c>
      <c r="L1850" t="s">
        <v>1104</v>
      </c>
      <c r="M1850" t="s">
        <v>27</v>
      </c>
      <c r="N1850" t="s">
        <v>27</v>
      </c>
      <c r="O1850">
        <v>10.92</v>
      </c>
      <c r="P1850">
        <v>8.5369167327880895</v>
      </c>
      <c r="Q1850">
        <v>0.99631899595260598</v>
      </c>
      <c r="R1850">
        <v>13.9700002670288</v>
      </c>
      <c r="S1850">
        <v>10.300000190734901</v>
      </c>
      <c r="T1850">
        <v>15.160133361816399</v>
      </c>
      <c r="U1850">
        <v>37.427814483642599</v>
      </c>
      <c r="V1850">
        <v>7593000</v>
      </c>
      <c r="W1850">
        <v>4.2111492156982404</v>
      </c>
      <c r="X1850">
        <v>0.15999999642372101</v>
      </c>
      <c r="Y1850">
        <v>9.5384607315063494</v>
      </c>
      <c r="Z1850">
        <v>3.7931029796600302</v>
      </c>
      <c r="AA1850">
        <v>33261002</v>
      </c>
      <c r="AB1850" t="s">
        <v>27</v>
      </c>
      <c r="AC1850" t="s">
        <v>27</v>
      </c>
      <c r="AD1850">
        <v>-0.109999999403954</v>
      </c>
      <c r="AE1850">
        <v>28.308027267456101</v>
      </c>
      <c r="AF1850">
        <v>7.0301022040586201</v>
      </c>
      <c r="AG1850">
        <v>33117000</v>
      </c>
      <c r="AH1850">
        <v>23.872758865356399</v>
      </c>
      <c r="AI1850">
        <v>1.0468770265579199</v>
      </c>
    </row>
    <row r="1851" spans="1:35">
      <c r="A1851">
        <f t="shared" si="249"/>
        <v>0</v>
      </c>
      <c r="B1851">
        <f t="shared" si="250"/>
        <v>0</v>
      </c>
      <c r="C1851">
        <f t="shared" si="251"/>
        <v>1</v>
      </c>
      <c r="D1851">
        <f t="shared" si="252"/>
        <v>0</v>
      </c>
      <c r="E1851">
        <f t="shared" si="253"/>
        <v>0</v>
      </c>
      <c r="F1851">
        <f t="shared" si="254"/>
        <v>1</v>
      </c>
      <c r="G1851">
        <f t="shared" si="255"/>
        <v>0</v>
      </c>
      <c r="H1851">
        <v>0</v>
      </c>
      <c r="I1851">
        <f t="shared" si="256"/>
        <v>0</v>
      </c>
      <c r="J1851">
        <f t="shared" si="248"/>
        <v>4.7649208307266226</v>
      </c>
      <c r="K1851" t="s">
        <v>2090</v>
      </c>
      <c r="L1851" t="s">
        <v>2091</v>
      </c>
      <c r="M1851" t="s">
        <v>27</v>
      </c>
      <c r="N1851" t="s">
        <v>27</v>
      </c>
      <c r="O1851">
        <v>14.1</v>
      </c>
      <c r="P1851">
        <v>0.48233699798584001</v>
      </c>
      <c r="Q1851">
        <v>0.61857998371124301</v>
      </c>
      <c r="R1851">
        <v>20.4799995422363</v>
      </c>
      <c r="S1851">
        <v>22</v>
      </c>
      <c r="T1851">
        <v>3.6624391078949001</v>
      </c>
      <c r="U1851">
        <v>29.0625705718994</v>
      </c>
      <c r="V1851">
        <v>1377000</v>
      </c>
      <c r="W1851">
        <v>4.6312980651855504</v>
      </c>
      <c r="X1851">
        <v>0.44999998807907099</v>
      </c>
      <c r="Y1851">
        <v>9.0032148361206108</v>
      </c>
      <c r="Z1851">
        <v>4.14634084701538</v>
      </c>
      <c r="AA1851">
        <v>6461000</v>
      </c>
      <c r="AB1851" t="s">
        <v>61</v>
      </c>
      <c r="AC1851" t="s">
        <v>101</v>
      </c>
      <c r="AD1851">
        <v>3.9999999105930301E-2</v>
      </c>
      <c r="AE1851">
        <v>27.1355495452881</v>
      </c>
      <c r="AF1851">
        <v>14.949959893048099</v>
      </c>
      <c r="AG1851">
        <v>6490000</v>
      </c>
      <c r="AH1851">
        <v>4.6250748634338397</v>
      </c>
      <c r="AI1851">
        <v>3.24561595916748</v>
      </c>
    </row>
    <row r="1852" spans="1:35">
      <c r="A1852">
        <f t="shared" si="249"/>
        <v>0</v>
      </c>
      <c r="B1852">
        <f t="shared" si="250"/>
        <v>1</v>
      </c>
      <c r="C1852">
        <f t="shared" si="251"/>
        <v>0</v>
      </c>
      <c r="D1852">
        <f t="shared" si="252"/>
        <v>0</v>
      </c>
      <c r="E1852">
        <f t="shared" si="253"/>
        <v>0</v>
      </c>
      <c r="F1852">
        <f t="shared" si="254"/>
        <v>1</v>
      </c>
      <c r="G1852">
        <f t="shared" si="255"/>
        <v>0</v>
      </c>
      <c r="H1852">
        <v>0</v>
      </c>
      <c r="I1852">
        <f t="shared" si="256"/>
        <v>0</v>
      </c>
      <c r="J1852">
        <f t="shared" si="248"/>
        <v>4.69073581695557</v>
      </c>
      <c r="K1852" t="s">
        <v>1221</v>
      </c>
      <c r="L1852" t="s">
        <v>1222</v>
      </c>
      <c r="M1852" t="s">
        <v>27</v>
      </c>
      <c r="N1852" t="s">
        <v>27</v>
      </c>
      <c r="O1852">
        <v>17.77</v>
      </c>
      <c r="P1852">
        <v>13.195125579834</v>
      </c>
      <c r="Q1852">
        <v>2.10173892974854</v>
      </c>
      <c r="R1852">
        <v>29.530000686645501</v>
      </c>
      <c r="S1852">
        <v>25.0625</v>
      </c>
      <c r="T1852">
        <v>4.74440622329712</v>
      </c>
      <c r="U1852">
        <v>53.166641235351598</v>
      </c>
      <c r="V1852">
        <v>-12620000</v>
      </c>
      <c r="W1852">
        <v>4.9481029510498002</v>
      </c>
      <c r="X1852">
        <v>0.33000001311302202</v>
      </c>
      <c r="Y1852">
        <v>5.1336898803710902</v>
      </c>
      <c r="Z1852">
        <v>2.5889968872070299</v>
      </c>
      <c r="AA1852">
        <v>30195000</v>
      </c>
      <c r="AB1852" t="s">
        <v>27</v>
      </c>
      <c r="AC1852" t="s">
        <v>27</v>
      </c>
      <c r="AD1852">
        <v>-0.30000001192092901</v>
      </c>
      <c r="AE1852">
        <v>33.526317596435497</v>
      </c>
      <c r="AF1852" t="s">
        <v>27</v>
      </c>
      <c r="AG1852">
        <v>30351000</v>
      </c>
      <c r="AH1852">
        <v>7.1219239234924299</v>
      </c>
      <c r="AI1852">
        <v>15.072785377502401</v>
      </c>
    </row>
    <row r="1853" spans="1:35">
      <c r="A1853">
        <f t="shared" si="249"/>
        <v>1</v>
      </c>
      <c r="B1853">
        <f t="shared" si="250"/>
        <v>0</v>
      </c>
      <c r="C1853">
        <f t="shared" si="251"/>
        <v>0</v>
      </c>
      <c r="D1853">
        <f t="shared" si="252"/>
        <v>1</v>
      </c>
      <c r="E1853">
        <f t="shared" si="253"/>
        <v>0</v>
      </c>
      <c r="F1853">
        <f t="shared" si="254"/>
        <v>1</v>
      </c>
      <c r="G1853">
        <f t="shared" si="255"/>
        <v>0</v>
      </c>
      <c r="H1853">
        <v>0</v>
      </c>
      <c r="I1853">
        <f t="shared" si="256"/>
        <v>1</v>
      </c>
      <c r="J1853">
        <f t="shared" si="248"/>
        <v>4.6893528699874896</v>
      </c>
      <c r="K1853" t="s">
        <v>1320</v>
      </c>
      <c r="L1853" t="s">
        <v>1321</v>
      </c>
      <c r="M1853" t="s">
        <v>27</v>
      </c>
      <c r="N1853" t="s">
        <v>27</v>
      </c>
      <c r="O1853">
        <v>19.5</v>
      </c>
      <c r="P1853">
        <v>1.65316498279572</v>
      </c>
      <c r="Q1853">
        <v>1.66459596157074</v>
      </c>
      <c r="R1853">
        <v>17.069999694824201</v>
      </c>
      <c r="S1853">
        <v>10.1644941030416</v>
      </c>
      <c r="T1853">
        <v>19.518703460693398</v>
      </c>
      <c r="U1853" t="s">
        <v>27</v>
      </c>
      <c r="V1853">
        <v>-7916000</v>
      </c>
      <c r="W1853">
        <v>0.55474102497100797</v>
      </c>
      <c r="X1853">
        <v>0.11587006049745199</v>
      </c>
      <c r="Y1853">
        <v>4.3902440071106001</v>
      </c>
      <c r="Z1853">
        <v>3.0247569084167498</v>
      </c>
      <c r="AA1853">
        <v>15381022.5</v>
      </c>
      <c r="AB1853" t="s">
        <v>27</v>
      </c>
      <c r="AC1853" t="s">
        <v>27</v>
      </c>
      <c r="AD1853">
        <v>0.15000000596046401</v>
      </c>
      <c r="AE1853" t="s">
        <v>27</v>
      </c>
      <c r="AF1853" t="s">
        <v>27</v>
      </c>
      <c r="AG1853">
        <v>15767000</v>
      </c>
      <c r="AH1853">
        <v>15.291784286499</v>
      </c>
      <c r="AI1853">
        <v>0.466728985309601</v>
      </c>
    </row>
    <row r="1854" spans="1:35">
      <c r="A1854">
        <f t="shared" si="249"/>
        <v>0</v>
      </c>
      <c r="B1854">
        <f t="shared" si="250"/>
        <v>1</v>
      </c>
      <c r="C1854">
        <f t="shared" si="251"/>
        <v>0</v>
      </c>
      <c r="D1854">
        <f t="shared" si="252"/>
        <v>0</v>
      </c>
      <c r="E1854">
        <f t="shared" si="253"/>
        <v>0</v>
      </c>
      <c r="F1854">
        <f t="shared" si="254"/>
        <v>1</v>
      </c>
      <c r="G1854">
        <f t="shared" si="255"/>
        <v>0</v>
      </c>
      <c r="H1854">
        <v>0</v>
      </c>
      <c r="I1854">
        <f t="shared" si="256"/>
        <v>0</v>
      </c>
      <c r="J1854">
        <f t="shared" si="248"/>
        <v>4.6857621967792547</v>
      </c>
      <c r="K1854" t="s">
        <v>93</v>
      </c>
      <c r="L1854" t="s">
        <v>94</v>
      </c>
      <c r="M1854" t="s">
        <v>27</v>
      </c>
      <c r="N1854" t="s">
        <v>27</v>
      </c>
      <c r="O1854">
        <v>14.95</v>
      </c>
      <c r="P1854">
        <v>14.891081809997599</v>
      </c>
      <c r="Q1854">
        <v>0.18125799298286399</v>
      </c>
      <c r="R1854">
        <v>21.149999618530298</v>
      </c>
      <c r="S1854">
        <v>27</v>
      </c>
      <c r="T1854">
        <v>0</v>
      </c>
      <c r="U1854">
        <v>62.626499176025398</v>
      </c>
      <c r="V1854">
        <v>-5506000</v>
      </c>
      <c r="W1854">
        <v>8.0370187759399396</v>
      </c>
      <c r="X1854">
        <v>0.40999999642372098</v>
      </c>
      <c r="Y1854">
        <v>4.2017388343811</v>
      </c>
      <c r="Z1854">
        <v>4.5045042037963903</v>
      </c>
      <c r="AA1854">
        <v>24121000</v>
      </c>
      <c r="AB1854" t="s">
        <v>27</v>
      </c>
      <c r="AC1854" t="s">
        <v>27</v>
      </c>
      <c r="AD1854">
        <v>-0.10000000149011599</v>
      </c>
      <c r="AE1854">
        <v>52.283946990966797</v>
      </c>
      <c r="AF1854">
        <v>35.343455507097701</v>
      </c>
      <c r="AG1854">
        <v>23980000</v>
      </c>
      <c r="AH1854">
        <v>0</v>
      </c>
      <c r="AI1854">
        <v>14.5002584457397</v>
      </c>
    </row>
    <row r="1855" spans="1:35">
      <c r="A1855">
        <f t="shared" si="249"/>
        <v>0</v>
      </c>
      <c r="B1855">
        <f t="shared" si="250"/>
        <v>1</v>
      </c>
      <c r="C1855">
        <f t="shared" si="251"/>
        <v>1</v>
      </c>
      <c r="D1855">
        <f t="shared" si="252"/>
        <v>0</v>
      </c>
      <c r="E1855">
        <f t="shared" si="253"/>
        <v>0</v>
      </c>
      <c r="F1855">
        <f t="shared" si="254"/>
        <v>1</v>
      </c>
      <c r="G1855">
        <f t="shared" si="255"/>
        <v>0</v>
      </c>
      <c r="H1855">
        <v>0</v>
      </c>
      <c r="I1855">
        <f t="shared" si="256"/>
        <v>0</v>
      </c>
      <c r="J1855">
        <f t="shared" si="248"/>
        <v>4.5365340709686297</v>
      </c>
      <c r="K1855" t="s">
        <v>3745</v>
      </c>
      <c r="L1855" t="s">
        <v>3746</v>
      </c>
      <c r="M1855" t="s">
        <v>27</v>
      </c>
      <c r="N1855" t="s">
        <v>27</v>
      </c>
      <c r="O1855">
        <v>6.83</v>
      </c>
      <c r="P1855">
        <v>11.6664438247681</v>
      </c>
      <c r="Q1855">
        <v>2.8356130123138401</v>
      </c>
      <c r="R1855">
        <v>15.75</v>
      </c>
      <c r="S1855">
        <v>35.75</v>
      </c>
      <c r="T1855">
        <v>0</v>
      </c>
      <c r="U1855">
        <v>44.258743286132798</v>
      </c>
      <c r="V1855">
        <v>2089999.625</v>
      </c>
      <c r="W1855">
        <v>7.3634018898010298</v>
      </c>
      <c r="X1855">
        <v>0.239999994635582</v>
      </c>
      <c r="Y1855">
        <v>1.3087559938430799</v>
      </c>
      <c r="Z1855">
        <v>1.70092105865479</v>
      </c>
      <c r="AA1855">
        <v>42298000</v>
      </c>
      <c r="AB1855" t="s">
        <v>61</v>
      </c>
      <c r="AC1855" t="s">
        <v>106</v>
      </c>
      <c r="AD1855">
        <v>0</v>
      </c>
      <c r="AE1855">
        <v>30.979284286498999</v>
      </c>
      <c r="AF1855" t="s">
        <v>27</v>
      </c>
      <c r="AG1855">
        <v>42382000</v>
      </c>
      <c r="AH1855">
        <v>0</v>
      </c>
      <c r="AI1855">
        <v>12.049347877502401</v>
      </c>
    </row>
    <row r="1856" spans="1:35">
      <c r="A1856">
        <f t="shared" si="249"/>
        <v>1</v>
      </c>
      <c r="B1856">
        <f t="shared" si="250"/>
        <v>1</v>
      </c>
      <c r="C1856">
        <f t="shared" si="251"/>
        <v>1</v>
      </c>
      <c r="D1856">
        <f t="shared" si="252"/>
        <v>0</v>
      </c>
      <c r="E1856">
        <f t="shared" si="253"/>
        <v>0</v>
      </c>
      <c r="F1856">
        <f t="shared" si="254"/>
        <v>1</v>
      </c>
      <c r="G1856">
        <f t="shared" si="255"/>
        <v>0</v>
      </c>
      <c r="H1856">
        <v>0</v>
      </c>
      <c r="I1856">
        <f t="shared" si="256"/>
        <v>0</v>
      </c>
      <c r="J1856">
        <f t="shared" si="248"/>
        <v>4.5176169276237514</v>
      </c>
      <c r="K1856" t="s">
        <v>429</v>
      </c>
      <c r="L1856" t="s">
        <v>430</v>
      </c>
      <c r="M1856" t="s">
        <v>27</v>
      </c>
      <c r="N1856" t="s">
        <v>27</v>
      </c>
      <c r="O1856">
        <v>6.6289999999999996</v>
      </c>
      <c r="P1856" t="s">
        <v>27</v>
      </c>
      <c r="Q1856">
        <v>0.496452987194061</v>
      </c>
      <c r="R1856">
        <v>13.7399997711182</v>
      </c>
      <c r="S1856">
        <v>11.1875</v>
      </c>
      <c r="T1856">
        <v>2.3823370933532702</v>
      </c>
      <c r="U1856">
        <v>44.481094360351598</v>
      </c>
      <c r="V1856">
        <v>8669000</v>
      </c>
      <c r="W1856">
        <v>3.7771759033203098</v>
      </c>
      <c r="X1856">
        <v>0.30000001192092901</v>
      </c>
      <c r="Y1856" t="s">
        <v>27</v>
      </c>
      <c r="Z1856">
        <v>4.0211639404296902</v>
      </c>
      <c r="AA1856">
        <v>97050000</v>
      </c>
      <c r="AB1856" t="s">
        <v>38</v>
      </c>
      <c r="AC1856" t="s">
        <v>118</v>
      </c>
      <c r="AD1856">
        <v>-0.17000000178813901</v>
      </c>
      <c r="AE1856">
        <v>30.090946197509801</v>
      </c>
      <c r="AF1856" t="s">
        <v>27</v>
      </c>
      <c r="AG1856">
        <v>97405000</v>
      </c>
      <c r="AH1856">
        <v>0</v>
      </c>
      <c r="AI1856">
        <v>18.100435256958001</v>
      </c>
    </row>
    <row r="1857" spans="1:35">
      <c r="A1857">
        <f t="shared" si="249"/>
        <v>1</v>
      </c>
      <c r="B1857">
        <f t="shared" si="250"/>
        <v>1</v>
      </c>
      <c r="C1857">
        <f t="shared" si="251"/>
        <v>1</v>
      </c>
      <c r="D1857">
        <f t="shared" si="252"/>
        <v>0</v>
      </c>
      <c r="E1857">
        <f t="shared" si="253"/>
        <v>0</v>
      </c>
      <c r="F1857">
        <f t="shared" si="254"/>
        <v>1</v>
      </c>
      <c r="G1857">
        <f t="shared" si="255"/>
        <v>0</v>
      </c>
      <c r="H1857">
        <v>0</v>
      </c>
      <c r="I1857">
        <f t="shared" si="256"/>
        <v>0</v>
      </c>
      <c r="J1857">
        <f t="shared" si="248"/>
        <v>4.39868187904358</v>
      </c>
      <c r="K1857" t="s">
        <v>1608</v>
      </c>
      <c r="L1857" t="s">
        <v>1609</v>
      </c>
      <c r="M1857" t="s">
        <v>27</v>
      </c>
      <c r="N1857" t="s">
        <v>27</v>
      </c>
      <c r="O1857">
        <v>25.35</v>
      </c>
      <c r="P1857">
        <v>7.8394021987915004</v>
      </c>
      <c r="Q1857">
        <v>-2.3541319370269802</v>
      </c>
      <c r="R1857">
        <v>25.9799995422363</v>
      </c>
      <c r="S1857">
        <v>26</v>
      </c>
      <c r="T1857">
        <v>4.7667551040649396</v>
      </c>
      <c r="U1857" t="s">
        <v>27</v>
      </c>
      <c r="V1857">
        <v>14245000</v>
      </c>
      <c r="W1857">
        <v>2.0185859203338601</v>
      </c>
      <c r="X1857">
        <v>0.44999998807907099</v>
      </c>
      <c r="Y1857">
        <v>6.5209531784057599</v>
      </c>
      <c r="Z1857">
        <v>6.7528138160705602</v>
      </c>
      <c r="AA1857">
        <v>28845000</v>
      </c>
      <c r="AB1857" t="s">
        <v>27</v>
      </c>
      <c r="AC1857" t="s">
        <v>27</v>
      </c>
      <c r="AD1857">
        <v>0.270000010728836</v>
      </c>
      <c r="AE1857" t="s">
        <v>27</v>
      </c>
      <c r="AF1857" t="s">
        <v>27</v>
      </c>
      <c r="AG1857">
        <v>29404000</v>
      </c>
      <c r="AH1857">
        <v>4.7226080894470197</v>
      </c>
      <c r="AI1857">
        <v>2.40935206413269</v>
      </c>
    </row>
    <row r="1858" spans="1:35">
      <c r="A1858">
        <f t="shared" si="249"/>
        <v>1</v>
      </c>
      <c r="B1858">
        <f t="shared" si="250"/>
        <v>1</v>
      </c>
      <c r="C1858">
        <f t="shared" si="251"/>
        <v>1</v>
      </c>
      <c r="D1858">
        <f t="shared" si="252"/>
        <v>0</v>
      </c>
      <c r="E1858">
        <f t="shared" si="253"/>
        <v>0</v>
      </c>
      <c r="F1858">
        <f t="shared" si="254"/>
        <v>1</v>
      </c>
      <c r="G1858">
        <f t="shared" si="255"/>
        <v>0</v>
      </c>
      <c r="H1858">
        <v>0</v>
      </c>
      <c r="I1858">
        <f t="shared" si="256"/>
        <v>0</v>
      </c>
      <c r="J1858">
        <f t="shared" si="248"/>
        <v>4.3892560005187997</v>
      </c>
      <c r="K1858" t="s">
        <v>2052</v>
      </c>
      <c r="L1858" t="s">
        <v>2053</v>
      </c>
      <c r="M1858" t="s">
        <v>27</v>
      </c>
      <c r="N1858" t="s">
        <v>27</v>
      </c>
      <c r="O1858">
        <v>39.1</v>
      </c>
      <c r="P1858" t="s">
        <v>27</v>
      </c>
      <c r="Q1858">
        <v>1.9238469600677499</v>
      </c>
      <c r="R1858">
        <v>40.4799995422363</v>
      </c>
      <c r="S1858">
        <v>40.880001068115199</v>
      </c>
      <c r="T1858">
        <v>28.1292114257813</v>
      </c>
      <c r="U1858">
        <v>46.4404487609863</v>
      </c>
      <c r="V1858">
        <v>19779000</v>
      </c>
      <c r="W1858">
        <v>1.8711919784545901</v>
      </c>
      <c r="X1858">
        <v>0.60000002384185802</v>
      </c>
      <c r="Y1858" t="s">
        <v>27</v>
      </c>
      <c r="Z1858">
        <v>2.4654090404510498</v>
      </c>
      <c r="AA1858">
        <v>19916000</v>
      </c>
      <c r="AB1858" t="s">
        <v>27</v>
      </c>
      <c r="AC1858" t="s">
        <v>27</v>
      </c>
      <c r="AD1858">
        <v>-5.0000000745058101E-2</v>
      </c>
      <c r="AE1858">
        <v>36.150611877441399</v>
      </c>
      <c r="AF1858">
        <v>9.9853829615922507</v>
      </c>
      <c r="AG1858">
        <v>19683000</v>
      </c>
      <c r="AH1858">
        <v>0</v>
      </c>
      <c r="AI1858">
        <v>3.2969610691070601</v>
      </c>
    </row>
    <row r="1859" spans="1:35">
      <c r="A1859">
        <f t="shared" si="249"/>
        <v>1</v>
      </c>
      <c r="B1859">
        <f t="shared" si="250"/>
        <v>1</v>
      </c>
      <c r="C1859">
        <f t="shared" si="251"/>
        <v>1</v>
      </c>
      <c r="D1859">
        <f t="shared" si="252"/>
        <v>0</v>
      </c>
      <c r="E1859">
        <f t="shared" si="253"/>
        <v>0</v>
      </c>
      <c r="F1859">
        <f t="shared" si="254"/>
        <v>1</v>
      </c>
      <c r="G1859">
        <f t="shared" si="255"/>
        <v>0</v>
      </c>
      <c r="H1859">
        <v>0</v>
      </c>
      <c r="I1859">
        <f t="shared" si="256"/>
        <v>0</v>
      </c>
      <c r="J1859">
        <f t="shared" si="248"/>
        <v>4.2840579748153695</v>
      </c>
      <c r="K1859" t="s">
        <v>2184</v>
      </c>
      <c r="L1859" t="s">
        <v>2185</v>
      </c>
      <c r="M1859" t="s">
        <v>27</v>
      </c>
      <c r="N1859" t="s">
        <v>27</v>
      </c>
      <c r="O1859">
        <v>7.89</v>
      </c>
      <c r="P1859" t="s">
        <v>27</v>
      </c>
      <c r="Q1859">
        <v>1.06594097614288</v>
      </c>
      <c r="R1859">
        <v>24.799999237060501</v>
      </c>
      <c r="S1859" t="s">
        <v>27</v>
      </c>
      <c r="T1859">
        <v>0.85930997133255005</v>
      </c>
      <c r="U1859">
        <v>53.416717529296903</v>
      </c>
      <c r="V1859">
        <v>3816000.25</v>
      </c>
      <c r="W1859">
        <v>-3.6807999610900901</v>
      </c>
      <c r="X1859">
        <v>9.00000035762787E-2</v>
      </c>
      <c r="Y1859" t="s">
        <v>27</v>
      </c>
      <c r="Z1859">
        <v>3.2181169986724898</v>
      </c>
      <c r="AA1859">
        <v>109296960</v>
      </c>
      <c r="AB1859" t="s">
        <v>27</v>
      </c>
      <c r="AC1859" t="s">
        <v>27</v>
      </c>
      <c r="AD1859">
        <v>-0.119999997317791</v>
      </c>
      <c r="AE1859">
        <v>26.3429565429688</v>
      </c>
      <c r="AF1859" t="s">
        <v>27</v>
      </c>
      <c r="AG1859">
        <v>112017000</v>
      </c>
      <c r="AH1859">
        <v>0.60556000471115101</v>
      </c>
      <c r="AI1859">
        <v>10.9912061691284</v>
      </c>
    </row>
    <row r="1860" spans="1:35">
      <c r="A1860">
        <f t="shared" si="249"/>
        <v>0</v>
      </c>
      <c r="B1860">
        <f t="shared" si="250"/>
        <v>0</v>
      </c>
      <c r="C1860">
        <f t="shared" si="251"/>
        <v>0</v>
      </c>
      <c r="D1860">
        <f t="shared" si="252"/>
        <v>0</v>
      </c>
      <c r="E1860">
        <f t="shared" si="253"/>
        <v>0</v>
      </c>
      <c r="F1860">
        <f t="shared" si="254"/>
        <v>1</v>
      </c>
      <c r="G1860">
        <f t="shared" si="255"/>
        <v>0</v>
      </c>
      <c r="H1860">
        <v>0</v>
      </c>
      <c r="I1860">
        <f t="shared" si="256"/>
        <v>0</v>
      </c>
      <c r="J1860">
        <f t="shared" si="248"/>
        <v>4.2136290073394802</v>
      </c>
      <c r="K1860" t="s">
        <v>3901</v>
      </c>
      <c r="L1860" t="s">
        <v>3902</v>
      </c>
      <c r="M1860" t="s">
        <v>27</v>
      </c>
      <c r="N1860" t="s">
        <v>27</v>
      </c>
      <c r="O1860">
        <v>5.3</v>
      </c>
      <c r="P1860" t="s">
        <v>27</v>
      </c>
      <c r="Q1860">
        <v>2.3302750587463401</v>
      </c>
      <c r="R1860">
        <v>19.7600002288818</v>
      </c>
      <c r="S1860">
        <v>18.1875</v>
      </c>
      <c r="T1860">
        <v>5.7549629211425799</v>
      </c>
      <c r="U1860">
        <v>47.875389099121101</v>
      </c>
      <c r="V1860">
        <v>-30285000</v>
      </c>
      <c r="W1860">
        <v>26.049758911132798</v>
      </c>
      <c r="X1860">
        <v>0.129999995231628</v>
      </c>
      <c r="Y1860">
        <v>8.3571434020996094</v>
      </c>
      <c r="Z1860">
        <v>1.8833539485931401</v>
      </c>
      <c r="AA1860">
        <v>47728000</v>
      </c>
      <c r="AB1860" t="s">
        <v>38</v>
      </c>
      <c r="AC1860" t="s">
        <v>118</v>
      </c>
      <c r="AD1860">
        <v>-0.18999999761581399</v>
      </c>
      <c r="AE1860">
        <v>29.1276531219482</v>
      </c>
      <c r="AF1860" t="s">
        <v>27</v>
      </c>
      <c r="AG1860">
        <v>48545000</v>
      </c>
      <c r="AH1860">
        <v>28.1714973449707</v>
      </c>
      <c r="AI1860">
        <v>4.5011248588562003</v>
      </c>
    </row>
    <row r="1861" spans="1:35">
      <c r="A1861">
        <f t="shared" si="249"/>
        <v>1</v>
      </c>
      <c r="B1861">
        <f t="shared" si="250"/>
        <v>0</v>
      </c>
      <c r="C1861">
        <f t="shared" si="251"/>
        <v>0</v>
      </c>
      <c r="D1861">
        <f t="shared" si="252"/>
        <v>0</v>
      </c>
      <c r="E1861">
        <f t="shared" si="253"/>
        <v>0</v>
      </c>
      <c r="F1861">
        <f t="shared" si="254"/>
        <v>1</v>
      </c>
      <c r="G1861">
        <f t="shared" si="255"/>
        <v>1</v>
      </c>
      <c r="H1861">
        <v>0</v>
      </c>
      <c r="I1861">
        <f t="shared" si="256"/>
        <v>0</v>
      </c>
      <c r="J1861">
        <f t="shared" si="248"/>
        <v>4.12005686759949</v>
      </c>
      <c r="K1861" t="s">
        <v>1774</v>
      </c>
      <c r="L1861" t="s">
        <v>1775</v>
      </c>
      <c r="M1861" t="s">
        <v>27</v>
      </c>
      <c r="N1861" t="s">
        <v>27</v>
      </c>
      <c r="O1861">
        <v>16.05</v>
      </c>
      <c r="P1861">
        <v>2.7940120697021502</v>
      </c>
      <c r="Q1861">
        <v>2.0324809551239</v>
      </c>
      <c r="R1861">
        <v>27.670000076293899</v>
      </c>
      <c r="S1861">
        <v>25.780000686645501</v>
      </c>
      <c r="T1861">
        <v>0.82440298795700095</v>
      </c>
      <c r="U1861">
        <v>72.051124572753906</v>
      </c>
      <c r="V1861">
        <v>-473000</v>
      </c>
      <c r="W1861">
        <v>4.9431300163268999</v>
      </c>
      <c r="X1861">
        <v>9.00000035762787E-2</v>
      </c>
      <c r="Y1861">
        <v>1.2134040594101001</v>
      </c>
      <c r="Z1861">
        <v>2.0875759124755899</v>
      </c>
      <c r="AA1861">
        <v>21604000</v>
      </c>
      <c r="AB1861" t="s">
        <v>27</v>
      </c>
      <c r="AC1861" t="s">
        <v>27</v>
      </c>
      <c r="AD1861">
        <v>7.0000000298023196E-2</v>
      </c>
      <c r="AE1861">
        <v>73.519508361816406</v>
      </c>
      <c r="AF1861">
        <v>8.3058024251674691</v>
      </c>
      <c r="AG1861">
        <v>21757000</v>
      </c>
      <c r="AH1861">
        <v>0.67151200771331798</v>
      </c>
      <c r="AI1861">
        <v>3.1544249057769802</v>
      </c>
    </row>
    <row r="1862" spans="1:35">
      <c r="A1862">
        <f t="shared" si="249"/>
        <v>1</v>
      </c>
      <c r="B1862">
        <f t="shared" si="250"/>
        <v>0</v>
      </c>
      <c r="C1862">
        <f t="shared" si="251"/>
        <v>0</v>
      </c>
      <c r="D1862">
        <f t="shared" si="252"/>
        <v>0</v>
      </c>
      <c r="E1862">
        <f t="shared" si="253"/>
        <v>0</v>
      </c>
      <c r="F1862">
        <f t="shared" si="254"/>
        <v>1</v>
      </c>
      <c r="G1862">
        <f t="shared" si="255"/>
        <v>0</v>
      </c>
      <c r="H1862">
        <v>0</v>
      </c>
      <c r="I1862">
        <f t="shared" si="256"/>
        <v>0</v>
      </c>
      <c r="J1862">
        <f t="shared" si="248"/>
        <v>3.9791669845581099</v>
      </c>
      <c r="K1862" t="s">
        <v>3703</v>
      </c>
      <c r="L1862" t="s">
        <v>3704</v>
      </c>
      <c r="M1862" t="s">
        <v>27</v>
      </c>
      <c r="N1862" t="s">
        <v>27</v>
      </c>
      <c r="O1862">
        <v>13.97</v>
      </c>
      <c r="P1862">
        <v>3.75342893600464</v>
      </c>
      <c r="Q1862">
        <v>2.19025802612305</v>
      </c>
      <c r="R1862">
        <v>16.600000381469702</v>
      </c>
      <c r="S1862">
        <v>22.309999465942401</v>
      </c>
      <c r="T1862">
        <v>36.899055480957003</v>
      </c>
      <c r="U1862">
        <v>-19.644453048706101</v>
      </c>
      <c r="V1862">
        <v>-23431000</v>
      </c>
      <c r="W1862">
        <v>1.3836359977722199</v>
      </c>
      <c r="X1862">
        <v>-0.61000001430511497</v>
      </c>
      <c r="Y1862">
        <v>2.17109203338623</v>
      </c>
      <c r="Z1862">
        <v>1.7889089584350599</v>
      </c>
      <c r="AA1862">
        <v>34906000</v>
      </c>
      <c r="AB1862" t="s">
        <v>30</v>
      </c>
      <c r="AC1862" t="s">
        <v>223</v>
      </c>
      <c r="AD1862">
        <v>-0.75</v>
      </c>
      <c r="AE1862">
        <v>-26.864608764648398</v>
      </c>
      <c r="AF1862">
        <v>8.99115556556138</v>
      </c>
      <c r="AG1862">
        <v>27693820</v>
      </c>
      <c r="AH1862">
        <v>35.011516571044901</v>
      </c>
      <c r="AI1862">
        <v>1.1771429777145399</v>
      </c>
    </row>
    <row r="1863" spans="1:35">
      <c r="A1863">
        <f t="shared" si="249"/>
        <v>0</v>
      </c>
      <c r="B1863">
        <f t="shared" si="250"/>
        <v>1</v>
      </c>
      <c r="C1863">
        <f t="shared" si="251"/>
        <v>1</v>
      </c>
      <c r="D1863">
        <f t="shared" si="252"/>
        <v>0</v>
      </c>
      <c r="E1863">
        <f t="shared" si="253"/>
        <v>0</v>
      </c>
      <c r="F1863">
        <f t="shared" si="254"/>
        <v>1</v>
      </c>
      <c r="G1863">
        <f t="shared" si="255"/>
        <v>0</v>
      </c>
      <c r="H1863">
        <v>0</v>
      </c>
      <c r="I1863">
        <f t="shared" si="256"/>
        <v>0</v>
      </c>
      <c r="J1863">
        <f t="shared" si="248"/>
        <v>3.8727730512619001</v>
      </c>
      <c r="K1863" t="s">
        <v>2408</v>
      </c>
      <c r="L1863" t="s">
        <v>2409</v>
      </c>
      <c r="M1863" t="s">
        <v>27</v>
      </c>
      <c r="N1863" t="s">
        <v>27</v>
      </c>
      <c r="O1863">
        <v>4.3099999999999996</v>
      </c>
      <c r="P1863" t="s">
        <v>27</v>
      </c>
      <c r="Q1863">
        <v>1.6557370424270601</v>
      </c>
      <c r="R1863">
        <v>15.6499996185303</v>
      </c>
      <c r="S1863">
        <v>61.5</v>
      </c>
      <c r="T1863">
        <v>0</v>
      </c>
      <c r="U1863">
        <v>77.388641357421903</v>
      </c>
      <c r="V1863">
        <v>3359000</v>
      </c>
      <c r="W1863">
        <v>-17.268110275268601</v>
      </c>
      <c r="X1863">
        <v>2.9999999329447701E-2</v>
      </c>
      <c r="Y1863">
        <v>-0.214285999536514</v>
      </c>
      <c r="Z1863">
        <v>2.2170360088348402</v>
      </c>
      <c r="AA1863">
        <v>29858000</v>
      </c>
      <c r="AB1863" t="s">
        <v>27</v>
      </c>
      <c r="AC1863" t="s">
        <v>27</v>
      </c>
      <c r="AD1863">
        <v>-7.9999998211860698E-2</v>
      </c>
      <c r="AE1863">
        <v>75.769569396972699</v>
      </c>
      <c r="AF1863" t="s">
        <v>27</v>
      </c>
      <c r="AG1863">
        <v>31229000</v>
      </c>
      <c r="AH1863">
        <v>0</v>
      </c>
      <c r="AI1863">
        <v>2.19290995597839</v>
      </c>
    </row>
    <row r="1864" spans="1:35">
      <c r="A1864">
        <f t="shared" si="249"/>
        <v>1</v>
      </c>
      <c r="B1864">
        <f t="shared" si="250"/>
        <v>1</v>
      </c>
      <c r="C1864">
        <f t="shared" si="251"/>
        <v>0</v>
      </c>
      <c r="D1864">
        <f t="shared" si="252"/>
        <v>1</v>
      </c>
      <c r="E1864">
        <f t="shared" si="253"/>
        <v>0</v>
      </c>
      <c r="F1864">
        <f t="shared" si="254"/>
        <v>1</v>
      </c>
      <c r="G1864">
        <f t="shared" si="255"/>
        <v>1</v>
      </c>
      <c r="H1864">
        <v>0</v>
      </c>
      <c r="I1864">
        <f t="shared" si="256"/>
        <v>1</v>
      </c>
      <c r="J1864">
        <f t="shared" si="248"/>
        <v>3.7719021141529132</v>
      </c>
      <c r="K1864" t="s">
        <v>3280</v>
      </c>
      <c r="L1864" t="s">
        <v>3281</v>
      </c>
      <c r="M1864" t="s">
        <v>27</v>
      </c>
      <c r="N1864" t="s">
        <v>27</v>
      </c>
      <c r="O1864">
        <v>10.32</v>
      </c>
      <c r="P1864" t="s">
        <v>27</v>
      </c>
      <c r="Q1864">
        <v>-0.27027699351310702</v>
      </c>
      <c r="R1864">
        <v>9.2003126144409197</v>
      </c>
      <c r="S1864">
        <v>5.6875</v>
      </c>
      <c r="T1864">
        <v>0.143572002649307</v>
      </c>
      <c r="U1864">
        <v>64.498435974121094</v>
      </c>
      <c r="V1864">
        <v>-62999.96484375</v>
      </c>
      <c r="W1864">
        <v>-12.9702453613281</v>
      </c>
      <c r="X1864">
        <v>3.9999999105930301E-2</v>
      </c>
      <c r="Y1864">
        <v>-0.72727298736572299</v>
      </c>
      <c r="Z1864">
        <v>4.0421791076660201</v>
      </c>
      <c r="AA1864">
        <v>15763000</v>
      </c>
      <c r="AB1864" t="s">
        <v>27</v>
      </c>
      <c r="AC1864" t="s">
        <v>27</v>
      </c>
      <c r="AD1864">
        <v>7.0000000298023196E-2</v>
      </c>
      <c r="AE1864">
        <v>66.088050842285199</v>
      </c>
      <c r="AF1864">
        <v>5.7379425763062599</v>
      </c>
      <c r="AG1864">
        <v>14883000</v>
      </c>
      <c r="AH1864">
        <v>7.93700013309717E-3</v>
      </c>
      <c r="AI1864">
        <v>2.4056479930877699</v>
      </c>
    </row>
    <row r="1865" spans="1:35">
      <c r="A1865">
        <f t="shared" si="249"/>
        <v>0</v>
      </c>
      <c r="B1865">
        <f t="shared" si="250"/>
        <v>1</v>
      </c>
      <c r="C1865">
        <f t="shared" si="251"/>
        <v>1</v>
      </c>
      <c r="D1865">
        <f t="shared" si="252"/>
        <v>0</v>
      </c>
      <c r="E1865">
        <f t="shared" si="253"/>
        <v>0</v>
      </c>
      <c r="F1865">
        <f t="shared" si="254"/>
        <v>1</v>
      </c>
      <c r="G1865">
        <f t="shared" si="255"/>
        <v>0</v>
      </c>
      <c r="H1865">
        <v>0</v>
      </c>
      <c r="I1865">
        <f t="shared" si="256"/>
        <v>0</v>
      </c>
      <c r="J1865">
        <f t="shared" si="248"/>
        <v>3.6531610488891602</v>
      </c>
      <c r="K1865" t="s">
        <v>750</v>
      </c>
      <c r="L1865" t="s">
        <v>751</v>
      </c>
      <c r="M1865" t="s">
        <v>27</v>
      </c>
      <c r="N1865" t="s">
        <v>27</v>
      </c>
      <c r="O1865">
        <v>6.44</v>
      </c>
      <c r="P1865">
        <v>4.1096611022949201</v>
      </c>
      <c r="Q1865">
        <v>1.2811260223388701</v>
      </c>
      <c r="R1865">
        <v>12.8800001144409</v>
      </c>
      <c r="S1865">
        <v>11</v>
      </c>
      <c r="T1865">
        <v>0</v>
      </c>
      <c r="U1865">
        <v>7.2698268890380904</v>
      </c>
      <c r="V1865">
        <v>18156000</v>
      </c>
      <c r="W1865">
        <v>0.91519200801849399</v>
      </c>
      <c r="X1865">
        <v>0.20999999344348899</v>
      </c>
      <c r="Y1865">
        <v>5.5199999809265101</v>
      </c>
      <c r="Z1865">
        <v>2.3720350265502899</v>
      </c>
      <c r="AA1865">
        <v>20339000</v>
      </c>
      <c r="AB1865" t="s">
        <v>52</v>
      </c>
      <c r="AC1865" t="s">
        <v>56</v>
      </c>
      <c r="AD1865">
        <v>-0.20999999344348899</v>
      </c>
      <c r="AE1865">
        <v>1.78327000141144</v>
      </c>
      <c r="AF1865">
        <v>10.4852351618086</v>
      </c>
      <c r="AG1865">
        <v>20513000</v>
      </c>
      <c r="AH1865">
        <v>40.138694763183601</v>
      </c>
      <c r="AI1865">
        <v>7.8517217636108398</v>
      </c>
    </row>
    <row r="1866" spans="1:35">
      <c r="A1866">
        <f t="shared" si="249"/>
        <v>1</v>
      </c>
      <c r="B1866">
        <f t="shared" si="250"/>
        <v>1</v>
      </c>
      <c r="C1866">
        <f t="shared" si="251"/>
        <v>1</v>
      </c>
      <c r="D1866">
        <f t="shared" si="252"/>
        <v>0</v>
      </c>
      <c r="E1866">
        <f t="shared" si="253"/>
        <v>0</v>
      </c>
      <c r="F1866">
        <f t="shared" si="254"/>
        <v>1</v>
      </c>
      <c r="G1866">
        <f t="shared" si="255"/>
        <v>1</v>
      </c>
      <c r="H1866">
        <v>0</v>
      </c>
      <c r="I1866">
        <f t="shared" si="256"/>
        <v>0</v>
      </c>
      <c r="J1866">
        <f t="shared" si="248"/>
        <v>3.6515129208564741</v>
      </c>
      <c r="K1866" t="s">
        <v>1480</v>
      </c>
      <c r="L1866" t="s">
        <v>1481</v>
      </c>
      <c r="M1866" t="s">
        <v>27</v>
      </c>
      <c r="N1866" t="s">
        <v>27</v>
      </c>
      <c r="O1866">
        <v>12.17</v>
      </c>
      <c r="P1866" t="s">
        <v>27</v>
      </c>
      <c r="Q1866">
        <v>3.1444139480590798</v>
      </c>
      <c r="R1866">
        <v>12.5019998550415</v>
      </c>
      <c r="S1866">
        <v>19</v>
      </c>
      <c r="T1866">
        <v>23.965568542480501</v>
      </c>
      <c r="U1866">
        <v>44.882816314697301</v>
      </c>
      <c r="V1866">
        <v>5526000</v>
      </c>
      <c r="W1866">
        <v>3.2593688964843799</v>
      </c>
      <c r="X1866">
        <v>5.0000000745058101E-2</v>
      </c>
      <c r="Y1866" t="s">
        <v>27</v>
      </c>
      <c r="Z1866">
        <v>0.50709897279739402</v>
      </c>
      <c r="AA1866">
        <v>59906500</v>
      </c>
      <c r="AB1866" t="s">
        <v>27</v>
      </c>
      <c r="AC1866" t="s">
        <v>27</v>
      </c>
      <c r="AD1866">
        <v>2.9999999329447701E-2</v>
      </c>
      <c r="AE1866">
        <v>45.373752593994098</v>
      </c>
      <c r="AF1866">
        <v>14.4231493864764</v>
      </c>
      <c r="AG1866">
        <v>59923000</v>
      </c>
      <c r="AH1866">
        <v>23.3577575683594</v>
      </c>
      <c r="AI1866">
        <v>5.4387159347534197</v>
      </c>
    </row>
    <row r="1867" spans="1:35">
      <c r="A1867">
        <f t="shared" si="249"/>
        <v>0</v>
      </c>
      <c r="B1867">
        <f t="shared" si="250"/>
        <v>1</v>
      </c>
      <c r="C1867">
        <f t="shared" si="251"/>
        <v>1</v>
      </c>
      <c r="D1867">
        <f t="shared" si="252"/>
        <v>0</v>
      </c>
      <c r="E1867">
        <f t="shared" si="253"/>
        <v>0</v>
      </c>
      <c r="F1867">
        <f t="shared" si="254"/>
        <v>1</v>
      </c>
      <c r="G1867">
        <f t="shared" si="255"/>
        <v>0</v>
      </c>
      <c r="H1867">
        <v>0</v>
      </c>
      <c r="I1867">
        <f t="shared" si="256"/>
        <v>0</v>
      </c>
      <c r="J1867">
        <f t="shared" si="248"/>
        <v>3.5805641412734999</v>
      </c>
      <c r="K1867" t="s">
        <v>2160</v>
      </c>
      <c r="L1867" t="s">
        <v>2161</v>
      </c>
      <c r="M1867" t="s">
        <v>27</v>
      </c>
      <c r="N1867" t="s">
        <v>27</v>
      </c>
      <c r="O1867">
        <v>5.75</v>
      </c>
      <c r="P1867" t="s">
        <v>27</v>
      </c>
      <c r="Q1867">
        <v>2.0532910823821999</v>
      </c>
      <c r="R1867">
        <v>13.300000190734901</v>
      </c>
      <c r="S1867">
        <v>22.200000762939499</v>
      </c>
      <c r="T1867">
        <v>16.673547744751001</v>
      </c>
      <c r="U1867">
        <v>19.886604309081999</v>
      </c>
      <c r="V1867">
        <v>10058000</v>
      </c>
      <c r="W1867">
        <v>1.54765796661377</v>
      </c>
      <c r="X1867">
        <v>0.25</v>
      </c>
      <c r="Y1867">
        <v>3.2832369804382302</v>
      </c>
      <c r="Z1867">
        <v>1.5272730588912999</v>
      </c>
      <c r="AA1867">
        <v>16563999</v>
      </c>
      <c r="AB1867" t="s">
        <v>52</v>
      </c>
      <c r="AC1867" t="s">
        <v>56</v>
      </c>
      <c r="AD1867">
        <v>-0.46999999880790699</v>
      </c>
      <c r="AE1867">
        <v>6.8299508094787598</v>
      </c>
      <c r="AF1867" t="s">
        <v>27</v>
      </c>
      <c r="AG1867">
        <v>16611000</v>
      </c>
      <c r="AH1867">
        <v>17.447919845581101</v>
      </c>
      <c r="AI1867">
        <v>3.2159850597381601</v>
      </c>
    </row>
    <row r="1868" spans="1:35">
      <c r="A1868">
        <f t="shared" si="249"/>
        <v>0</v>
      </c>
      <c r="B1868">
        <f t="shared" si="250"/>
        <v>1</v>
      </c>
      <c r="C1868">
        <f t="shared" si="251"/>
        <v>0</v>
      </c>
      <c r="D1868">
        <f t="shared" si="252"/>
        <v>0</v>
      </c>
      <c r="E1868">
        <f t="shared" si="253"/>
        <v>0</v>
      </c>
      <c r="F1868">
        <f t="shared" si="254"/>
        <v>1</v>
      </c>
      <c r="G1868">
        <f t="shared" si="255"/>
        <v>1</v>
      </c>
      <c r="H1868">
        <v>0</v>
      </c>
      <c r="I1868">
        <f t="shared" si="256"/>
        <v>0</v>
      </c>
      <c r="J1868">
        <f t="shared" si="248"/>
        <v>3.5412030220031703</v>
      </c>
      <c r="K1868" t="s">
        <v>2951</v>
      </c>
      <c r="L1868" t="s">
        <v>2952</v>
      </c>
      <c r="M1868" t="s">
        <v>27</v>
      </c>
      <c r="N1868" t="s">
        <v>27</v>
      </c>
      <c r="O1868">
        <v>5.0999999999999996</v>
      </c>
      <c r="P1868" t="s">
        <v>27</v>
      </c>
      <c r="Q1868">
        <v>1.3959879875183101</v>
      </c>
      <c r="R1868">
        <v>9.7510004043579102</v>
      </c>
      <c r="S1868">
        <v>5.875</v>
      </c>
      <c r="T1868">
        <v>5.0741219520568803</v>
      </c>
      <c r="U1868">
        <v>-7.6454238891601598</v>
      </c>
      <c r="V1868">
        <v>-12437000</v>
      </c>
      <c r="W1868">
        <v>-1.1026999913156E-2</v>
      </c>
      <c r="X1868">
        <v>-5.9999998658895499E-2</v>
      </c>
      <c r="Y1868">
        <v>1.1851849555969201</v>
      </c>
      <c r="Z1868">
        <v>2.1452150344848602</v>
      </c>
      <c r="AA1868">
        <v>80466000</v>
      </c>
      <c r="AB1868" t="s">
        <v>27</v>
      </c>
      <c r="AC1868" t="s">
        <v>27</v>
      </c>
      <c r="AD1868">
        <v>-7.0000000298023196E-2</v>
      </c>
      <c r="AE1868">
        <v>-4.9504837989807102</v>
      </c>
      <c r="AF1868">
        <v>15.7051288891574</v>
      </c>
      <c r="AG1868">
        <v>83722000</v>
      </c>
      <c r="AH1868">
        <v>11.5436811447144</v>
      </c>
      <c r="AI1868">
        <v>5.7220999151468298E-2</v>
      </c>
    </row>
    <row r="1869" spans="1:35">
      <c r="A1869">
        <f t="shared" si="249"/>
        <v>1</v>
      </c>
      <c r="B1869">
        <f t="shared" si="250"/>
        <v>0</v>
      </c>
      <c r="C1869">
        <f t="shared" si="251"/>
        <v>1</v>
      </c>
      <c r="D1869">
        <f t="shared" si="252"/>
        <v>1</v>
      </c>
      <c r="E1869">
        <f t="shared" si="253"/>
        <v>0</v>
      </c>
      <c r="F1869">
        <f t="shared" si="254"/>
        <v>1</v>
      </c>
      <c r="G1869">
        <f t="shared" si="255"/>
        <v>1</v>
      </c>
      <c r="H1869">
        <v>0</v>
      </c>
      <c r="I1869">
        <f t="shared" si="256"/>
        <v>0</v>
      </c>
      <c r="J1869">
        <f t="shared" si="248"/>
        <v>3.53192794322967</v>
      </c>
      <c r="K1869" t="s">
        <v>246</v>
      </c>
      <c r="L1869" t="s">
        <v>247</v>
      </c>
      <c r="M1869" t="s">
        <v>27</v>
      </c>
      <c r="N1869" t="s">
        <v>27</v>
      </c>
      <c r="O1869">
        <v>17.170000000000002</v>
      </c>
      <c r="P1869" t="s">
        <v>27</v>
      </c>
      <c r="Q1869">
        <v>2.4307219982147199</v>
      </c>
      <c r="R1869">
        <v>20.680000305175799</v>
      </c>
      <c r="S1869">
        <v>13</v>
      </c>
      <c r="T1869">
        <v>23.856321334838899</v>
      </c>
      <c r="U1869">
        <v>79.136749267578097</v>
      </c>
      <c r="V1869">
        <v>365999.9375</v>
      </c>
      <c r="W1869" t="s">
        <v>27</v>
      </c>
      <c r="X1869">
        <v>-1.9999999552965199E-2</v>
      </c>
      <c r="Y1869" t="s">
        <v>27</v>
      </c>
      <c r="Z1869">
        <v>1.1012059450149501</v>
      </c>
      <c r="AA1869">
        <v>27730000</v>
      </c>
      <c r="AB1869" t="s">
        <v>27</v>
      </c>
      <c r="AC1869" t="s">
        <v>27</v>
      </c>
      <c r="AD1869">
        <v>5.9999998658895499E-2</v>
      </c>
      <c r="AE1869">
        <v>81.010581970214801</v>
      </c>
      <c r="AF1869">
        <v>12.5629216782872</v>
      </c>
      <c r="AG1869">
        <v>29520000</v>
      </c>
      <c r="AH1869">
        <v>12.3871469497681</v>
      </c>
      <c r="AI1869">
        <v>2.8149999678134901E-2</v>
      </c>
    </row>
    <row r="1870" spans="1:35">
      <c r="A1870">
        <f t="shared" si="249"/>
        <v>1</v>
      </c>
      <c r="B1870">
        <f t="shared" si="250"/>
        <v>1</v>
      </c>
      <c r="C1870">
        <f t="shared" si="251"/>
        <v>1</v>
      </c>
      <c r="D1870">
        <f t="shared" si="252"/>
        <v>0</v>
      </c>
      <c r="E1870">
        <f t="shared" si="253"/>
        <v>0</v>
      </c>
      <c r="F1870">
        <f t="shared" si="254"/>
        <v>1</v>
      </c>
      <c r="G1870">
        <f t="shared" si="255"/>
        <v>0</v>
      </c>
      <c r="H1870">
        <v>0</v>
      </c>
      <c r="I1870">
        <f t="shared" si="256"/>
        <v>0</v>
      </c>
      <c r="J1870">
        <f t="shared" si="248"/>
        <v>3.4044850468635581</v>
      </c>
      <c r="K1870" t="s">
        <v>2849</v>
      </c>
      <c r="L1870" t="s">
        <v>2850</v>
      </c>
      <c r="M1870" t="s">
        <v>27</v>
      </c>
      <c r="N1870" t="s">
        <v>27</v>
      </c>
      <c r="O1870">
        <v>44.6</v>
      </c>
      <c r="P1870">
        <v>2.88071608543396</v>
      </c>
      <c r="Q1870">
        <v>0.78479200601577803</v>
      </c>
      <c r="R1870">
        <v>50.549999237060497</v>
      </c>
      <c r="S1870">
        <v>54.049999237060497</v>
      </c>
      <c r="T1870">
        <v>24.103086471557599</v>
      </c>
      <c r="U1870" t="s">
        <v>27</v>
      </c>
      <c r="V1870">
        <v>37690000</v>
      </c>
      <c r="W1870">
        <v>0.19763900339603399</v>
      </c>
      <c r="X1870">
        <v>0.230000004172325</v>
      </c>
      <c r="Y1870">
        <v>4.2607679367065403</v>
      </c>
      <c r="Z1870">
        <v>2.6196930408477801</v>
      </c>
      <c r="AA1870">
        <v>22135000</v>
      </c>
      <c r="AB1870" t="s">
        <v>27</v>
      </c>
      <c r="AC1870" t="s">
        <v>27</v>
      </c>
      <c r="AD1870">
        <v>7.0000000298023196E-2</v>
      </c>
      <c r="AE1870" t="s">
        <v>27</v>
      </c>
      <c r="AF1870">
        <v>13.3896796541099</v>
      </c>
      <c r="AG1870">
        <v>21209000</v>
      </c>
      <c r="AH1870">
        <v>23.768596649169901</v>
      </c>
      <c r="AI1870">
        <v>3.0852620601654102</v>
      </c>
    </row>
    <row r="1871" spans="1:35">
      <c r="A1871">
        <f t="shared" si="249"/>
        <v>0</v>
      </c>
      <c r="B1871">
        <f t="shared" si="250"/>
        <v>0</v>
      </c>
      <c r="C1871">
        <f t="shared" si="251"/>
        <v>0</v>
      </c>
      <c r="D1871">
        <f t="shared" si="252"/>
        <v>1</v>
      </c>
      <c r="E1871">
        <f t="shared" si="253"/>
        <v>0</v>
      </c>
      <c r="F1871">
        <f t="shared" si="254"/>
        <v>1</v>
      </c>
      <c r="G1871">
        <f t="shared" si="255"/>
        <v>1</v>
      </c>
      <c r="H1871">
        <v>0</v>
      </c>
      <c r="I1871">
        <f t="shared" si="256"/>
        <v>1</v>
      </c>
      <c r="J1871">
        <f t="shared" si="248"/>
        <v>3.2181079387664822</v>
      </c>
      <c r="K1871" t="s">
        <v>121</v>
      </c>
      <c r="L1871" t="s">
        <v>122</v>
      </c>
      <c r="M1871" t="s">
        <v>27</v>
      </c>
      <c r="N1871" t="s">
        <v>27</v>
      </c>
      <c r="O1871">
        <v>38.392000000000003</v>
      </c>
      <c r="P1871">
        <v>1.34501600265503</v>
      </c>
      <c r="Q1871">
        <v>2.49346995353699</v>
      </c>
      <c r="R1871">
        <v>33.75</v>
      </c>
      <c r="S1871">
        <v>24.875</v>
      </c>
      <c r="T1871">
        <v>0</v>
      </c>
      <c r="U1871">
        <v>52.6785697937012</v>
      </c>
      <c r="V1871">
        <v>-98999.9765625</v>
      </c>
      <c r="W1871">
        <v>13.4838266372681</v>
      </c>
      <c r="X1871">
        <v>1.9999999552965199E-2</v>
      </c>
      <c r="Y1871">
        <v>0.51282101869583097</v>
      </c>
      <c r="Z1871">
        <v>0.72463798522949197</v>
      </c>
      <c r="AA1871">
        <v>7511000</v>
      </c>
      <c r="AB1871" t="s">
        <v>27</v>
      </c>
      <c r="AC1871" t="s">
        <v>27</v>
      </c>
      <c r="AD1871">
        <v>5.0000000745058101E-2</v>
      </c>
      <c r="AE1871">
        <v>58.898990631103501</v>
      </c>
      <c r="AF1871">
        <v>36.281925696594399</v>
      </c>
      <c r="AG1871">
        <v>8936000</v>
      </c>
      <c r="AH1871">
        <v>0.43884798884391801</v>
      </c>
      <c r="AI1871">
        <v>1.78694200515747</v>
      </c>
    </row>
    <row r="1872" spans="1:35">
      <c r="A1872">
        <f t="shared" si="249"/>
        <v>1</v>
      </c>
      <c r="B1872">
        <f t="shared" si="250"/>
        <v>1</v>
      </c>
      <c r="C1872">
        <f t="shared" si="251"/>
        <v>0</v>
      </c>
      <c r="D1872">
        <f t="shared" si="252"/>
        <v>1</v>
      </c>
      <c r="E1872">
        <f t="shared" si="253"/>
        <v>0</v>
      </c>
      <c r="F1872">
        <f t="shared" si="254"/>
        <v>1</v>
      </c>
      <c r="G1872">
        <f t="shared" si="255"/>
        <v>1</v>
      </c>
      <c r="H1872">
        <v>0</v>
      </c>
      <c r="I1872">
        <f t="shared" si="256"/>
        <v>0</v>
      </c>
      <c r="J1872">
        <f t="shared" si="248"/>
        <v>3.1939650774002102</v>
      </c>
      <c r="K1872" t="s">
        <v>3547</v>
      </c>
      <c r="L1872" t="s">
        <v>3548</v>
      </c>
      <c r="M1872" t="s">
        <v>27</v>
      </c>
      <c r="N1872" t="s">
        <v>27</v>
      </c>
      <c r="O1872">
        <v>4.6900000000000004</v>
      </c>
      <c r="P1872" t="s">
        <v>27</v>
      </c>
      <c r="Q1872">
        <v>4.8434500694274902</v>
      </c>
      <c r="R1872">
        <v>5.3000001907348597</v>
      </c>
      <c r="S1872">
        <v>3.7999999523162802</v>
      </c>
      <c r="T1872">
        <v>27.331609725952099</v>
      </c>
      <c r="U1872">
        <v>0.92966598272323597</v>
      </c>
      <c r="V1872">
        <v>-24027000</v>
      </c>
      <c r="W1872">
        <v>-3.9098598957061799</v>
      </c>
      <c r="X1872">
        <v>-5.9999998658895499E-2</v>
      </c>
      <c r="Y1872">
        <v>-12.759492874145501</v>
      </c>
      <c r="Z1872">
        <v>-1.6494849920272801</v>
      </c>
      <c r="AA1872">
        <v>30983000</v>
      </c>
      <c r="AB1872" t="s">
        <v>27</v>
      </c>
      <c r="AC1872" t="s">
        <v>27</v>
      </c>
      <c r="AD1872">
        <v>0.230000004172325</v>
      </c>
      <c r="AE1872">
        <v>1.9976270198821999</v>
      </c>
      <c r="AF1872">
        <v>4.8754723258311303</v>
      </c>
      <c r="AG1872">
        <v>31805000</v>
      </c>
      <c r="AH1872">
        <v>14.410738945007299</v>
      </c>
      <c r="AI1872" t="s">
        <v>27</v>
      </c>
    </row>
    <row r="1873" spans="1:35">
      <c r="A1873">
        <f t="shared" si="249"/>
        <v>1</v>
      </c>
      <c r="B1873">
        <f t="shared" si="250"/>
        <v>0</v>
      </c>
      <c r="C1873">
        <f t="shared" si="251"/>
        <v>1</v>
      </c>
      <c r="D1873">
        <f t="shared" si="252"/>
        <v>0</v>
      </c>
      <c r="E1873">
        <f t="shared" si="253"/>
        <v>0</v>
      </c>
      <c r="F1873">
        <f t="shared" si="254"/>
        <v>1</v>
      </c>
      <c r="G1873">
        <f t="shared" si="255"/>
        <v>0</v>
      </c>
      <c r="H1873">
        <v>0</v>
      </c>
      <c r="I1873">
        <f t="shared" si="256"/>
        <v>0</v>
      </c>
      <c r="J1873">
        <f t="shared" si="248"/>
        <v>3.1458489894867001</v>
      </c>
      <c r="K1873" t="s">
        <v>1576</v>
      </c>
      <c r="L1873" t="s">
        <v>1577</v>
      </c>
      <c r="M1873" t="s">
        <v>27</v>
      </c>
      <c r="N1873" t="s">
        <v>27</v>
      </c>
      <c r="O1873">
        <v>3.55</v>
      </c>
      <c r="P1873">
        <v>18.535781860351602</v>
      </c>
      <c r="Q1873">
        <v>1.90553903579712</v>
      </c>
      <c r="R1873">
        <v>8.4700002670288104</v>
      </c>
      <c r="S1873">
        <v>7.0199999809265101</v>
      </c>
      <c r="T1873">
        <v>36.941024780273402</v>
      </c>
      <c r="U1873">
        <v>35.6609077453613</v>
      </c>
      <c r="V1873">
        <v>7086000.5</v>
      </c>
      <c r="W1873">
        <v>16.403079986572301</v>
      </c>
      <c r="X1873">
        <v>0.18999999761581399</v>
      </c>
      <c r="Y1873">
        <v>9.9555559158325195</v>
      </c>
      <c r="Z1873">
        <v>1.2403099536895801</v>
      </c>
      <c r="AA1873">
        <v>43538000</v>
      </c>
      <c r="AB1873" t="s">
        <v>30</v>
      </c>
      <c r="AC1873" t="s">
        <v>68</v>
      </c>
      <c r="AD1873">
        <v>2.9999999329447701E-2</v>
      </c>
      <c r="AE1873">
        <v>34.255172729492202</v>
      </c>
      <c r="AF1873">
        <v>6.0325244501489701</v>
      </c>
      <c r="AG1873">
        <v>43862000</v>
      </c>
      <c r="AH1873">
        <v>31.25803565979</v>
      </c>
      <c r="AI1873">
        <v>4.1822237968444798</v>
      </c>
    </row>
    <row r="1874" spans="1:35">
      <c r="A1874">
        <f t="shared" si="249"/>
        <v>0</v>
      </c>
      <c r="B1874">
        <f t="shared" si="250"/>
        <v>1</v>
      </c>
      <c r="C1874">
        <f t="shared" si="251"/>
        <v>0</v>
      </c>
      <c r="D1874">
        <f t="shared" si="252"/>
        <v>0</v>
      </c>
      <c r="E1874">
        <f t="shared" si="253"/>
        <v>0</v>
      </c>
      <c r="F1874">
        <f t="shared" si="254"/>
        <v>1</v>
      </c>
      <c r="G1874">
        <f t="shared" si="255"/>
        <v>1</v>
      </c>
      <c r="H1874">
        <v>0</v>
      </c>
      <c r="I1874">
        <f t="shared" si="256"/>
        <v>1</v>
      </c>
      <c r="J1874">
        <f t="shared" si="248"/>
        <v>3.0891519784927399</v>
      </c>
      <c r="K1874" t="s">
        <v>3143</v>
      </c>
      <c r="L1874" t="s">
        <v>3144</v>
      </c>
      <c r="M1874" t="s">
        <v>27</v>
      </c>
      <c r="N1874" t="s">
        <v>27</v>
      </c>
      <c r="O1874">
        <v>14.46</v>
      </c>
      <c r="P1874">
        <v>19.257818222045898</v>
      </c>
      <c r="Q1874">
        <v>1.9527889490127599</v>
      </c>
      <c r="R1874">
        <v>10.949999809265099</v>
      </c>
      <c r="S1874">
        <v>16</v>
      </c>
      <c r="T1874">
        <v>1.50888395309448</v>
      </c>
      <c r="U1874">
        <v>48.441890716552699</v>
      </c>
      <c r="V1874">
        <v>-16249000</v>
      </c>
      <c r="W1874">
        <v>8.3198013305664098</v>
      </c>
      <c r="X1874">
        <v>0.259999990463257</v>
      </c>
      <c r="Y1874">
        <v>6.10526323318481</v>
      </c>
      <c r="Z1874">
        <v>1.13636302947998</v>
      </c>
      <c r="AA1874">
        <v>12068000</v>
      </c>
      <c r="AB1874" t="s">
        <v>27</v>
      </c>
      <c r="AC1874" t="s">
        <v>27</v>
      </c>
      <c r="AD1874">
        <v>-0.34999999403953602</v>
      </c>
      <c r="AE1874">
        <v>50.5896606445313</v>
      </c>
      <c r="AF1874">
        <v>5.5062387079594703</v>
      </c>
      <c r="AG1874">
        <v>11898000</v>
      </c>
      <c r="AH1874">
        <v>5.92806100845337</v>
      </c>
      <c r="AI1874">
        <v>10.5796766281128</v>
      </c>
    </row>
    <row r="1875" spans="1:35">
      <c r="A1875">
        <f t="shared" si="249"/>
        <v>0</v>
      </c>
      <c r="B1875">
        <f t="shared" si="250"/>
        <v>0</v>
      </c>
      <c r="C1875">
        <f t="shared" si="251"/>
        <v>1</v>
      </c>
      <c r="D1875">
        <f t="shared" si="252"/>
        <v>0</v>
      </c>
      <c r="E1875">
        <f t="shared" si="253"/>
        <v>0</v>
      </c>
      <c r="F1875">
        <f t="shared" si="254"/>
        <v>1</v>
      </c>
      <c r="G1875">
        <f t="shared" si="255"/>
        <v>0</v>
      </c>
      <c r="H1875">
        <v>0</v>
      </c>
      <c r="I1875">
        <f t="shared" si="256"/>
        <v>1</v>
      </c>
      <c r="J1875">
        <f t="shared" si="248"/>
        <v>2.88664698600769</v>
      </c>
      <c r="K1875" t="s">
        <v>3769</v>
      </c>
      <c r="L1875" t="s">
        <v>3770</v>
      </c>
      <c r="M1875" t="s">
        <v>27</v>
      </c>
      <c r="N1875" t="s">
        <v>27</v>
      </c>
      <c r="O1875">
        <v>9.0709999999999997</v>
      </c>
      <c r="P1875">
        <v>10.445512771606399</v>
      </c>
      <c r="Q1875">
        <v>1.0580760240554801</v>
      </c>
      <c r="R1875">
        <v>7.0500001907348597</v>
      </c>
      <c r="S1875">
        <v>13.25</v>
      </c>
      <c r="T1875">
        <v>4.8337359428405797</v>
      </c>
      <c r="U1875">
        <v>9.0886487960815394</v>
      </c>
      <c r="V1875">
        <v>8528000</v>
      </c>
      <c r="W1875">
        <v>7.2197589874267596</v>
      </c>
      <c r="X1875">
        <v>0.44999998807907099</v>
      </c>
      <c r="Y1875">
        <v>8.5517244338989293</v>
      </c>
      <c r="Z1875">
        <v>1.8285709619522099</v>
      </c>
      <c r="AA1875">
        <v>21934000</v>
      </c>
      <c r="AB1875" t="s">
        <v>30</v>
      </c>
      <c r="AC1875" t="s">
        <v>1457</v>
      </c>
      <c r="AD1875">
        <v>3.9999999105930301E-2</v>
      </c>
      <c r="AE1875">
        <v>7.7220578193664604</v>
      </c>
      <c r="AF1875" t="s">
        <v>27</v>
      </c>
      <c r="AG1875">
        <v>21966000</v>
      </c>
      <c r="AH1875">
        <v>18.331558227539102</v>
      </c>
      <c r="AI1875">
        <v>5.5686330795288104</v>
      </c>
    </row>
    <row r="1876" spans="1:35">
      <c r="A1876">
        <f t="shared" si="249"/>
        <v>0</v>
      </c>
      <c r="B1876">
        <f t="shared" si="250"/>
        <v>1</v>
      </c>
      <c r="C1876">
        <f t="shared" si="251"/>
        <v>0</v>
      </c>
      <c r="D1876">
        <f t="shared" si="252"/>
        <v>0</v>
      </c>
      <c r="E1876">
        <f t="shared" si="253"/>
        <v>0</v>
      </c>
      <c r="F1876">
        <f t="shared" si="254"/>
        <v>1</v>
      </c>
      <c r="G1876">
        <f t="shared" si="255"/>
        <v>1</v>
      </c>
      <c r="H1876">
        <v>0</v>
      </c>
      <c r="I1876">
        <f t="shared" si="256"/>
        <v>0</v>
      </c>
      <c r="J1876">
        <f t="shared" si="248"/>
        <v>2.761349976062772</v>
      </c>
      <c r="K1876" t="s">
        <v>3242</v>
      </c>
      <c r="L1876" t="s">
        <v>3243</v>
      </c>
      <c r="M1876" t="s">
        <v>27</v>
      </c>
      <c r="N1876" t="s">
        <v>27</v>
      </c>
      <c r="O1876">
        <v>14.4</v>
      </c>
      <c r="P1876">
        <v>2.1926910877227801</v>
      </c>
      <c r="Q1876">
        <v>2.1516079902648899</v>
      </c>
      <c r="R1876">
        <v>17.761904398600301</v>
      </c>
      <c r="S1876">
        <v>18.956915753769</v>
      </c>
      <c r="T1876">
        <v>48.819149017333999</v>
      </c>
      <c r="U1876">
        <v>41.486007690429702</v>
      </c>
      <c r="V1876">
        <v>-42663000</v>
      </c>
      <c r="W1876">
        <v>1.3208919763565099</v>
      </c>
      <c r="X1876">
        <v>-0.22675736961451201</v>
      </c>
      <c r="Y1876">
        <v>1.0238850116729701</v>
      </c>
      <c r="Z1876">
        <v>0.60974198579788197</v>
      </c>
      <c r="AA1876">
        <v>56201282.549999997</v>
      </c>
      <c r="AB1876" t="s">
        <v>27</v>
      </c>
      <c r="AC1876" t="s">
        <v>27</v>
      </c>
      <c r="AD1876">
        <v>-0.55238093648637998</v>
      </c>
      <c r="AE1876">
        <v>46.549671173095703</v>
      </c>
      <c r="AF1876">
        <v>10.5924901407926</v>
      </c>
      <c r="AG1876">
        <v>56191800</v>
      </c>
      <c r="AH1876">
        <v>53.9551811218262</v>
      </c>
      <c r="AI1876">
        <v>2.7149450778961199</v>
      </c>
    </row>
    <row r="1877" spans="1:35">
      <c r="A1877">
        <f t="shared" si="249"/>
        <v>0</v>
      </c>
      <c r="B1877">
        <f t="shared" si="250"/>
        <v>0</v>
      </c>
      <c r="C1877">
        <f t="shared" si="251"/>
        <v>0</v>
      </c>
      <c r="D1877">
        <f t="shared" si="252"/>
        <v>0</v>
      </c>
      <c r="E1877">
        <f t="shared" si="253"/>
        <v>0</v>
      </c>
      <c r="F1877">
        <f t="shared" si="254"/>
        <v>1</v>
      </c>
      <c r="G1877">
        <f t="shared" si="255"/>
        <v>0</v>
      </c>
      <c r="H1877">
        <v>0</v>
      </c>
      <c r="I1877">
        <f t="shared" si="256"/>
        <v>0</v>
      </c>
      <c r="J1877">
        <f t="shared" si="248"/>
        <v>2.75428998470306</v>
      </c>
      <c r="K1877" t="s">
        <v>3029</v>
      </c>
      <c r="L1877" t="s">
        <v>3030</v>
      </c>
      <c r="M1877" t="s">
        <v>27</v>
      </c>
      <c r="N1877" t="s">
        <v>27</v>
      </c>
      <c r="O1877">
        <v>5.51</v>
      </c>
      <c r="P1877">
        <v>3.9940710067749001</v>
      </c>
      <c r="Q1877">
        <v>-0.29177200794219998</v>
      </c>
      <c r="R1877">
        <v>11.210000038146999</v>
      </c>
      <c r="S1877">
        <v>41.3333333333333</v>
      </c>
      <c r="T1877">
        <v>0</v>
      </c>
      <c r="U1877">
        <v>80.387069702148395</v>
      </c>
      <c r="V1877">
        <v>-14239000</v>
      </c>
      <c r="W1877">
        <v>20.497951507568398</v>
      </c>
      <c r="X1877">
        <v>0.64666668574015296</v>
      </c>
      <c r="Y1877">
        <v>2.0637679100036599</v>
      </c>
      <c r="Z1877">
        <v>3.0460619926452601</v>
      </c>
      <c r="AA1877">
        <v>57298500</v>
      </c>
      <c r="AB1877" t="s">
        <v>27</v>
      </c>
      <c r="AC1877" t="s">
        <v>27</v>
      </c>
      <c r="AD1877">
        <v>-0.28000000119209301</v>
      </c>
      <c r="AE1877">
        <v>74.860588073730497</v>
      </c>
      <c r="AF1877">
        <v>283.05132068311201</v>
      </c>
      <c r="AG1877">
        <v>56265000</v>
      </c>
      <c r="AH1877">
        <v>0</v>
      </c>
      <c r="AI1877">
        <v>19.581203460693398</v>
      </c>
    </row>
    <row r="1878" spans="1:35">
      <c r="A1878">
        <f t="shared" si="249"/>
        <v>0</v>
      </c>
      <c r="B1878">
        <f t="shared" si="250"/>
        <v>0</v>
      </c>
      <c r="C1878">
        <f t="shared" si="251"/>
        <v>1</v>
      </c>
      <c r="D1878">
        <f t="shared" si="252"/>
        <v>1</v>
      </c>
      <c r="E1878">
        <f t="shared" si="253"/>
        <v>0</v>
      </c>
      <c r="F1878">
        <f t="shared" si="254"/>
        <v>0</v>
      </c>
      <c r="G1878">
        <f t="shared" si="255"/>
        <v>1</v>
      </c>
      <c r="H1878">
        <v>0</v>
      </c>
      <c r="I1878">
        <f t="shared" si="256"/>
        <v>0</v>
      </c>
      <c r="J1878">
        <f t="shared" si="248"/>
        <v>2.7222439646720837</v>
      </c>
      <c r="K1878" t="s">
        <v>2312</v>
      </c>
      <c r="L1878" t="s">
        <v>2313</v>
      </c>
      <c r="M1878" t="s">
        <v>27</v>
      </c>
      <c r="N1878" t="s">
        <v>27</v>
      </c>
      <c r="O1878">
        <v>23.85</v>
      </c>
      <c r="P1878" t="s">
        <v>27</v>
      </c>
      <c r="Q1878">
        <v>2.0173089504241899</v>
      </c>
      <c r="R1878">
        <v>42.150001525878899</v>
      </c>
      <c r="S1878">
        <v>2.3125</v>
      </c>
      <c r="T1878">
        <v>3.3911900520324698</v>
      </c>
      <c r="U1878">
        <v>32.026557922363303</v>
      </c>
      <c r="V1878">
        <v>2393000</v>
      </c>
      <c r="W1878">
        <v>0.605663001537323</v>
      </c>
      <c r="X1878">
        <v>1.9999999552965199E-2</v>
      </c>
      <c r="Y1878">
        <v>-6.1935482025146502</v>
      </c>
      <c r="Z1878">
        <v>0.70493501424789395</v>
      </c>
      <c r="AA1878">
        <v>12334000</v>
      </c>
      <c r="AB1878" t="s">
        <v>27</v>
      </c>
      <c r="AC1878" t="s">
        <v>27</v>
      </c>
      <c r="AD1878">
        <v>2.9999999329447701E-2</v>
      </c>
      <c r="AE1878">
        <v>32.632282257080099</v>
      </c>
      <c r="AF1878">
        <v>4.6618658276925</v>
      </c>
      <c r="AG1878">
        <v>13134000</v>
      </c>
      <c r="AH1878">
        <v>6.0475888252258301</v>
      </c>
      <c r="AI1878">
        <v>-2.7297670841217001</v>
      </c>
    </row>
    <row r="1879" spans="1:35">
      <c r="A1879">
        <f t="shared" si="249"/>
        <v>1</v>
      </c>
      <c r="B1879">
        <f t="shared" si="250"/>
        <v>0</v>
      </c>
      <c r="C1879">
        <f t="shared" si="251"/>
        <v>1</v>
      </c>
      <c r="D1879">
        <f t="shared" si="252"/>
        <v>1</v>
      </c>
      <c r="E1879">
        <f t="shared" si="253"/>
        <v>0</v>
      </c>
      <c r="F1879">
        <f t="shared" si="254"/>
        <v>1</v>
      </c>
      <c r="G1879">
        <f t="shared" si="255"/>
        <v>1</v>
      </c>
      <c r="H1879">
        <v>0</v>
      </c>
      <c r="I1879">
        <f t="shared" si="256"/>
        <v>0</v>
      </c>
      <c r="J1879">
        <f t="shared" si="248"/>
        <v>2.7204369902610761</v>
      </c>
      <c r="K1879" t="s">
        <v>3799</v>
      </c>
      <c r="L1879" t="s">
        <v>3800</v>
      </c>
      <c r="M1879" t="s">
        <v>27</v>
      </c>
      <c r="N1879" t="s">
        <v>27</v>
      </c>
      <c r="O1879">
        <v>9.9</v>
      </c>
      <c r="P1879">
        <v>4.3683600425720197</v>
      </c>
      <c r="Q1879">
        <v>1.95120596885681</v>
      </c>
      <c r="R1879">
        <v>10.8900003433228</v>
      </c>
      <c r="S1879">
        <v>10.8999996185303</v>
      </c>
      <c r="T1879">
        <v>25.736528396606399</v>
      </c>
      <c r="U1879">
        <v>10.7347736358643</v>
      </c>
      <c r="V1879">
        <v>63607000</v>
      </c>
      <c r="W1879">
        <v>4.6190509796142596</v>
      </c>
      <c r="X1879">
        <v>9.00000035762787E-2</v>
      </c>
      <c r="Y1879">
        <v>6.1935482025146502</v>
      </c>
      <c r="Z1879">
        <v>0.76923102140426602</v>
      </c>
      <c r="AA1879">
        <v>51266000</v>
      </c>
      <c r="AB1879" t="s">
        <v>52</v>
      </c>
      <c r="AC1879" t="s">
        <v>1064</v>
      </c>
      <c r="AD1879">
        <v>0.140000000596046</v>
      </c>
      <c r="AE1879">
        <v>12.463995933532701</v>
      </c>
      <c r="AF1879" t="s">
        <v>27</v>
      </c>
      <c r="AG1879">
        <v>51506000</v>
      </c>
      <c r="AH1879">
        <v>23.4522895812988</v>
      </c>
      <c r="AI1879">
        <v>7.6185002923011794E-2</v>
      </c>
    </row>
    <row r="1880" spans="1:35">
      <c r="A1880">
        <f t="shared" si="249"/>
        <v>1</v>
      </c>
      <c r="B1880">
        <f t="shared" si="250"/>
        <v>0</v>
      </c>
      <c r="C1880">
        <f t="shared" si="251"/>
        <v>1</v>
      </c>
      <c r="D1880">
        <f t="shared" si="252"/>
        <v>0</v>
      </c>
      <c r="E1880">
        <f t="shared" si="253"/>
        <v>0</v>
      </c>
      <c r="F1880">
        <f t="shared" si="254"/>
        <v>1</v>
      </c>
      <c r="G1880">
        <f t="shared" si="255"/>
        <v>0</v>
      </c>
      <c r="H1880">
        <v>0</v>
      </c>
      <c r="I1880">
        <f t="shared" si="256"/>
        <v>0</v>
      </c>
      <c r="J1880">
        <f t="shared" si="248"/>
        <v>2.576600015163423</v>
      </c>
      <c r="K1880" t="s">
        <v>3009</v>
      </c>
      <c r="L1880" t="s">
        <v>3010</v>
      </c>
      <c r="M1880" t="s">
        <v>27</v>
      </c>
      <c r="N1880" t="s">
        <v>27</v>
      </c>
      <c r="O1880">
        <v>9.3000000000000007</v>
      </c>
      <c r="P1880">
        <v>5.8638777732849103</v>
      </c>
      <c r="Q1880">
        <v>1.82029700279236</v>
      </c>
      <c r="R1880">
        <v>13.4099998474121</v>
      </c>
      <c r="S1880">
        <v>10.25</v>
      </c>
      <c r="T1880">
        <v>36.478557586669901</v>
      </c>
      <c r="U1880">
        <v>13.010165214538601</v>
      </c>
      <c r="V1880">
        <v>11669000</v>
      </c>
      <c r="W1880">
        <v>4.0654888153076199</v>
      </c>
      <c r="X1880">
        <v>0.140000000596046</v>
      </c>
      <c r="Y1880">
        <v>12.1000003814697</v>
      </c>
      <c r="Z1880">
        <v>0.75630301237106301</v>
      </c>
      <c r="AA1880">
        <v>10901000</v>
      </c>
      <c r="AB1880" t="s">
        <v>27</v>
      </c>
      <c r="AC1880" t="s">
        <v>27</v>
      </c>
      <c r="AD1880">
        <v>-1.9999999552965199E-2</v>
      </c>
      <c r="AE1880">
        <v>10.709506034851101</v>
      </c>
      <c r="AF1880">
        <v>14.9477299051829</v>
      </c>
      <c r="AG1880">
        <v>10912000</v>
      </c>
      <c r="AH1880">
        <v>34.357357025146499</v>
      </c>
      <c r="AI1880">
        <v>0.410620987415314</v>
      </c>
    </row>
    <row r="1881" spans="1:35">
      <c r="A1881">
        <f t="shared" si="249"/>
        <v>0</v>
      </c>
      <c r="B1881">
        <f t="shared" si="250"/>
        <v>1</v>
      </c>
      <c r="C1881">
        <f t="shared" si="251"/>
        <v>1</v>
      </c>
      <c r="D1881">
        <f t="shared" si="252"/>
        <v>0</v>
      </c>
      <c r="E1881">
        <f t="shared" si="253"/>
        <v>0</v>
      </c>
      <c r="F1881">
        <f t="shared" si="254"/>
        <v>1</v>
      </c>
      <c r="G1881">
        <f t="shared" si="255"/>
        <v>0</v>
      </c>
      <c r="H1881">
        <v>0</v>
      </c>
      <c r="I1881">
        <f t="shared" si="256"/>
        <v>0</v>
      </c>
      <c r="J1881">
        <f t="shared" si="248"/>
        <v>2.5467209219932512</v>
      </c>
      <c r="K1881" t="s">
        <v>1275</v>
      </c>
      <c r="L1881" t="s">
        <v>1276</v>
      </c>
      <c r="M1881" t="s">
        <v>27</v>
      </c>
      <c r="N1881" t="s">
        <v>27</v>
      </c>
      <c r="O1881">
        <v>12.95</v>
      </c>
      <c r="P1881">
        <v>3.3858799934387198</v>
      </c>
      <c r="Q1881">
        <v>0.29238599538803101</v>
      </c>
      <c r="R1881">
        <v>23.5</v>
      </c>
      <c r="S1881">
        <v>35.3125</v>
      </c>
      <c r="T1881">
        <v>0</v>
      </c>
      <c r="U1881">
        <v>58.8692817687988</v>
      </c>
      <c r="V1881">
        <v>4604000</v>
      </c>
      <c r="W1881">
        <v>5.2416300773620597</v>
      </c>
      <c r="X1881">
        <v>0.20999999344348899</v>
      </c>
      <c r="Y1881">
        <v>0.82644599676132202</v>
      </c>
      <c r="Z1881">
        <v>2.2543349266052202</v>
      </c>
      <c r="AA1881">
        <v>38092000</v>
      </c>
      <c r="AB1881" t="s">
        <v>38</v>
      </c>
      <c r="AC1881" t="s">
        <v>118</v>
      </c>
      <c r="AD1881">
        <v>3.9999999105930301E-2</v>
      </c>
      <c r="AE1881">
        <v>56.507835388183601</v>
      </c>
      <c r="AF1881" t="s">
        <v>27</v>
      </c>
      <c r="AG1881">
        <v>39171000</v>
      </c>
      <c r="AH1881">
        <v>0</v>
      </c>
      <c r="AI1881">
        <v>6.0641021728515598</v>
      </c>
    </row>
    <row r="1882" spans="1:35">
      <c r="A1882">
        <f t="shared" si="249"/>
        <v>0</v>
      </c>
      <c r="B1882">
        <f t="shared" si="250"/>
        <v>0</v>
      </c>
      <c r="C1882">
        <f t="shared" si="251"/>
        <v>1</v>
      </c>
      <c r="D1882">
        <f t="shared" si="252"/>
        <v>1</v>
      </c>
      <c r="E1882">
        <f t="shared" si="253"/>
        <v>0</v>
      </c>
      <c r="F1882">
        <f t="shared" si="254"/>
        <v>0</v>
      </c>
      <c r="G1882">
        <f t="shared" si="255"/>
        <v>0</v>
      </c>
      <c r="H1882">
        <v>0</v>
      </c>
      <c r="I1882">
        <f t="shared" si="256"/>
        <v>0</v>
      </c>
      <c r="J1882">
        <f t="shared" si="248"/>
        <v>2.436636894941334</v>
      </c>
      <c r="K1882" t="s">
        <v>2258</v>
      </c>
      <c r="L1882" t="s">
        <v>2259</v>
      </c>
      <c r="M1882" t="s">
        <v>27</v>
      </c>
      <c r="N1882" t="s">
        <v>27</v>
      </c>
      <c r="O1882">
        <v>21.94</v>
      </c>
      <c r="P1882">
        <v>6.8830819129943803</v>
      </c>
      <c r="Q1882">
        <v>2.1552639007568399</v>
      </c>
      <c r="R1882">
        <v>30.780000686645501</v>
      </c>
      <c r="S1882">
        <v>18.125</v>
      </c>
      <c r="T1882">
        <v>2.63578200340271</v>
      </c>
      <c r="U1882">
        <v>48.2406616210938</v>
      </c>
      <c r="V1882">
        <v>2454000</v>
      </c>
      <c r="W1882">
        <v>6.3407468795776403</v>
      </c>
      <c r="X1882">
        <v>-5.0000000745058101E-2</v>
      </c>
      <c r="Y1882">
        <v>5.24481296539307</v>
      </c>
      <c r="Z1882">
        <v>0.28137299418449402</v>
      </c>
      <c r="AA1882">
        <v>17347000</v>
      </c>
      <c r="AB1882" t="s">
        <v>38</v>
      </c>
      <c r="AC1882" t="s">
        <v>89</v>
      </c>
      <c r="AD1882">
        <v>5.0000000745058101E-2</v>
      </c>
      <c r="AE1882">
        <v>47.9793090820313</v>
      </c>
      <c r="AF1882">
        <v>8.5554110175292504</v>
      </c>
      <c r="AG1882">
        <v>17500000</v>
      </c>
      <c r="AH1882">
        <v>4.5630941390991202</v>
      </c>
      <c r="AI1882">
        <v>-0.25441199541091902</v>
      </c>
    </row>
    <row r="1883" spans="1:35">
      <c r="A1883">
        <f t="shared" si="249"/>
        <v>0</v>
      </c>
      <c r="B1883">
        <f t="shared" si="250"/>
        <v>0</v>
      </c>
      <c r="C1883">
        <f t="shared" si="251"/>
        <v>1</v>
      </c>
      <c r="D1883">
        <f t="shared" si="252"/>
        <v>0</v>
      </c>
      <c r="E1883">
        <f t="shared" si="253"/>
        <v>0</v>
      </c>
      <c r="F1883">
        <f t="shared" si="254"/>
        <v>1</v>
      </c>
      <c r="G1883">
        <f t="shared" si="255"/>
        <v>0</v>
      </c>
      <c r="H1883">
        <v>0</v>
      </c>
      <c r="I1883">
        <f t="shared" si="256"/>
        <v>0</v>
      </c>
      <c r="J1883">
        <f t="shared" si="248"/>
        <v>2.4243249893188503</v>
      </c>
      <c r="K1883" t="s">
        <v>282</v>
      </c>
      <c r="L1883" t="s">
        <v>283</v>
      </c>
      <c r="M1883" t="s">
        <v>27</v>
      </c>
      <c r="N1883" t="s">
        <v>27</v>
      </c>
      <c r="O1883">
        <v>7.75</v>
      </c>
      <c r="P1883">
        <v>8.2752227783203107</v>
      </c>
      <c r="Q1883">
        <v>1.0386439561843901</v>
      </c>
      <c r="R1883">
        <v>16</v>
      </c>
      <c r="S1883">
        <v>52.5</v>
      </c>
      <c r="T1883">
        <v>0</v>
      </c>
      <c r="U1883">
        <v>39.979354858398402</v>
      </c>
      <c r="V1883">
        <v>1911999.75</v>
      </c>
      <c r="W1883">
        <v>7.7698931694030797</v>
      </c>
      <c r="X1883">
        <v>0.18999999761581399</v>
      </c>
      <c r="Y1883">
        <v>0.93767398595809903</v>
      </c>
      <c r="Z1883">
        <v>1.38568103313446</v>
      </c>
      <c r="AA1883">
        <v>22327000</v>
      </c>
      <c r="AB1883" t="s">
        <v>27</v>
      </c>
      <c r="AC1883" t="s">
        <v>27</v>
      </c>
      <c r="AD1883">
        <v>0.129999995231628</v>
      </c>
      <c r="AE1883">
        <v>25.908960342407202</v>
      </c>
      <c r="AF1883">
        <v>7.01288165999242</v>
      </c>
      <c r="AG1883">
        <v>22448000</v>
      </c>
      <c r="AH1883">
        <v>0.19463600218296101</v>
      </c>
      <c r="AI1883">
        <v>6.1256270408630398</v>
      </c>
    </row>
    <row r="1884" spans="1:35">
      <c r="A1884">
        <f t="shared" si="249"/>
        <v>1</v>
      </c>
      <c r="B1884">
        <f t="shared" si="250"/>
        <v>0</v>
      </c>
      <c r="C1884">
        <f t="shared" si="251"/>
        <v>1</v>
      </c>
      <c r="D1884">
        <f t="shared" si="252"/>
        <v>1</v>
      </c>
      <c r="E1884">
        <f t="shared" si="253"/>
        <v>0</v>
      </c>
      <c r="F1884">
        <f t="shared" si="254"/>
        <v>1</v>
      </c>
      <c r="G1884">
        <f t="shared" si="255"/>
        <v>1</v>
      </c>
      <c r="H1884">
        <v>0</v>
      </c>
      <c r="I1884">
        <f t="shared" si="256"/>
        <v>0</v>
      </c>
      <c r="J1884">
        <f t="shared" si="248"/>
        <v>2.3858829736709639</v>
      </c>
      <c r="K1884" t="s">
        <v>3480</v>
      </c>
      <c r="L1884" t="s">
        <v>3481</v>
      </c>
      <c r="M1884" t="s">
        <v>27</v>
      </c>
      <c r="N1884" t="s">
        <v>27</v>
      </c>
      <c r="O1884">
        <v>22.5</v>
      </c>
      <c r="P1884">
        <v>5.6972298622131303</v>
      </c>
      <c r="Q1884">
        <v>1.49379694461823</v>
      </c>
      <c r="R1884">
        <v>37.099998474121101</v>
      </c>
      <c r="S1884">
        <v>27.899999618530298</v>
      </c>
      <c r="T1884">
        <v>45.856983184814503</v>
      </c>
      <c r="U1884">
        <v>14.700639724731399</v>
      </c>
      <c r="V1884">
        <v>35906000</v>
      </c>
      <c r="W1884">
        <v>4.1729650497436497</v>
      </c>
      <c r="X1884">
        <v>0.46999999880790699</v>
      </c>
      <c r="Y1884">
        <v>14.9662923812866</v>
      </c>
      <c r="Z1884">
        <v>0.89208602905273404</v>
      </c>
      <c r="AA1884">
        <v>20774000</v>
      </c>
      <c r="AB1884" t="s">
        <v>27</v>
      </c>
      <c r="AC1884" t="s">
        <v>27</v>
      </c>
      <c r="AD1884">
        <v>0.79000002145767201</v>
      </c>
      <c r="AE1884">
        <v>15.2411918640137</v>
      </c>
      <c r="AF1884">
        <v>6.5872602344027502</v>
      </c>
      <c r="AG1884">
        <v>20925000</v>
      </c>
      <c r="AH1884">
        <v>40.127628326416001</v>
      </c>
      <c r="AI1884">
        <v>1.42786300182343</v>
      </c>
    </row>
    <row r="1885" spans="1:35">
      <c r="A1885">
        <f t="shared" si="249"/>
        <v>0</v>
      </c>
      <c r="B1885">
        <f t="shared" si="250"/>
        <v>1</v>
      </c>
      <c r="C1885">
        <f t="shared" si="251"/>
        <v>1</v>
      </c>
      <c r="D1885">
        <f t="shared" si="252"/>
        <v>1</v>
      </c>
      <c r="E1885">
        <f t="shared" si="253"/>
        <v>1</v>
      </c>
      <c r="F1885">
        <f t="shared" si="254"/>
        <v>1</v>
      </c>
      <c r="G1885">
        <f t="shared" si="255"/>
        <v>0</v>
      </c>
      <c r="H1885">
        <v>0</v>
      </c>
      <c r="I1885">
        <f t="shared" si="256"/>
        <v>1</v>
      </c>
      <c r="J1885">
        <f t="shared" si="248"/>
        <v>2.352783203125</v>
      </c>
      <c r="K1885" t="s">
        <v>986</v>
      </c>
      <c r="L1885" t="s">
        <v>987</v>
      </c>
      <c r="M1885" t="s">
        <v>27</v>
      </c>
      <c r="N1885" t="s">
        <v>27</v>
      </c>
      <c r="O1885">
        <v>9.0500000000000007</v>
      </c>
      <c r="P1885">
        <v>7.77215576171875</v>
      </c>
      <c r="Q1885">
        <v>7.9865860939025897</v>
      </c>
      <c r="R1885">
        <v>8.3500003814697301</v>
      </c>
      <c r="S1885">
        <v>6.1199998855590803</v>
      </c>
      <c r="T1885">
        <v>84.620071411132798</v>
      </c>
      <c r="U1885" t="s">
        <v>27</v>
      </c>
      <c r="V1885">
        <v>6794000.5</v>
      </c>
      <c r="W1885">
        <v>1.06334400177002</v>
      </c>
      <c r="X1885">
        <v>-0.119999997317791</v>
      </c>
      <c r="Y1885">
        <v>-0.82474201917648304</v>
      </c>
      <c r="Z1885">
        <v>-5.6338028907775897</v>
      </c>
      <c r="AA1885">
        <v>26208000</v>
      </c>
      <c r="AB1885" t="s">
        <v>27</v>
      </c>
      <c r="AC1885" t="s">
        <v>27</v>
      </c>
      <c r="AD1885">
        <v>-0.109999999403954</v>
      </c>
      <c r="AE1885" t="s">
        <v>27</v>
      </c>
      <c r="AF1885">
        <v>9.8061373034703898</v>
      </c>
      <c r="AG1885">
        <v>26208000</v>
      </c>
      <c r="AH1885">
        <v>88.349327087402301</v>
      </c>
      <c r="AI1885">
        <v>1.95873498916626</v>
      </c>
    </row>
    <row r="1886" spans="1:35">
      <c r="A1886">
        <f t="shared" si="249"/>
        <v>1</v>
      </c>
      <c r="B1886">
        <f t="shared" si="250"/>
        <v>1</v>
      </c>
      <c r="C1886">
        <f t="shared" si="251"/>
        <v>1</v>
      </c>
      <c r="D1886">
        <f t="shared" si="252"/>
        <v>0</v>
      </c>
      <c r="E1886">
        <f t="shared" si="253"/>
        <v>0</v>
      </c>
      <c r="F1886">
        <f t="shared" si="254"/>
        <v>1</v>
      </c>
      <c r="G1886">
        <f t="shared" si="255"/>
        <v>0</v>
      </c>
      <c r="H1886">
        <v>0</v>
      </c>
      <c r="I1886">
        <f t="shared" si="256"/>
        <v>0</v>
      </c>
      <c r="J1886">
        <f t="shared" ref="J1886:J1915" si="257">Z1886+Q1886</f>
        <v>2.2719489336013798</v>
      </c>
      <c r="K1886" t="s">
        <v>3456</v>
      </c>
      <c r="L1886" t="s">
        <v>3457</v>
      </c>
      <c r="M1886" t="s">
        <v>27</v>
      </c>
      <c r="N1886" t="s">
        <v>27</v>
      </c>
      <c r="O1886">
        <v>8.5399999999999991</v>
      </c>
      <c r="P1886">
        <v>3.13577508926392</v>
      </c>
      <c r="Q1886">
        <v>-1.52455794811249</v>
      </c>
      <c r="R1886">
        <v>14.180000305175801</v>
      </c>
      <c r="S1886">
        <v>28</v>
      </c>
      <c r="T1886">
        <v>30.197435379028299</v>
      </c>
      <c r="U1886">
        <v>67.389411926269503</v>
      </c>
      <c r="V1886">
        <v>13688000</v>
      </c>
      <c r="W1886">
        <v>0.14685599505901301</v>
      </c>
      <c r="X1886">
        <v>0.109999999403954</v>
      </c>
      <c r="Y1886">
        <v>1.88593196868896</v>
      </c>
      <c r="Z1886">
        <v>3.7965068817138699</v>
      </c>
      <c r="AA1886">
        <v>58522000</v>
      </c>
      <c r="AB1886" t="s">
        <v>27</v>
      </c>
      <c r="AC1886" t="s">
        <v>27</v>
      </c>
      <c r="AD1886">
        <v>-3.9999999105930301E-2</v>
      </c>
      <c r="AE1886">
        <v>60.7557983398438</v>
      </c>
      <c r="AF1886">
        <v>6.4495351408593304</v>
      </c>
      <c r="AG1886">
        <v>59885000</v>
      </c>
      <c r="AH1886">
        <v>25.7715873718262</v>
      </c>
      <c r="AI1886">
        <v>3.0238299369811998</v>
      </c>
    </row>
    <row r="1887" spans="1:35">
      <c r="A1887">
        <f t="shared" ref="A1887:A1915" si="258">IF(AH1887&lt;T1887,1,0)</f>
        <v>0</v>
      </c>
      <c r="B1887">
        <f t="shared" ref="B1887:B1915" si="259">IF(AI1887&gt;W1887,1,0)</f>
        <v>1</v>
      </c>
      <c r="C1887">
        <f t="shared" ref="C1887:C1915" si="260">IF(V1887&gt;0,1,0)</f>
        <v>1</v>
      </c>
      <c r="D1887">
        <f t="shared" ref="D1887:D1915" si="261">IF(AD1887&gt;X1887,1,0)</f>
        <v>0</v>
      </c>
      <c r="E1887">
        <f t="shared" ref="E1887:E1915" si="262">IF(AA1887=AG1887,1,0)</f>
        <v>0</v>
      </c>
      <c r="F1887">
        <f t="shared" ref="F1887:F1915" si="263">IF(AI1887&gt;0,1,0)</f>
        <v>1</v>
      </c>
      <c r="G1887">
        <f t="shared" ref="G1887:G1915" si="264">IF(AE1887&gt;U1887,1,0)</f>
        <v>0</v>
      </c>
      <c r="H1887">
        <v>0</v>
      </c>
      <c r="I1887">
        <f t="shared" ref="I1887:I1915" si="265">IF(((O1887-R1887)/R1887)&gt;0.075,1,0)</f>
        <v>0</v>
      </c>
      <c r="J1887">
        <f t="shared" si="257"/>
        <v>2.26713371276856</v>
      </c>
      <c r="K1887" t="s">
        <v>1939</v>
      </c>
      <c r="L1887" t="s">
        <v>1940</v>
      </c>
      <c r="M1887" t="s">
        <v>27</v>
      </c>
      <c r="N1887" t="s">
        <v>27</v>
      </c>
      <c r="O1887">
        <v>38.018999999999998</v>
      </c>
      <c r="P1887" t="s">
        <v>27</v>
      </c>
      <c r="Q1887">
        <v>-7.2463798522949201</v>
      </c>
      <c r="R1887">
        <v>37.639999389648402</v>
      </c>
      <c r="S1887">
        <v>38.234375</v>
      </c>
      <c r="T1887">
        <v>0.82523900270462003</v>
      </c>
      <c r="U1887" t="s">
        <v>27</v>
      </c>
      <c r="V1887">
        <v>23795000</v>
      </c>
      <c r="W1887">
        <v>1.25147604942322</v>
      </c>
      <c r="X1887">
        <v>1.21000003814697</v>
      </c>
      <c r="Y1887">
        <v>13.212121009826699</v>
      </c>
      <c r="Z1887">
        <v>9.5135135650634801</v>
      </c>
      <c r="AA1887">
        <v>12016000</v>
      </c>
      <c r="AB1887" t="s">
        <v>34</v>
      </c>
      <c r="AC1887" t="s">
        <v>447</v>
      </c>
      <c r="AD1887">
        <v>0.730000019073486</v>
      </c>
      <c r="AE1887" t="s">
        <v>27</v>
      </c>
      <c r="AF1887" t="s">
        <v>27</v>
      </c>
      <c r="AG1887">
        <v>12026000</v>
      </c>
      <c r="AH1887">
        <v>2.6110529899597199</v>
      </c>
      <c r="AI1887">
        <v>1.3507449626922601</v>
      </c>
    </row>
    <row r="1888" spans="1:35">
      <c r="A1888">
        <f t="shared" si="258"/>
        <v>1</v>
      </c>
      <c r="B1888">
        <f t="shared" si="259"/>
        <v>0</v>
      </c>
      <c r="C1888">
        <f t="shared" si="260"/>
        <v>0</v>
      </c>
      <c r="D1888">
        <f t="shared" si="261"/>
        <v>0</v>
      </c>
      <c r="E1888">
        <f t="shared" si="262"/>
        <v>0</v>
      </c>
      <c r="F1888">
        <f t="shared" si="263"/>
        <v>1</v>
      </c>
      <c r="G1888">
        <f t="shared" si="264"/>
        <v>0</v>
      </c>
      <c r="H1888">
        <v>0</v>
      </c>
      <c r="I1888">
        <f t="shared" si="265"/>
        <v>0</v>
      </c>
      <c r="J1888">
        <f t="shared" si="257"/>
        <v>2.2453910112381017</v>
      </c>
      <c r="K1888" t="s">
        <v>3043</v>
      </c>
      <c r="L1888" t="s">
        <v>3044</v>
      </c>
      <c r="M1888" t="s">
        <v>27</v>
      </c>
      <c r="N1888" t="s">
        <v>27</v>
      </c>
      <c r="O1888">
        <v>19.64</v>
      </c>
      <c r="P1888" t="s">
        <v>27</v>
      </c>
      <c r="Q1888">
        <v>1.29962801933289</v>
      </c>
      <c r="R1888">
        <v>25.25</v>
      </c>
      <c r="S1888">
        <v>23.620000839233398</v>
      </c>
      <c r="T1888">
        <v>41.356491088867202</v>
      </c>
      <c r="U1888">
        <v>39.836479187011697</v>
      </c>
      <c r="V1888">
        <v>-17181000</v>
      </c>
      <c r="W1888" t="s">
        <v>27</v>
      </c>
      <c r="X1888">
        <v>0.21999999880790699</v>
      </c>
      <c r="Y1888" t="s">
        <v>27</v>
      </c>
      <c r="Z1888">
        <v>0.94576299190521196</v>
      </c>
      <c r="AA1888">
        <v>32807998</v>
      </c>
      <c r="AB1888" t="s">
        <v>83</v>
      </c>
      <c r="AC1888" t="s">
        <v>84</v>
      </c>
      <c r="AD1888">
        <v>1.9999999552965199E-2</v>
      </c>
      <c r="AE1888">
        <v>39.731487274169901</v>
      </c>
      <c r="AF1888">
        <v>34.5610362811017</v>
      </c>
      <c r="AG1888">
        <v>33021000</v>
      </c>
      <c r="AH1888">
        <v>27.931804656982401</v>
      </c>
      <c r="AI1888">
        <v>2.9296278953552202</v>
      </c>
    </row>
    <row r="1889" spans="1:35">
      <c r="A1889">
        <f t="shared" si="258"/>
        <v>0</v>
      </c>
      <c r="B1889">
        <f t="shared" si="259"/>
        <v>0</v>
      </c>
      <c r="C1889">
        <f t="shared" si="260"/>
        <v>0</v>
      </c>
      <c r="D1889">
        <f t="shared" si="261"/>
        <v>1</v>
      </c>
      <c r="E1889">
        <f t="shared" si="262"/>
        <v>0</v>
      </c>
      <c r="F1889">
        <f t="shared" si="263"/>
        <v>1</v>
      </c>
      <c r="G1889">
        <f t="shared" si="264"/>
        <v>1</v>
      </c>
      <c r="H1889">
        <v>0</v>
      </c>
      <c r="I1889">
        <f t="shared" si="265"/>
        <v>0</v>
      </c>
      <c r="J1889">
        <f t="shared" si="257"/>
        <v>1.8577840328216539</v>
      </c>
      <c r="K1889" t="s">
        <v>588</v>
      </c>
      <c r="L1889" t="s">
        <v>589</v>
      </c>
      <c r="M1889" t="s">
        <v>27</v>
      </c>
      <c r="N1889" t="s">
        <v>27</v>
      </c>
      <c r="O1889">
        <v>3.95</v>
      </c>
      <c r="P1889" t="s">
        <v>27</v>
      </c>
      <c r="Q1889">
        <v>1.3156150579452499</v>
      </c>
      <c r="R1889">
        <v>14.2200002670288</v>
      </c>
      <c r="S1889">
        <v>25</v>
      </c>
      <c r="T1889">
        <v>6.4969539642334002</v>
      </c>
      <c r="U1889">
        <v>48.017501831054702</v>
      </c>
      <c r="V1889">
        <v>-5322000</v>
      </c>
      <c r="W1889">
        <v>1.90468502044678</v>
      </c>
      <c r="X1889">
        <v>9.9999997764825804E-3</v>
      </c>
      <c r="Y1889" t="s">
        <v>27</v>
      </c>
      <c r="Z1889">
        <v>0.54216897487640403</v>
      </c>
      <c r="AA1889">
        <v>54700000</v>
      </c>
      <c r="AB1889" t="s">
        <v>73</v>
      </c>
      <c r="AC1889" t="s">
        <v>177</v>
      </c>
      <c r="AD1889">
        <v>1.9999999552965199E-2</v>
      </c>
      <c r="AE1889">
        <v>52.7134399414063</v>
      </c>
      <c r="AF1889" t="s">
        <v>27</v>
      </c>
      <c r="AG1889">
        <v>54843000</v>
      </c>
      <c r="AH1889">
        <v>8.7257223129272496</v>
      </c>
      <c r="AI1889">
        <v>1.7866859436035201</v>
      </c>
    </row>
    <row r="1890" spans="1:35">
      <c r="A1890">
        <f t="shared" si="258"/>
        <v>1</v>
      </c>
      <c r="B1890">
        <f t="shared" si="259"/>
        <v>0</v>
      </c>
      <c r="C1890">
        <f t="shared" si="260"/>
        <v>0</v>
      </c>
      <c r="D1890">
        <f t="shared" si="261"/>
        <v>1</v>
      </c>
      <c r="E1890">
        <f t="shared" si="262"/>
        <v>0</v>
      </c>
      <c r="F1890">
        <f t="shared" si="263"/>
        <v>0</v>
      </c>
      <c r="G1890">
        <f t="shared" si="264"/>
        <v>0</v>
      </c>
      <c r="H1890">
        <v>0</v>
      </c>
      <c r="I1890">
        <f t="shared" si="265"/>
        <v>0</v>
      </c>
      <c r="J1890">
        <f t="shared" si="257"/>
        <v>1.7893360853195197</v>
      </c>
      <c r="K1890" t="s">
        <v>877</v>
      </c>
      <c r="L1890" t="s">
        <v>878</v>
      </c>
      <c r="M1890" t="s">
        <v>27</v>
      </c>
      <c r="N1890" t="s">
        <v>27</v>
      </c>
      <c r="O1890">
        <v>11.05</v>
      </c>
      <c r="P1890" t="s">
        <v>27</v>
      </c>
      <c r="Q1890">
        <v>-1.0115720033645601</v>
      </c>
      <c r="R1890">
        <v>14.8999996185303</v>
      </c>
      <c r="S1890">
        <v>8.7899999618530291</v>
      </c>
      <c r="T1890">
        <v>49.373298645019503</v>
      </c>
      <c r="U1890">
        <v>67.395973205566406</v>
      </c>
      <c r="V1890">
        <v>-23741000</v>
      </c>
      <c r="W1890">
        <v>0.33159500360488903</v>
      </c>
      <c r="X1890">
        <v>-3.9999999105930301E-2</v>
      </c>
      <c r="Y1890">
        <v>-1.5172410011291499</v>
      </c>
      <c r="Z1890">
        <v>2.8009080886840798</v>
      </c>
      <c r="AA1890">
        <v>15621000</v>
      </c>
      <c r="AB1890" t="s">
        <v>27</v>
      </c>
      <c r="AC1890" t="s">
        <v>27</v>
      </c>
      <c r="AD1890">
        <v>0.37999999523162797</v>
      </c>
      <c r="AE1890">
        <v>66.814376831054702</v>
      </c>
      <c r="AF1890">
        <v>6.64102075694767</v>
      </c>
      <c r="AG1890">
        <v>15886000</v>
      </c>
      <c r="AH1890">
        <v>47.937789916992202</v>
      </c>
      <c r="AI1890">
        <v>-1.32128298282623</v>
      </c>
    </row>
    <row r="1891" spans="1:35">
      <c r="A1891">
        <f t="shared" si="258"/>
        <v>0</v>
      </c>
      <c r="B1891">
        <f t="shared" si="259"/>
        <v>1</v>
      </c>
      <c r="C1891">
        <f t="shared" si="260"/>
        <v>0</v>
      </c>
      <c r="D1891">
        <f t="shared" si="261"/>
        <v>0</v>
      </c>
      <c r="E1891">
        <f t="shared" si="262"/>
        <v>0</v>
      </c>
      <c r="F1891">
        <f t="shared" si="263"/>
        <v>1</v>
      </c>
      <c r="G1891">
        <f t="shared" si="264"/>
        <v>0</v>
      </c>
      <c r="H1891">
        <v>0</v>
      </c>
      <c r="I1891">
        <f t="shared" si="265"/>
        <v>0</v>
      </c>
      <c r="J1891">
        <f t="shared" si="257"/>
        <v>1.4609320238232628</v>
      </c>
      <c r="K1891" t="s">
        <v>1768</v>
      </c>
      <c r="L1891" t="s">
        <v>1769</v>
      </c>
      <c r="M1891" t="s">
        <v>27</v>
      </c>
      <c r="N1891" t="s">
        <v>27</v>
      </c>
      <c r="O1891">
        <v>2.0499999999999998</v>
      </c>
      <c r="P1891" t="s">
        <v>27</v>
      </c>
      <c r="Q1891">
        <v>6.5582998096942902E-2</v>
      </c>
      <c r="R1891">
        <v>2.1600000858306898</v>
      </c>
      <c r="S1891">
        <v>5.4899997711181596</v>
      </c>
      <c r="T1891">
        <v>9.6741247177124006</v>
      </c>
      <c r="U1891">
        <v>34.033267974853501</v>
      </c>
      <c r="V1891">
        <v>-29803000</v>
      </c>
      <c r="W1891">
        <v>-3.8025329113006601</v>
      </c>
      <c r="X1891">
        <v>9.9999997764825804E-3</v>
      </c>
      <c r="Y1891" t="s">
        <v>27</v>
      </c>
      <c r="Z1891">
        <v>1.3953490257263199</v>
      </c>
      <c r="AA1891">
        <v>470269984</v>
      </c>
      <c r="AB1891" t="s">
        <v>27</v>
      </c>
      <c r="AC1891" t="s">
        <v>27</v>
      </c>
      <c r="AD1891">
        <v>-9.9999997764825804E-3</v>
      </c>
      <c r="AE1891">
        <v>28.247516632080099</v>
      </c>
      <c r="AF1891" t="s">
        <v>27</v>
      </c>
      <c r="AG1891">
        <v>471072992</v>
      </c>
      <c r="AH1891">
        <v>9.7141828536987305</v>
      </c>
      <c r="AI1891">
        <v>2.1207370758056601</v>
      </c>
    </row>
    <row r="1892" spans="1:35">
      <c r="A1892">
        <f t="shared" si="258"/>
        <v>0</v>
      </c>
      <c r="B1892">
        <f t="shared" si="259"/>
        <v>0</v>
      </c>
      <c r="C1892">
        <f t="shared" si="260"/>
        <v>1</v>
      </c>
      <c r="D1892">
        <f t="shared" si="261"/>
        <v>0</v>
      </c>
      <c r="E1892">
        <f t="shared" si="262"/>
        <v>0</v>
      </c>
      <c r="F1892">
        <f t="shared" si="263"/>
        <v>0</v>
      </c>
      <c r="G1892">
        <f t="shared" si="264"/>
        <v>1</v>
      </c>
      <c r="H1892">
        <v>0</v>
      </c>
      <c r="I1892">
        <f t="shared" si="265"/>
        <v>0</v>
      </c>
      <c r="J1892">
        <f t="shared" si="257"/>
        <v>1.2919850647449451</v>
      </c>
      <c r="K1892" t="s">
        <v>2801</v>
      </c>
      <c r="L1892" t="s">
        <v>2802</v>
      </c>
      <c r="M1892" t="s">
        <v>27</v>
      </c>
      <c r="N1892" t="s">
        <v>27</v>
      </c>
      <c r="O1892">
        <v>8.27</v>
      </c>
      <c r="P1892">
        <v>5.52081394195557</v>
      </c>
      <c r="Q1892">
        <v>0.16724100708961501</v>
      </c>
      <c r="R1892">
        <v>9.8800001144409197</v>
      </c>
      <c r="S1892">
        <v>6.875</v>
      </c>
      <c r="T1892">
        <v>29.048803329467798</v>
      </c>
      <c r="U1892">
        <v>42.686439514160199</v>
      </c>
      <c r="V1892">
        <v>8808000</v>
      </c>
      <c r="W1892">
        <v>-0.388994991779327</v>
      </c>
      <c r="X1892">
        <v>9.00000035762787E-2</v>
      </c>
      <c r="Y1892">
        <v>3.7468359470367401</v>
      </c>
      <c r="Z1892">
        <v>1.12474405765533</v>
      </c>
      <c r="AA1892">
        <v>48066000</v>
      </c>
      <c r="AB1892" t="s">
        <v>38</v>
      </c>
      <c r="AC1892" t="s">
        <v>628</v>
      </c>
      <c r="AD1892">
        <v>-0.60000002384185802</v>
      </c>
      <c r="AE1892">
        <v>47.400047302246101</v>
      </c>
      <c r="AF1892">
        <v>10.399606286910601</v>
      </c>
      <c r="AG1892">
        <v>48799000</v>
      </c>
      <c r="AH1892">
        <v>36.604034423828097</v>
      </c>
      <c r="AI1892">
        <v>-8.3282690048217791</v>
      </c>
    </row>
    <row r="1893" spans="1:35">
      <c r="A1893">
        <f t="shared" si="258"/>
        <v>0</v>
      </c>
      <c r="B1893">
        <f t="shared" si="259"/>
        <v>0</v>
      </c>
      <c r="C1893">
        <f t="shared" si="260"/>
        <v>0</v>
      </c>
      <c r="D1893">
        <f t="shared" si="261"/>
        <v>1</v>
      </c>
      <c r="E1893">
        <f t="shared" si="262"/>
        <v>0</v>
      </c>
      <c r="F1893">
        <f t="shared" si="263"/>
        <v>0</v>
      </c>
      <c r="G1893">
        <f t="shared" si="264"/>
        <v>0</v>
      </c>
      <c r="H1893">
        <v>0</v>
      </c>
      <c r="I1893">
        <f t="shared" si="265"/>
        <v>0</v>
      </c>
      <c r="J1893">
        <f t="shared" si="257"/>
        <v>1.1856510639190698</v>
      </c>
      <c r="K1893" t="s">
        <v>2626</v>
      </c>
      <c r="L1893" t="s">
        <v>2627</v>
      </c>
      <c r="M1893" t="s">
        <v>27</v>
      </c>
      <c r="N1893" t="s">
        <v>27</v>
      </c>
      <c r="O1893">
        <v>13.26</v>
      </c>
      <c r="P1893">
        <v>2.6468970775604199</v>
      </c>
      <c r="Q1893">
        <v>-1.7244019508361801</v>
      </c>
      <c r="R1893">
        <v>13.8400001525879</v>
      </c>
      <c r="S1893">
        <v>15.1875</v>
      </c>
      <c r="T1893">
        <v>6.8429000675678295E-2</v>
      </c>
      <c r="U1893">
        <v>27.121238708496101</v>
      </c>
      <c r="V1893">
        <v>-813000.1875</v>
      </c>
      <c r="W1893">
        <v>1.60266697406769</v>
      </c>
      <c r="X1893">
        <v>0</v>
      </c>
      <c r="Y1893">
        <v>4.7058820724487296</v>
      </c>
      <c r="Z1893">
        <v>2.9100530147552499</v>
      </c>
      <c r="AA1893">
        <v>24724050</v>
      </c>
      <c r="AB1893" t="s">
        <v>73</v>
      </c>
      <c r="AC1893" t="s">
        <v>177</v>
      </c>
      <c r="AD1893">
        <v>0.10000000149011599</v>
      </c>
      <c r="AE1893">
        <v>23.395444869995099</v>
      </c>
      <c r="AF1893">
        <v>6.2191332715477303</v>
      </c>
      <c r="AG1893">
        <v>24810760</v>
      </c>
      <c r="AH1893">
        <v>8.4129996597766904E-2</v>
      </c>
      <c r="AI1893">
        <v>-0.22957099974155401</v>
      </c>
    </row>
    <row r="1894" spans="1:35">
      <c r="A1894">
        <f t="shared" si="258"/>
        <v>0</v>
      </c>
      <c r="B1894">
        <f t="shared" si="259"/>
        <v>0</v>
      </c>
      <c r="C1894">
        <f t="shared" si="260"/>
        <v>1</v>
      </c>
      <c r="D1894">
        <f t="shared" si="261"/>
        <v>1</v>
      </c>
      <c r="E1894">
        <f t="shared" si="262"/>
        <v>0</v>
      </c>
      <c r="F1894">
        <f t="shared" si="263"/>
        <v>1</v>
      </c>
      <c r="G1894">
        <f t="shared" si="264"/>
        <v>0</v>
      </c>
      <c r="H1894">
        <v>0</v>
      </c>
      <c r="I1894">
        <f t="shared" si="265"/>
        <v>0</v>
      </c>
      <c r="J1894">
        <f t="shared" si="257"/>
        <v>1.1111699938774109</v>
      </c>
      <c r="K1894" t="s">
        <v>3145</v>
      </c>
      <c r="L1894" t="s">
        <v>3146</v>
      </c>
      <c r="M1894" t="s">
        <v>27</v>
      </c>
      <c r="N1894" t="s">
        <v>27</v>
      </c>
      <c r="O1894">
        <v>40.64</v>
      </c>
      <c r="P1894">
        <v>9.1826972961425799</v>
      </c>
      <c r="Q1894">
        <v>0.737607002258301</v>
      </c>
      <c r="R1894">
        <v>37.950000762939503</v>
      </c>
      <c r="S1894">
        <v>31.25</v>
      </c>
      <c r="T1894">
        <v>33.343494415283203</v>
      </c>
      <c r="U1894">
        <v>58.191665649414098</v>
      </c>
      <c r="V1894">
        <v>2486000.5</v>
      </c>
      <c r="W1894" t="s">
        <v>27</v>
      </c>
      <c r="X1894">
        <v>0.5</v>
      </c>
      <c r="Y1894">
        <v>7.5492959022521999</v>
      </c>
      <c r="Z1894">
        <v>0.37356299161911</v>
      </c>
      <c r="AA1894">
        <v>3759244</v>
      </c>
      <c r="AB1894" t="s">
        <v>171</v>
      </c>
      <c r="AC1894" t="s">
        <v>3147</v>
      </c>
      <c r="AD1894">
        <v>0.56000000238418601</v>
      </c>
      <c r="AE1894">
        <v>46.292312622070298</v>
      </c>
      <c r="AF1894">
        <v>9.9394263595166201</v>
      </c>
      <c r="AG1894">
        <v>3765000</v>
      </c>
      <c r="AH1894">
        <v>36.192668914794901</v>
      </c>
      <c r="AI1894" t="s">
        <v>27</v>
      </c>
    </row>
    <row r="1895" spans="1:35">
      <c r="A1895">
        <f t="shared" si="258"/>
        <v>0</v>
      </c>
      <c r="B1895">
        <f t="shared" si="259"/>
        <v>1</v>
      </c>
      <c r="C1895">
        <f t="shared" si="260"/>
        <v>1</v>
      </c>
      <c r="D1895">
        <f t="shared" si="261"/>
        <v>1</v>
      </c>
      <c r="E1895">
        <f t="shared" si="262"/>
        <v>0</v>
      </c>
      <c r="F1895">
        <f t="shared" si="263"/>
        <v>1</v>
      </c>
      <c r="G1895">
        <f t="shared" si="264"/>
        <v>0</v>
      </c>
      <c r="H1895">
        <v>0</v>
      </c>
      <c r="I1895">
        <f t="shared" si="265"/>
        <v>1</v>
      </c>
      <c r="J1895">
        <f t="shared" si="257"/>
        <v>1.06807708740235</v>
      </c>
      <c r="K1895" t="s">
        <v>2987</v>
      </c>
      <c r="L1895" t="s">
        <v>2988</v>
      </c>
      <c r="M1895" t="s">
        <v>27</v>
      </c>
      <c r="N1895" t="s">
        <v>27</v>
      </c>
      <c r="O1895">
        <v>31.29</v>
      </c>
      <c r="P1895">
        <v>-2.2077050209045401</v>
      </c>
      <c r="Q1895">
        <v>-7.5842971801757804</v>
      </c>
      <c r="R1895">
        <v>27.709999084472699</v>
      </c>
      <c r="S1895">
        <v>24.350000381469702</v>
      </c>
      <c r="T1895">
        <v>84.590057373046903</v>
      </c>
      <c r="U1895" t="s">
        <v>27</v>
      </c>
      <c r="V1895">
        <v>32431002</v>
      </c>
      <c r="W1895">
        <v>14.118709564209</v>
      </c>
      <c r="X1895">
        <v>0.74000000953674305</v>
      </c>
      <c r="Y1895">
        <v>8.3786983489990199</v>
      </c>
      <c r="Z1895">
        <v>8.6523742675781303</v>
      </c>
      <c r="AA1895">
        <v>31732988</v>
      </c>
      <c r="AB1895" t="s">
        <v>27</v>
      </c>
      <c r="AC1895" t="s">
        <v>27</v>
      </c>
      <c r="AD1895">
        <v>0.86000001430511497</v>
      </c>
      <c r="AE1895" t="s">
        <v>27</v>
      </c>
      <c r="AF1895">
        <v>92.863033844655504</v>
      </c>
      <c r="AG1895">
        <v>29571000</v>
      </c>
      <c r="AH1895">
        <v>92.984909057617202</v>
      </c>
      <c r="AI1895">
        <v>32.801273345947301</v>
      </c>
    </row>
    <row r="1896" spans="1:35">
      <c r="A1896">
        <f t="shared" si="258"/>
        <v>1</v>
      </c>
      <c r="B1896">
        <f t="shared" si="259"/>
        <v>1</v>
      </c>
      <c r="C1896">
        <f t="shared" si="260"/>
        <v>1</v>
      </c>
      <c r="D1896">
        <f t="shared" si="261"/>
        <v>1</v>
      </c>
      <c r="E1896">
        <f t="shared" si="262"/>
        <v>0</v>
      </c>
      <c r="F1896">
        <f t="shared" si="263"/>
        <v>0</v>
      </c>
      <c r="G1896">
        <f t="shared" si="264"/>
        <v>1</v>
      </c>
      <c r="H1896">
        <v>0</v>
      </c>
      <c r="I1896">
        <f t="shared" si="265"/>
        <v>0</v>
      </c>
      <c r="J1896">
        <f t="shared" si="257"/>
        <v>0.8581380248069761</v>
      </c>
      <c r="K1896" t="s">
        <v>3420</v>
      </c>
      <c r="L1896" t="s">
        <v>3421</v>
      </c>
      <c r="M1896" t="s">
        <v>27</v>
      </c>
      <c r="N1896" t="s">
        <v>27</v>
      </c>
      <c r="O1896">
        <v>3.75</v>
      </c>
      <c r="P1896" t="s">
        <v>27</v>
      </c>
      <c r="Q1896">
        <v>-0.74900501966476396</v>
      </c>
      <c r="R1896">
        <v>7.0500001907348597</v>
      </c>
      <c r="S1896">
        <v>14.9375</v>
      </c>
      <c r="T1896">
        <v>6.3007187843322798</v>
      </c>
      <c r="U1896">
        <v>94.260871887207003</v>
      </c>
      <c r="V1896">
        <v>588000</v>
      </c>
      <c r="W1896">
        <v>-88.814949035644503</v>
      </c>
      <c r="X1896">
        <v>-9.9999997764825804E-3</v>
      </c>
      <c r="Y1896" t="s">
        <v>27</v>
      </c>
      <c r="Z1896">
        <v>1.6071430444717401</v>
      </c>
      <c r="AA1896">
        <v>24226000</v>
      </c>
      <c r="AB1896" t="s">
        <v>27</v>
      </c>
      <c r="AC1896" t="s">
        <v>27</v>
      </c>
      <c r="AD1896">
        <v>9.9999997764825804E-3</v>
      </c>
      <c r="AE1896">
        <v>95.298789978027301</v>
      </c>
      <c r="AF1896">
        <v>24.357019330318199</v>
      </c>
      <c r="AG1896">
        <v>24877000</v>
      </c>
      <c r="AH1896">
        <v>0.15339499711990401</v>
      </c>
      <c r="AI1896">
        <v>-8.6670379638671893</v>
      </c>
    </row>
    <row r="1897" spans="1:35">
      <c r="A1897">
        <f t="shared" si="258"/>
        <v>0</v>
      </c>
      <c r="B1897">
        <f t="shared" si="259"/>
        <v>1</v>
      </c>
      <c r="C1897">
        <f t="shared" si="260"/>
        <v>0</v>
      </c>
      <c r="D1897">
        <f t="shared" si="261"/>
        <v>1</v>
      </c>
      <c r="E1897">
        <f t="shared" si="262"/>
        <v>0</v>
      </c>
      <c r="F1897">
        <f t="shared" si="263"/>
        <v>1</v>
      </c>
      <c r="G1897">
        <f t="shared" si="264"/>
        <v>0</v>
      </c>
      <c r="H1897">
        <v>0</v>
      </c>
      <c r="I1897">
        <f t="shared" si="265"/>
        <v>0</v>
      </c>
      <c r="J1897">
        <f t="shared" si="257"/>
        <v>0.84967799484730189</v>
      </c>
      <c r="K1897" t="s">
        <v>1148</v>
      </c>
      <c r="L1897" t="s">
        <v>1149</v>
      </c>
      <c r="M1897" t="s">
        <v>27</v>
      </c>
      <c r="N1897" t="s">
        <v>27</v>
      </c>
      <c r="O1897">
        <v>10</v>
      </c>
      <c r="P1897" t="s">
        <v>27</v>
      </c>
      <c r="Q1897">
        <v>-0.209644004702568</v>
      </c>
      <c r="R1897">
        <v>20.340000152587901</v>
      </c>
      <c r="S1897">
        <v>20.375</v>
      </c>
      <c r="T1897">
        <v>0</v>
      </c>
      <c r="U1897">
        <v>56.057334899902301</v>
      </c>
      <c r="V1897">
        <v>-9795000</v>
      </c>
      <c r="W1897">
        <v>-9.5688266754150408</v>
      </c>
      <c r="X1897">
        <v>2.9999999329447701E-2</v>
      </c>
      <c r="Y1897" t="s">
        <v>27</v>
      </c>
      <c r="Z1897">
        <v>1.0593219995498699</v>
      </c>
      <c r="AA1897">
        <v>38050000</v>
      </c>
      <c r="AB1897" t="s">
        <v>38</v>
      </c>
      <c r="AC1897" t="s">
        <v>146</v>
      </c>
      <c r="AD1897">
        <v>0.140000000596046</v>
      </c>
      <c r="AE1897">
        <v>47.359897613525398</v>
      </c>
      <c r="AF1897">
        <v>14.158447490555901</v>
      </c>
      <c r="AG1897">
        <v>38753000</v>
      </c>
      <c r="AH1897">
        <v>0</v>
      </c>
      <c r="AI1897">
        <v>7.7999003231525393E-2</v>
      </c>
    </row>
    <row r="1898" spans="1:35">
      <c r="A1898">
        <f t="shared" si="258"/>
        <v>1</v>
      </c>
      <c r="B1898">
        <f t="shared" si="259"/>
        <v>0</v>
      </c>
      <c r="C1898">
        <f t="shared" si="260"/>
        <v>1</v>
      </c>
      <c r="D1898">
        <f t="shared" si="261"/>
        <v>1</v>
      </c>
      <c r="E1898">
        <f t="shared" si="262"/>
        <v>0</v>
      </c>
      <c r="F1898">
        <f t="shared" si="263"/>
        <v>0</v>
      </c>
      <c r="G1898">
        <f t="shared" si="264"/>
        <v>0</v>
      </c>
      <c r="H1898">
        <v>0</v>
      </c>
      <c r="I1898">
        <f t="shared" si="265"/>
        <v>1</v>
      </c>
      <c r="J1898">
        <f t="shared" si="257"/>
        <v>-1.0225057601930043E-2</v>
      </c>
      <c r="K1898" t="s">
        <v>1548</v>
      </c>
      <c r="L1898" t="s">
        <v>1549</v>
      </c>
      <c r="M1898" t="s">
        <v>27</v>
      </c>
      <c r="N1898" t="s">
        <v>27</v>
      </c>
      <c r="O1898">
        <v>5.77</v>
      </c>
      <c r="P1898" t="s">
        <v>27</v>
      </c>
      <c r="Q1898">
        <v>3.54117703437805</v>
      </c>
      <c r="R1898">
        <v>3.6500000953674299</v>
      </c>
      <c r="S1898">
        <v>1.5</v>
      </c>
      <c r="T1898">
        <v>50.929370880127003</v>
      </c>
      <c r="U1898">
        <v>13.4646244049072</v>
      </c>
      <c r="V1898">
        <v>18927000</v>
      </c>
      <c r="W1898">
        <v>2.0294930934906001</v>
      </c>
      <c r="X1898">
        <v>-5.0000000745058101E-2</v>
      </c>
      <c r="Y1898">
        <v>-28.705883026123001</v>
      </c>
      <c r="Z1898">
        <v>-3.55140209197998</v>
      </c>
      <c r="AA1898">
        <v>29808000</v>
      </c>
      <c r="AB1898" t="s">
        <v>27</v>
      </c>
      <c r="AC1898" t="s">
        <v>27</v>
      </c>
      <c r="AD1898">
        <v>-2.9999999329447701E-2</v>
      </c>
      <c r="AE1898">
        <v>13.4610652923584</v>
      </c>
      <c r="AF1898">
        <v>5.97459341906203</v>
      </c>
      <c r="AG1898">
        <v>31997000</v>
      </c>
      <c r="AH1898">
        <v>44.491134643554702</v>
      </c>
      <c r="AI1898">
        <v>-0.47034499049186701</v>
      </c>
    </row>
    <row r="1899" spans="1:35">
      <c r="A1899">
        <f t="shared" si="258"/>
        <v>1</v>
      </c>
      <c r="B1899">
        <f t="shared" si="259"/>
        <v>1</v>
      </c>
      <c r="C1899">
        <f t="shared" si="260"/>
        <v>1</v>
      </c>
      <c r="D1899">
        <f t="shared" si="261"/>
        <v>1</v>
      </c>
      <c r="E1899">
        <f t="shared" si="262"/>
        <v>0</v>
      </c>
      <c r="F1899">
        <f t="shared" si="263"/>
        <v>1</v>
      </c>
      <c r="G1899">
        <f t="shared" si="264"/>
        <v>1</v>
      </c>
      <c r="H1899">
        <v>0</v>
      </c>
      <c r="I1899">
        <f t="shared" si="265"/>
        <v>1</v>
      </c>
      <c r="J1899">
        <f t="shared" si="257"/>
        <v>-1.1021399879828051</v>
      </c>
      <c r="K1899" t="s">
        <v>1830</v>
      </c>
      <c r="L1899" t="s">
        <v>1831</v>
      </c>
      <c r="M1899" t="s">
        <v>27</v>
      </c>
      <c r="N1899" t="s">
        <v>27</v>
      </c>
      <c r="O1899">
        <v>17.28</v>
      </c>
      <c r="P1899" t="s">
        <v>27</v>
      </c>
      <c r="Q1899">
        <v>1.5178999863564999E-2</v>
      </c>
      <c r="R1899">
        <v>14.3999996185303</v>
      </c>
      <c r="S1899">
        <v>8.125</v>
      </c>
      <c r="T1899">
        <v>6.7293682098388699</v>
      </c>
      <c r="U1899">
        <v>34.258228302002003</v>
      </c>
      <c r="V1899">
        <v>19173000</v>
      </c>
      <c r="W1899">
        <v>-11.1758918762207</v>
      </c>
      <c r="X1899">
        <v>-0.109999999403954</v>
      </c>
      <c r="Y1899">
        <v>-8.7652168273925799</v>
      </c>
      <c r="Z1899">
        <v>-1.1173189878463701</v>
      </c>
      <c r="AA1899">
        <v>49450000</v>
      </c>
      <c r="AB1899" t="s">
        <v>27</v>
      </c>
      <c r="AC1899" t="s">
        <v>27</v>
      </c>
      <c r="AD1899">
        <v>2.9999999329447701E-2</v>
      </c>
      <c r="AE1899">
        <v>44.193111419677699</v>
      </c>
      <c r="AF1899">
        <v>12.2358436879057</v>
      </c>
      <c r="AG1899">
        <v>49699000</v>
      </c>
      <c r="AH1899">
        <v>3.1352279186248802</v>
      </c>
      <c r="AI1899">
        <v>1.8357019424438501</v>
      </c>
    </row>
    <row r="1900" spans="1:35">
      <c r="A1900">
        <f t="shared" si="258"/>
        <v>1</v>
      </c>
      <c r="B1900">
        <f t="shared" si="259"/>
        <v>0</v>
      </c>
      <c r="C1900">
        <f t="shared" si="260"/>
        <v>1</v>
      </c>
      <c r="D1900">
        <f t="shared" si="261"/>
        <v>0</v>
      </c>
      <c r="E1900">
        <f t="shared" si="262"/>
        <v>0</v>
      </c>
      <c r="F1900">
        <f t="shared" si="263"/>
        <v>0</v>
      </c>
      <c r="G1900">
        <f t="shared" si="264"/>
        <v>1</v>
      </c>
      <c r="H1900">
        <v>0</v>
      </c>
      <c r="I1900">
        <f t="shared" si="265"/>
        <v>0</v>
      </c>
      <c r="J1900">
        <f t="shared" si="257"/>
        <v>-1.2133440971374494</v>
      </c>
      <c r="K1900" t="s">
        <v>3091</v>
      </c>
      <c r="L1900" t="s">
        <v>3092</v>
      </c>
      <c r="M1900" t="s">
        <v>27</v>
      </c>
      <c r="N1900" t="s">
        <v>27</v>
      </c>
      <c r="O1900">
        <v>5.9</v>
      </c>
      <c r="P1900">
        <v>17.018957138061499</v>
      </c>
      <c r="Q1900">
        <v>7.9005799293518102</v>
      </c>
      <c r="R1900">
        <v>9.1000003814697301</v>
      </c>
      <c r="S1900">
        <v>3.3499999046325701</v>
      </c>
      <c r="T1900">
        <v>97.741897583007798</v>
      </c>
      <c r="U1900">
        <v>36.519336700439503</v>
      </c>
      <c r="V1900">
        <v>13059000</v>
      </c>
      <c r="W1900">
        <v>0.23536099493503601</v>
      </c>
      <c r="X1900">
        <v>5.0000000745058101E-2</v>
      </c>
      <c r="Y1900">
        <v>4</v>
      </c>
      <c r="Z1900">
        <v>-9.1139240264892596</v>
      </c>
      <c r="AA1900">
        <v>36909000</v>
      </c>
      <c r="AB1900" t="s">
        <v>30</v>
      </c>
      <c r="AC1900" t="s">
        <v>223</v>
      </c>
      <c r="AD1900">
        <v>-9.9999997764825804E-3</v>
      </c>
      <c r="AE1900">
        <v>37.529731750488303</v>
      </c>
      <c r="AF1900">
        <v>5.8052521355183799</v>
      </c>
      <c r="AG1900">
        <v>40431000</v>
      </c>
      <c r="AH1900">
        <v>74.100296020507798</v>
      </c>
      <c r="AI1900">
        <v>-7.7223668098449698</v>
      </c>
    </row>
    <row r="1901" spans="1:35">
      <c r="A1901">
        <f t="shared" si="258"/>
        <v>1</v>
      </c>
      <c r="B1901">
        <f t="shared" si="259"/>
        <v>1</v>
      </c>
      <c r="C1901">
        <f t="shared" si="260"/>
        <v>0</v>
      </c>
      <c r="D1901">
        <f t="shared" si="261"/>
        <v>1</v>
      </c>
      <c r="E1901">
        <f t="shared" si="262"/>
        <v>0</v>
      </c>
      <c r="F1901">
        <f t="shared" si="263"/>
        <v>0</v>
      </c>
      <c r="G1901">
        <f t="shared" si="264"/>
        <v>1</v>
      </c>
      <c r="H1901">
        <v>0</v>
      </c>
      <c r="I1901">
        <f t="shared" si="265"/>
        <v>0</v>
      </c>
      <c r="J1901">
        <f t="shared" si="257"/>
        <v>-1.4503191113471989</v>
      </c>
      <c r="K1901" t="s">
        <v>3414</v>
      </c>
      <c r="L1901" t="s">
        <v>3415</v>
      </c>
      <c r="M1901" t="s">
        <v>27</v>
      </c>
      <c r="N1901" t="s">
        <v>27</v>
      </c>
      <c r="O1901">
        <v>11.89</v>
      </c>
      <c r="P1901" t="s">
        <v>27</v>
      </c>
      <c r="Q1901">
        <v>-2.1960821151733398</v>
      </c>
      <c r="R1901">
        <v>22.399999618530298</v>
      </c>
      <c r="S1901">
        <v>38.25</v>
      </c>
      <c r="T1901">
        <v>5.3477330207824698</v>
      </c>
      <c r="U1901">
        <v>1.48577201366425</v>
      </c>
      <c r="V1901">
        <v>-2866000</v>
      </c>
      <c r="W1901">
        <v>-2.1341099739074698</v>
      </c>
      <c r="X1901">
        <v>-2.9999999329447701E-2</v>
      </c>
      <c r="Y1901">
        <v>-0.23054799437522899</v>
      </c>
      <c r="Z1901">
        <v>0.74576300382614102</v>
      </c>
      <c r="AA1901">
        <v>30020000</v>
      </c>
      <c r="AB1901" t="s">
        <v>27</v>
      </c>
      <c r="AC1901" t="s">
        <v>27</v>
      </c>
      <c r="AD1901">
        <v>7.0000000298023196E-2</v>
      </c>
      <c r="AE1901">
        <v>28.3488883972168</v>
      </c>
      <c r="AF1901">
        <v>18.275375395715201</v>
      </c>
      <c r="AG1901">
        <v>30512000</v>
      </c>
      <c r="AH1901">
        <v>2.4691030979156499</v>
      </c>
      <c r="AI1901">
        <v>-0.62609100341796897</v>
      </c>
    </row>
    <row r="1902" spans="1:35">
      <c r="A1902">
        <f t="shared" si="258"/>
        <v>1</v>
      </c>
      <c r="B1902">
        <f t="shared" si="259"/>
        <v>0</v>
      </c>
      <c r="C1902">
        <f t="shared" si="260"/>
        <v>1</v>
      </c>
      <c r="D1902">
        <f t="shared" si="261"/>
        <v>0</v>
      </c>
      <c r="E1902">
        <f t="shared" si="262"/>
        <v>0</v>
      </c>
      <c r="F1902">
        <f t="shared" si="263"/>
        <v>1</v>
      </c>
      <c r="G1902">
        <f t="shared" si="264"/>
        <v>0</v>
      </c>
      <c r="H1902">
        <v>0</v>
      </c>
      <c r="I1902">
        <f t="shared" si="265"/>
        <v>0</v>
      </c>
      <c r="J1902">
        <f t="shared" si="257"/>
        <v>-1.8039550781250002</v>
      </c>
      <c r="K1902" t="s">
        <v>1836</v>
      </c>
      <c r="L1902" t="s">
        <v>1837</v>
      </c>
      <c r="M1902" t="s">
        <v>27</v>
      </c>
      <c r="N1902" t="s">
        <v>27</v>
      </c>
      <c r="O1902">
        <v>4.16</v>
      </c>
      <c r="P1902">
        <v>9.8295230865478498</v>
      </c>
      <c r="Q1902">
        <v>1.4103310108184799</v>
      </c>
      <c r="R1902">
        <v>4.4499998092651403</v>
      </c>
      <c r="S1902">
        <v>3.4375</v>
      </c>
      <c r="T1902">
        <v>48.262222290039098</v>
      </c>
      <c r="U1902">
        <v>11.7995719909668</v>
      </c>
      <c r="V1902">
        <v>24248998</v>
      </c>
      <c r="W1902">
        <v>4.7202792167663601</v>
      </c>
      <c r="X1902">
        <v>0.31999999284744302</v>
      </c>
      <c r="Y1902">
        <v>21.379310607910199</v>
      </c>
      <c r="Z1902">
        <v>-3.2142860889434801</v>
      </c>
      <c r="AA1902">
        <v>25394000</v>
      </c>
      <c r="AB1902" t="s">
        <v>27</v>
      </c>
      <c r="AC1902" t="s">
        <v>27</v>
      </c>
      <c r="AD1902">
        <v>-0.129999995231628</v>
      </c>
      <c r="AE1902">
        <v>6.1085658073425302</v>
      </c>
      <c r="AF1902">
        <v>4.7883963098212599</v>
      </c>
      <c r="AG1902">
        <v>25415324</v>
      </c>
      <c r="AH1902">
        <v>45.675949096679702</v>
      </c>
      <c r="AI1902">
        <v>4.3609900474548304</v>
      </c>
    </row>
    <row r="1903" spans="1:35">
      <c r="A1903">
        <f t="shared" si="258"/>
        <v>0</v>
      </c>
      <c r="B1903">
        <f t="shared" si="259"/>
        <v>1</v>
      </c>
      <c r="C1903">
        <f t="shared" si="260"/>
        <v>1</v>
      </c>
      <c r="D1903">
        <f t="shared" si="261"/>
        <v>0</v>
      </c>
      <c r="E1903">
        <f t="shared" si="262"/>
        <v>0</v>
      </c>
      <c r="F1903">
        <f t="shared" si="263"/>
        <v>1</v>
      </c>
      <c r="G1903">
        <f t="shared" si="264"/>
        <v>0</v>
      </c>
      <c r="H1903">
        <v>0</v>
      </c>
      <c r="I1903">
        <f t="shared" si="265"/>
        <v>1</v>
      </c>
      <c r="J1903">
        <f t="shared" si="257"/>
        <v>-1.9098458290100098</v>
      </c>
      <c r="K1903" t="s">
        <v>536</v>
      </c>
      <c r="L1903" t="s">
        <v>537</v>
      </c>
      <c r="M1903" t="s">
        <v>27</v>
      </c>
      <c r="N1903" t="s">
        <v>27</v>
      </c>
      <c r="O1903">
        <v>23.5</v>
      </c>
      <c r="P1903">
        <v>-1.4744830131530799</v>
      </c>
      <c r="Q1903">
        <v>-7.8204989433288601</v>
      </c>
      <c r="R1903">
        <v>18.799999237060501</v>
      </c>
      <c r="S1903">
        <v>20</v>
      </c>
      <c r="T1903">
        <v>8.1437349319458008</v>
      </c>
      <c r="U1903">
        <v>50.053394317627003</v>
      </c>
      <c r="V1903">
        <v>13378000</v>
      </c>
      <c r="W1903">
        <v>4.6475701332092303</v>
      </c>
      <c r="X1903">
        <v>-9.00000035762787E-2</v>
      </c>
      <c r="Y1903">
        <v>12.1276588439941</v>
      </c>
      <c r="Z1903">
        <v>5.9106531143188503</v>
      </c>
      <c r="AA1903">
        <v>8024000</v>
      </c>
      <c r="AB1903" t="s">
        <v>27</v>
      </c>
      <c r="AC1903" t="s">
        <v>27</v>
      </c>
      <c r="AD1903">
        <v>-0.41999998688697798</v>
      </c>
      <c r="AE1903">
        <v>45.928676605224602</v>
      </c>
      <c r="AF1903" t="s">
        <v>27</v>
      </c>
      <c r="AG1903">
        <v>7970000</v>
      </c>
      <c r="AH1903">
        <v>10.235863685607899</v>
      </c>
      <c r="AI1903">
        <v>6.3047738075256303</v>
      </c>
    </row>
    <row r="1904" spans="1:35">
      <c r="A1904">
        <f t="shared" si="258"/>
        <v>0</v>
      </c>
      <c r="B1904">
        <f t="shared" si="259"/>
        <v>1</v>
      </c>
      <c r="C1904">
        <f t="shared" si="260"/>
        <v>0</v>
      </c>
      <c r="D1904">
        <f t="shared" si="261"/>
        <v>0</v>
      </c>
      <c r="E1904">
        <f t="shared" si="262"/>
        <v>0</v>
      </c>
      <c r="F1904">
        <f t="shared" si="263"/>
        <v>1</v>
      </c>
      <c r="G1904">
        <f t="shared" si="264"/>
        <v>1</v>
      </c>
      <c r="H1904">
        <v>0</v>
      </c>
      <c r="I1904">
        <f t="shared" si="265"/>
        <v>0</v>
      </c>
      <c r="J1904">
        <f t="shared" si="257"/>
        <v>-2.303655922412875</v>
      </c>
      <c r="K1904" t="s">
        <v>3053</v>
      </c>
      <c r="L1904" t="s">
        <v>3054</v>
      </c>
      <c r="M1904" t="s">
        <v>27</v>
      </c>
      <c r="N1904" t="s">
        <v>27</v>
      </c>
      <c r="O1904">
        <v>23.19</v>
      </c>
      <c r="P1904" t="s">
        <v>27</v>
      </c>
      <c r="Q1904">
        <v>0.56813901662826505</v>
      </c>
      <c r="R1904">
        <v>23.809999465942401</v>
      </c>
      <c r="S1904">
        <v>16.5</v>
      </c>
      <c r="T1904">
        <v>60.921051025390597</v>
      </c>
      <c r="U1904">
        <v>27.587135314941399</v>
      </c>
      <c r="V1904">
        <v>-4216000.5</v>
      </c>
      <c r="W1904">
        <v>-3.4080750942230198</v>
      </c>
      <c r="X1904">
        <v>0.58999997377395597</v>
      </c>
      <c r="Y1904">
        <v>-5.2807879447937003</v>
      </c>
      <c r="Z1904">
        <v>-2.8717949390411399</v>
      </c>
      <c r="AA1904">
        <v>23456000</v>
      </c>
      <c r="AB1904" t="s">
        <v>30</v>
      </c>
      <c r="AC1904" t="s">
        <v>92</v>
      </c>
      <c r="AD1904">
        <v>0.40000000596046398</v>
      </c>
      <c r="AE1904">
        <v>40.570766448974602</v>
      </c>
      <c r="AF1904">
        <v>23.957582320691799</v>
      </c>
      <c r="AG1904">
        <v>23458000</v>
      </c>
      <c r="AH1904">
        <v>61.374488830566399</v>
      </c>
      <c r="AI1904">
        <v>2.7506289482116699</v>
      </c>
    </row>
    <row r="1905" spans="1:35">
      <c r="A1905">
        <f t="shared" si="258"/>
        <v>1</v>
      </c>
      <c r="B1905">
        <f t="shared" si="259"/>
        <v>0</v>
      </c>
      <c r="C1905">
        <f t="shared" si="260"/>
        <v>0</v>
      </c>
      <c r="D1905">
        <f t="shared" si="261"/>
        <v>0</v>
      </c>
      <c r="E1905">
        <f t="shared" si="262"/>
        <v>0</v>
      </c>
      <c r="F1905">
        <f t="shared" si="263"/>
        <v>1</v>
      </c>
      <c r="G1905">
        <f t="shared" si="264"/>
        <v>0</v>
      </c>
      <c r="H1905">
        <v>0</v>
      </c>
      <c r="I1905">
        <f t="shared" si="265"/>
        <v>0</v>
      </c>
      <c r="J1905">
        <f t="shared" si="257"/>
        <v>-2.3293620347976711</v>
      </c>
      <c r="K1905" t="s">
        <v>3695</v>
      </c>
      <c r="L1905" t="s">
        <v>3696</v>
      </c>
      <c r="M1905" t="s">
        <v>27</v>
      </c>
      <c r="N1905" t="s">
        <v>27</v>
      </c>
      <c r="O1905">
        <v>9.94</v>
      </c>
      <c r="P1905">
        <v>4.0442838668823198</v>
      </c>
      <c r="Q1905">
        <v>0.78990399837493896</v>
      </c>
      <c r="R1905">
        <v>10.1000003814697</v>
      </c>
      <c r="S1905">
        <v>6.9375</v>
      </c>
      <c r="T1905">
        <v>47.022148132324197</v>
      </c>
      <c r="U1905">
        <v>14.6970310211182</v>
      </c>
      <c r="V1905">
        <v>-12617000</v>
      </c>
      <c r="W1905" t="s">
        <v>27</v>
      </c>
      <c r="X1905">
        <v>0.10000000149011599</v>
      </c>
      <c r="Y1905">
        <v>8.0792083740234393</v>
      </c>
      <c r="Z1905">
        <v>-3.1192660331726101</v>
      </c>
      <c r="AA1905">
        <v>13869000</v>
      </c>
      <c r="AB1905" t="s">
        <v>27</v>
      </c>
      <c r="AC1905" t="s">
        <v>27</v>
      </c>
      <c r="AD1905">
        <v>1.9999999552965199E-2</v>
      </c>
      <c r="AE1905">
        <v>13.3406276702881</v>
      </c>
      <c r="AF1905">
        <v>6.1750711736945103</v>
      </c>
      <c r="AG1905">
        <v>13786000</v>
      </c>
      <c r="AH1905">
        <v>42.793918609619098</v>
      </c>
      <c r="AI1905" t="s">
        <v>27</v>
      </c>
    </row>
    <row r="1906" spans="1:35">
      <c r="A1906">
        <f t="shared" si="258"/>
        <v>1</v>
      </c>
      <c r="B1906">
        <f t="shared" si="259"/>
        <v>1</v>
      </c>
      <c r="C1906">
        <f t="shared" si="260"/>
        <v>0</v>
      </c>
      <c r="D1906">
        <f t="shared" si="261"/>
        <v>1</v>
      </c>
      <c r="E1906">
        <f t="shared" si="262"/>
        <v>0</v>
      </c>
      <c r="F1906">
        <f t="shared" si="263"/>
        <v>1</v>
      </c>
      <c r="G1906">
        <f t="shared" si="264"/>
        <v>0</v>
      </c>
      <c r="H1906">
        <v>0</v>
      </c>
      <c r="I1906">
        <f t="shared" si="265"/>
        <v>0</v>
      </c>
      <c r="J1906">
        <f t="shared" si="257"/>
        <v>-2.6353330612182657</v>
      </c>
      <c r="K1906" t="s">
        <v>2656</v>
      </c>
      <c r="L1906" t="s">
        <v>2657</v>
      </c>
      <c r="M1906" t="s">
        <v>27</v>
      </c>
      <c r="N1906" t="s">
        <v>27</v>
      </c>
      <c r="O1906">
        <v>8.48</v>
      </c>
      <c r="P1906" t="s">
        <v>27</v>
      </c>
      <c r="Q1906">
        <v>-2.9741010665893599</v>
      </c>
      <c r="R1906">
        <v>22.2600002288818</v>
      </c>
      <c r="S1906">
        <v>36.96875</v>
      </c>
      <c r="T1906">
        <v>23.105415344238299</v>
      </c>
      <c r="U1906" t="s">
        <v>27</v>
      </c>
      <c r="V1906">
        <v>-2931000</v>
      </c>
      <c r="W1906">
        <v>-5.8312478065490696</v>
      </c>
      <c r="X1906">
        <v>-6.4999997615814195E-2</v>
      </c>
      <c r="Y1906">
        <v>-0.128630995750427</v>
      </c>
      <c r="Z1906">
        <v>0.33876800537109403</v>
      </c>
      <c r="AA1906">
        <v>86424000</v>
      </c>
      <c r="AB1906" t="s">
        <v>73</v>
      </c>
      <c r="AC1906" t="s">
        <v>141</v>
      </c>
      <c r="AD1906">
        <v>-1.9999999552965199E-2</v>
      </c>
      <c r="AE1906" t="s">
        <v>27</v>
      </c>
      <c r="AF1906" t="s">
        <v>27</v>
      </c>
      <c r="AG1906">
        <v>87824000</v>
      </c>
      <c r="AH1906">
        <v>21.919172286987301</v>
      </c>
      <c r="AI1906">
        <v>0.14579799771308899</v>
      </c>
    </row>
    <row r="1907" spans="1:35">
      <c r="A1907">
        <f t="shared" si="258"/>
        <v>0</v>
      </c>
      <c r="B1907">
        <f t="shared" si="259"/>
        <v>1</v>
      </c>
      <c r="C1907">
        <f t="shared" si="260"/>
        <v>1</v>
      </c>
      <c r="D1907">
        <f t="shared" si="261"/>
        <v>0</v>
      </c>
      <c r="E1907">
        <f t="shared" si="262"/>
        <v>0</v>
      </c>
      <c r="F1907">
        <f t="shared" si="263"/>
        <v>1</v>
      </c>
      <c r="G1907">
        <f t="shared" si="264"/>
        <v>1</v>
      </c>
      <c r="H1907">
        <v>0</v>
      </c>
      <c r="I1907">
        <f t="shared" si="265"/>
        <v>0</v>
      </c>
      <c r="J1907">
        <f t="shared" si="257"/>
        <v>-3.5597730875015219</v>
      </c>
      <c r="K1907" t="s">
        <v>411</v>
      </c>
      <c r="L1907" t="s">
        <v>412</v>
      </c>
      <c r="M1907" t="s">
        <v>27</v>
      </c>
      <c r="N1907" t="s">
        <v>27</v>
      </c>
      <c r="O1907">
        <v>0.83</v>
      </c>
      <c r="P1907" t="s">
        <v>27</v>
      </c>
      <c r="Q1907">
        <v>-3.90460109710693</v>
      </c>
      <c r="R1907">
        <v>4.0100002288818404</v>
      </c>
      <c r="S1907">
        <v>5.0599999427795401</v>
      </c>
      <c r="T1907">
        <v>0.729900002479553</v>
      </c>
      <c r="U1907">
        <v>97.168487548828097</v>
      </c>
      <c r="V1907">
        <v>2437193</v>
      </c>
      <c r="W1907">
        <v>-4.6057147979736301</v>
      </c>
      <c r="X1907">
        <v>0.129999995231628</v>
      </c>
      <c r="Y1907">
        <v>0.484847992658615</v>
      </c>
      <c r="Z1907">
        <v>0.34482800960540799</v>
      </c>
      <c r="AA1907">
        <v>57040000</v>
      </c>
      <c r="AB1907" t="s">
        <v>73</v>
      </c>
      <c r="AC1907" t="s">
        <v>413</v>
      </c>
      <c r="AD1907">
        <v>2.9999999329447701E-2</v>
      </c>
      <c r="AE1907" t="s">
        <v>27</v>
      </c>
      <c r="AF1907" t="s">
        <v>27</v>
      </c>
      <c r="AG1907">
        <v>58012000</v>
      </c>
      <c r="AH1907">
        <v>2.3777370452880899</v>
      </c>
      <c r="AI1907">
        <v>0.92143601179122903</v>
      </c>
    </row>
    <row r="1908" spans="1:35">
      <c r="A1908">
        <f t="shared" si="258"/>
        <v>0</v>
      </c>
      <c r="B1908">
        <f t="shared" si="259"/>
        <v>1</v>
      </c>
      <c r="C1908">
        <f t="shared" si="260"/>
        <v>0</v>
      </c>
      <c r="D1908">
        <f t="shared" si="261"/>
        <v>0</v>
      </c>
      <c r="E1908">
        <f t="shared" si="262"/>
        <v>0</v>
      </c>
      <c r="F1908">
        <f t="shared" si="263"/>
        <v>1</v>
      </c>
      <c r="G1908">
        <f t="shared" si="264"/>
        <v>0</v>
      </c>
      <c r="H1908">
        <v>0</v>
      </c>
      <c r="I1908">
        <f t="shared" si="265"/>
        <v>0</v>
      </c>
      <c r="J1908">
        <f t="shared" si="257"/>
        <v>-4.6068859100341797</v>
      </c>
      <c r="K1908" t="s">
        <v>723</v>
      </c>
      <c r="L1908" t="s">
        <v>724</v>
      </c>
      <c r="M1908" t="s">
        <v>27</v>
      </c>
      <c r="N1908" t="s">
        <v>27</v>
      </c>
      <c r="O1908">
        <v>9.9499999999999993</v>
      </c>
      <c r="P1908" t="s">
        <v>27</v>
      </c>
      <c r="Q1908">
        <v>-4.0443859100341797</v>
      </c>
      <c r="R1908">
        <v>16.909999847412099</v>
      </c>
      <c r="S1908">
        <v>20.125</v>
      </c>
      <c r="T1908">
        <v>0.267621010541916</v>
      </c>
      <c r="U1908" t="s">
        <v>27</v>
      </c>
      <c r="V1908">
        <v>-16618000</v>
      </c>
      <c r="W1908">
        <v>-4.3184118270873997</v>
      </c>
      <c r="X1908">
        <v>-9.9999997764825804E-3</v>
      </c>
      <c r="Y1908">
        <v>-0.5</v>
      </c>
      <c r="Z1908">
        <v>-0.5625</v>
      </c>
      <c r="AA1908">
        <v>34082520</v>
      </c>
      <c r="AB1908" t="s">
        <v>27</v>
      </c>
      <c r="AC1908" t="s">
        <v>27</v>
      </c>
      <c r="AD1908">
        <v>-0.63999998569488503</v>
      </c>
      <c r="AE1908" t="s">
        <v>27</v>
      </c>
      <c r="AF1908" t="s">
        <v>27</v>
      </c>
      <c r="AG1908">
        <v>34634000</v>
      </c>
      <c r="AH1908">
        <v>0.50216698646545399</v>
      </c>
      <c r="AI1908">
        <v>26.323846817016602</v>
      </c>
    </row>
    <row r="1909" spans="1:35">
      <c r="A1909">
        <f t="shared" si="258"/>
        <v>1</v>
      </c>
      <c r="B1909">
        <f t="shared" si="259"/>
        <v>0</v>
      </c>
      <c r="C1909">
        <f t="shared" si="260"/>
        <v>1</v>
      </c>
      <c r="D1909">
        <f t="shared" si="261"/>
        <v>1</v>
      </c>
      <c r="E1909">
        <f t="shared" si="262"/>
        <v>0</v>
      </c>
      <c r="F1909">
        <f t="shared" si="263"/>
        <v>0</v>
      </c>
      <c r="G1909">
        <f t="shared" si="264"/>
        <v>0</v>
      </c>
      <c r="H1909">
        <v>0</v>
      </c>
      <c r="I1909">
        <f t="shared" si="265"/>
        <v>0</v>
      </c>
      <c r="J1909">
        <f t="shared" si="257"/>
        <v>-5.4305529594421502</v>
      </c>
      <c r="K1909" t="s">
        <v>659</v>
      </c>
      <c r="L1909" t="s">
        <v>660</v>
      </c>
      <c r="M1909" t="s">
        <v>27</v>
      </c>
      <c r="N1909" t="s">
        <v>27</v>
      </c>
      <c r="O1909">
        <v>12.85</v>
      </c>
      <c r="P1909" t="s">
        <v>27</v>
      </c>
      <c r="Q1909">
        <v>6.0230250358581499</v>
      </c>
      <c r="R1909">
        <v>20.5</v>
      </c>
      <c r="S1909">
        <v>25.040000915527301</v>
      </c>
      <c r="T1909">
        <v>93.248001098632798</v>
      </c>
      <c r="U1909" t="s">
        <v>27</v>
      </c>
      <c r="V1909">
        <v>34290000</v>
      </c>
      <c r="W1909">
        <v>0.728079974651337</v>
      </c>
      <c r="X1909">
        <v>0.30000001192092901</v>
      </c>
      <c r="Y1909">
        <v>8</v>
      </c>
      <c r="Z1909">
        <v>-11.4535779953003</v>
      </c>
      <c r="AA1909">
        <v>11294500</v>
      </c>
      <c r="AB1909" t="s">
        <v>34</v>
      </c>
      <c r="AC1909" t="s">
        <v>298</v>
      </c>
      <c r="AD1909">
        <v>1.45000004768372</v>
      </c>
      <c r="AE1909" t="s">
        <v>27</v>
      </c>
      <c r="AF1909">
        <v>13.010874752844</v>
      </c>
      <c r="AG1909">
        <v>13855000</v>
      </c>
      <c r="AH1909">
        <v>93.145698547363295</v>
      </c>
      <c r="AI1909">
        <v>-0.59119701385498002</v>
      </c>
    </row>
    <row r="1910" spans="1:35">
      <c r="A1910">
        <f t="shared" si="258"/>
        <v>1</v>
      </c>
      <c r="B1910">
        <f t="shared" si="259"/>
        <v>0</v>
      </c>
      <c r="C1910">
        <f t="shared" si="260"/>
        <v>0</v>
      </c>
      <c r="D1910">
        <f t="shared" si="261"/>
        <v>0</v>
      </c>
      <c r="E1910">
        <f t="shared" si="262"/>
        <v>0</v>
      </c>
      <c r="F1910">
        <f t="shared" si="263"/>
        <v>1</v>
      </c>
      <c r="G1910">
        <f t="shared" si="264"/>
        <v>0</v>
      </c>
      <c r="H1910">
        <v>0</v>
      </c>
      <c r="I1910">
        <f t="shared" si="265"/>
        <v>0</v>
      </c>
      <c r="J1910">
        <f t="shared" si="257"/>
        <v>-7.7531660497188559</v>
      </c>
      <c r="K1910" t="s">
        <v>3374</v>
      </c>
      <c r="L1910" t="s">
        <v>3375</v>
      </c>
      <c r="M1910" t="s">
        <v>27</v>
      </c>
      <c r="N1910" t="s">
        <v>27</v>
      </c>
      <c r="O1910">
        <v>9.7200000000000006</v>
      </c>
      <c r="P1910">
        <v>-0.200014993548393</v>
      </c>
      <c r="Q1910">
        <v>-7.4674520492553702</v>
      </c>
      <c r="R1910">
        <v>11.579999923706101</v>
      </c>
      <c r="S1910">
        <v>15.8800001144409</v>
      </c>
      <c r="T1910">
        <v>52.683895111083999</v>
      </c>
      <c r="U1910">
        <v>12.930118560791</v>
      </c>
      <c r="V1910">
        <v>-54531996</v>
      </c>
      <c r="W1910">
        <v>7.2645788192748997</v>
      </c>
      <c r="X1910">
        <v>-5.9999998658895499E-2</v>
      </c>
      <c r="Y1910">
        <v>-3.1044778823852499</v>
      </c>
      <c r="Z1910">
        <v>-0.285714000463486</v>
      </c>
      <c r="AA1910">
        <v>99137000</v>
      </c>
      <c r="AB1910" t="s">
        <v>27</v>
      </c>
      <c r="AC1910" t="s">
        <v>27</v>
      </c>
      <c r="AD1910">
        <v>-1.37000000476837</v>
      </c>
      <c r="AE1910">
        <v>-0.14686499536037401</v>
      </c>
      <c r="AF1910">
        <v>13.545380884888001</v>
      </c>
      <c r="AG1910">
        <v>101041000</v>
      </c>
      <c r="AH1910">
        <v>37.406875610351598</v>
      </c>
      <c r="AI1910">
        <v>3.7522609233856201</v>
      </c>
    </row>
    <row r="1911" spans="1:35">
      <c r="A1911">
        <f t="shared" si="258"/>
        <v>1</v>
      </c>
      <c r="B1911">
        <f t="shared" si="259"/>
        <v>0</v>
      </c>
      <c r="C1911">
        <f t="shared" si="260"/>
        <v>1</v>
      </c>
      <c r="D1911">
        <f t="shared" si="261"/>
        <v>1</v>
      </c>
      <c r="E1911">
        <f t="shared" si="262"/>
        <v>0</v>
      </c>
      <c r="F1911">
        <f t="shared" si="263"/>
        <v>0</v>
      </c>
      <c r="G1911">
        <f t="shared" si="264"/>
        <v>0</v>
      </c>
      <c r="H1911">
        <v>0</v>
      </c>
      <c r="I1911">
        <f t="shared" si="265"/>
        <v>0</v>
      </c>
      <c r="J1911">
        <f t="shared" si="257"/>
        <v>-8.1467633247375595</v>
      </c>
      <c r="K1911" t="s">
        <v>2300</v>
      </c>
      <c r="L1911" t="s">
        <v>2301</v>
      </c>
      <c r="M1911" t="s">
        <v>27</v>
      </c>
      <c r="N1911" t="s">
        <v>27</v>
      </c>
      <c r="O1911">
        <v>16.850000000000001</v>
      </c>
      <c r="P1911" t="s">
        <v>27</v>
      </c>
      <c r="Q1911">
        <v>-11.311999320983899</v>
      </c>
      <c r="R1911">
        <v>20.389999389648398</v>
      </c>
      <c r="S1911">
        <v>75.125</v>
      </c>
      <c r="T1911">
        <v>0.39780300855636602</v>
      </c>
      <c r="U1911">
        <v>62.750091552734403</v>
      </c>
      <c r="V1911">
        <v>2601000</v>
      </c>
      <c r="W1911">
        <v>5.16941118240356</v>
      </c>
      <c r="X1911">
        <v>-0.769999980926514</v>
      </c>
      <c r="Y1911">
        <v>0.54961800575256303</v>
      </c>
      <c r="Z1911">
        <v>3.1652359962463401</v>
      </c>
      <c r="AA1911">
        <v>16066000</v>
      </c>
      <c r="AB1911" t="s">
        <v>27</v>
      </c>
      <c r="AC1911" t="s">
        <v>27</v>
      </c>
      <c r="AD1911">
        <v>-0.68999999761581399</v>
      </c>
      <c r="AE1911">
        <v>60.916893005371101</v>
      </c>
      <c r="AF1911">
        <v>16.536948470080699</v>
      </c>
      <c r="AG1911">
        <v>15474000</v>
      </c>
      <c r="AH1911">
        <v>0</v>
      </c>
      <c r="AI1911">
        <v>-3.6975140571594198</v>
      </c>
    </row>
    <row r="1912" spans="1:35">
      <c r="A1912">
        <f t="shared" si="258"/>
        <v>1</v>
      </c>
      <c r="B1912">
        <f t="shared" si="259"/>
        <v>0</v>
      </c>
      <c r="C1912">
        <f t="shared" si="260"/>
        <v>1</v>
      </c>
      <c r="D1912">
        <f t="shared" si="261"/>
        <v>1</v>
      </c>
      <c r="E1912">
        <f t="shared" si="262"/>
        <v>0</v>
      </c>
      <c r="F1912">
        <f t="shared" si="263"/>
        <v>0</v>
      </c>
      <c r="G1912">
        <f t="shared" si="264"/>
        <v>0</v>
      </c>
      <c r="H1912">
        <v>0</v>
      </c>
      <c r="I1912">
        <f t="shared" si="265"/>
        <v>0</v>
      </c>
      <c r="J1912">
        <f t="shared" si="257"/>
        <v>-10.262694835662852</v>
      </c>
      <c r="K1912" t="s">
        <v>818</v>
      </c>
      <c r="L1912" t="s">
        <v>819</v>
      </c>
      <c r="M1912" t="s">
        <v>27</v>
      </c>
      <c r="N1912" t="s">
        <v>27</v>
      </c>
      <c r="O1912">
        <v>5.04</v>
      </c>
      <c r="P1912" t="s">
        <v>27</v>
      </c>
      <c r="Q1912">
        <v>-16.453170776367202</v>
      </c>
      <c r="R1912">
        <v>11.550000190734901</v>
      </c>
      <c r="S1912">
        <v>6.1900000572204599</v>
      </c>
      <c r="T1912">
        <v>0.80942702293395996</v>
      </c>
      <c r="U1912">
        <v>31.992692947387699</v>
      </c>
      <c r="V1912">
        <v>8676000</v>
      </c>
      <c r="W1912">
        <v>16.9146404266357</v>
      </c>
      <c r="X1912">
        <v>-1.3200000524520901</v>
      </c>
      <c r="Y1912">
        <v>6.5454540252685502</v>
      </c>
      <c r="Z1912">
        <v>6.1904759407043501</v>
      </c>
      <c r="AA1912">
        <v>57975000</v>
      </c>
      <c r="AB1912" t="s">
        <v>38</v>
      </c>
      <c r="AC1912" t="s">
        <v>628</v>
      </c>
      <c r="AD1912">
        <v>-9.9999997764825804E-3</v>
      </c>
      <c r="AE1912">
        <v>29.9473972320557</v>
      </c>
      <c r="AF1912">
        <v>10.0478077042472</v>
      </c>
      <c r="AG1912">
        <v>60504000</v>
      </c>
      <c r="AH1912">
        <v>0</v>
      </c>
      <c r="AI1912">
        <v>-17.832464218139599</v>
      </c>
    </row>
    <row r="1913" spans="1:35">
      <c r="A1913">
        <f t="shared" si="258"/>
        <v>0</v>
      </c>
      <c r="B1913">
        <f t="shared" si="259"/>
        <v>0</v>
      </c>
      <c r="C1913">
        <f t="shared" si="260"/>
        <v>0</v>
      </c>
      <c r="D1913">
        <f t="shared" si="261"/>
        <v>0</v>
      </c>
      <c r="E1913">
        <f t="shared" si="262"/>
        <v>0</v>
      </c>
      <c r="F1913">
        <f t="shared" si="263"/>
        <v>0</v>
      </c>
      <c r="G1913">
        <f t="shared" si="264"/>
        <v>0</v>
      </c>
      <c r="H1913">
        <v>0</v>
      </c>
      <c r="I1913">
        <f t="shared" si="265"/>
        <v>1</v>
      </c>
      <c r="J1913">
        <f t="shared" si="257"/>
        <v>-10.26289296150207</v>
      </c>
      <c r="K1913" t="s">
        <v>1718</v>
      </c>
      <c r="L1913" t="s">
        <v>1719</v>
      </c>
      <c r="M1913" t="s">
        <v>27</v>
      </c>
      <c r="N1913" t="s">
        <v>27</v>
      </c>
      <c r="O1913">
        <v>15.33</v>
      </c>
      <c r="P1913" t="s">
        <v>27</v>
      </c>
      <c r="Q1913">
        <v>-6.4580149650573704</v>
      </c>
      <c r="R1913">
        <v>11.949999809265099</v>
      </c>
      <c r="S1913">
        <v>24.5</v>
      </c>
      <c r="T1913">
        <v>0</v>
      </c>
      <c r="U1913">
        <v>30.710912704467798</v>
      </c>
      <c r="V1913">
        <v>-849999.875</v>
      </c>
      <c r="W1913">
        <v>-2.8352689743042001</v>
      </c>
      <c r="X1913">
        <v>-0.17000000178813901</v>
      </c>
      <c r="Y1913">
        <v>-3.7209300994872998</v>
      </c>
      <c r="Z1913">
        <v>-3.8048779964446999</v>
      </c>
      <c r="AA1913">
        <v>28224184</v>
      </c>
      <c r="AB1913" t="s">
        <v>27</v>
      </c>
      <c r="AC1913" t="s">
        <v>27</v>
      </c>
      <c r="AD1913">
        <v>-0.43000000715255698</v>
      </c>
      <c r="AE1913">
        <v>23.259576797485401</v>
      </c>
      <c r="AF1913">
        <v>13.5953439477716</v>
      </c>
      <c r="AG1913">
        <v>28680000</v>
      </c>
      <c r="AH1913">
        <v>5.4849219322204599</v>
      </c>
      <c r="AI1913">
        <v>-12.6505794525146</v>
      </c>
    </row>
    <row r="1914" spans="1:35">
      <c r="A1914">
        <f t="shared" si="258"/>
        <v>1</v>
      </c>
      <c r="B1914">
        <f t="shared" si="259"/>
        <v>1</v>
      </c>
      <c r="C1914">
        <f t="shared" si="260"/>
        <v>0</v>
      </c>
      <c r="D1914">
        <f t="shared" si="261"/>
        <v>1</v>
      </c>
      <c r="E1914">
        <f t="shared" si="262"/>
        <v>0</v>
      </c>
      <c r="F1914">
        <f t="shared" si="263"/>
        <v>1</v>
      </c>
      <c r="G1914">
        <f t="shared" si="264"/>
        <v>1</v>
      </c>
      <c r="H1914">
        <v>0</v>
      </c>
      <c r="I1914">
        <f t="shared" si="265"/>
        <v>0</v>
      </c>
      <c r="J1914">
        <f t="shared" si="257"/>
        <v>-36.231038093566902</v>
      </c>
      <c r="K1914" t="s">
        <v>931</v>
      </c>
      <c r="L1914" t="s">
        <v>932</v>
      </c>
      <c r="M1914" t="s">
        <v>27</v>
      </c>
      <c r="N1914" t="s">
        <v>27</v>
      </c>
      <c r="O1914">
        <v>12.99</v>
      </c>
      <c r="P1914" t="s">
        <v>27</v>
      </c>
      <c r="Q1914">
        <v>-25.527673721313501</v>
      </c>
      <c r="R1914">
        <v>12.1000003814697</v>
      </c>
      <c r="S1914">
        <v>6.9375</v>
      </c>
      <c r="T1914">
        <v>1.5989190340042101</v>
      </c>
      <c r="U1914">
        <v>89.854667663574205</v>
      </c>
      <c r="V1914">
        <v>-5393000</v>
      </c>
      <c r="W1914">
        <v>-88.288787841796903</v>
      </c>
      <c r="X1914">
        <v>-0.18999999761581399</v>
      </c>
      <c r="Y1914">
        <v>-2.6943008899688698</v>
      </c>
      <c r="Z1914">
        <v>-10.7033643722534</v>
      </c>
      <c r="AA1914">
        <v>29572000</v>
      </c>
      <c r="AB1914" t="s">
        <v>27</v>
      </c>
      <c r="AC1914" t="s">
        <v>27</v>
      </c>
      <c r="AD1914">
        <v>-0.18000000715255701</v>
      </c>
      <c r="AE1914">
        <v>91.461334228515597</v>
      </c>
      <c r="AF1914" t="s">
        <v>27</v>
      </c>
      <c r="AG1914">
        <v>30033000</v>
      </c>
      <c r="AH1914">
        <v>0</v>
      </c>
      <c r="AI1914">
        <v>46.495529174804702</v>
      </c>
    </row>
    <row r="1915" spans="1:35">
      <c r="A1915">
        <f t="shared" si="258"/>
        <v>1</v>
      </c>
      <c r="B1915">
        <f t="shared" si="259"/>
        <v>1</v>
      </c>
      <c r="C1915">
        <f t="shared" si="260"/>
        <v>0</v>
      </c>
      <c r="D1915">
        <f t="shared" si="261"/>
        <v>0</v>
      </c>
      <c r="E1915">
        <f t="shared" si="262"/>
        <v>0</v>
      </c>
      <c r="F1915">
        <f t="shared" si="263"/>
        <v>1</v>
      </c>
      <c r="G1915">
        <f t="shared" si="264"/>
        <v>1</v>
      </c>
      <c r="H1915">
        <v>0</v>
      </c>
      <c r="I1915">
        <f t="shared" si="265"/>
        <v>0</v>
      </c>
      <c r="J1915">
        <f t="shared" si="257"/>
        <v>-39.977143526077292</v>
      </c>
      <c r="K1915" t="s">
        <v>3903</v>
      </c>
      <c r="L1915" t="s">
        <v>3904</v>
      </c>
      <c r="M1915" t="s">
        <v>27</v>
      </c>
      <c r="N1915" t="s">
        <v>27</v>
      </c>
      <c r="O1915">
        <v>3.96</v>
      </c>
      <c r="P1915" t="s">
        <v>27</v>
      </c>
      <c r="Q1915">
        <v>-42.492866516113303</v>
      </c>
      <c r="R1915">
        <v>8.6999998092651403</v>
      </c>
      <c r="S1915">
        <v>5.5625</v>
      </c>
      <c r="T1915">
        <v>17.248622894287099</v>
      </c>
      <c r="U1915">
        <v>40.096584320068402</v>
      </c>
      <c r="V1915">
        <v>-913000</v>
      </c>
      <c r="W1915">
        <v>-40.295986175537102</v>
      </c>
      <c r="X1915">
        <v>0.10000000149011599</v>
      </c>
      <c r="Y1915">
        <v>4.72727298736572</v>
      </c>
      <c r="Z1915">
        <v>2.5157229900360099</v>
      </c>
      <c r="AA1915">
        <v>21339458</v>
      </c>
      <c r="AB1915" t="s">
        <v>27</v>
      </c>
      <c r="AC1915" t="s">
        <v>27</v>
      </c>
      <c r="AD1915">
        <v>1.9999999552965199E-2</v>
      </c>
      <c r="AE1915">
        <v>49.614292144775398</v>
      </c>
      <c r="AF1915" t="s">
        <v>27</v>
      </c>
      <c r="AG1915">
        <v>21984000</v>
      </c>
      <c r="AH1915">
        <v>3.4681510925293</v>
      </c>
      <c r="AI1915">
        <v>22.1059970855713</v>
      </c>
    </row>
  </sheetData>
  <autoFilter ref="J1:AI1915">
    <sortState ref="J2:AI1951">
      <sortCondition descending="1" ref="J1:J1951"/>
    </sortState>
  </autoFilter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Claremont McKenna College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Generic</dc:creator>
  <cp:lastModifiedBy>Maxwell Sacks</cp:lastModifiedBy>
  <dcterms:created xsi:type="dcterms:W3CDTF">2017-04-04T02:52:08Z</dcterms:created>
  <dcterms:modified xsi:type="dcterms:W3CDTF">2017-05-05T03:07:55Z</dcterms:modified>
</cp:coreProperties>
</file>